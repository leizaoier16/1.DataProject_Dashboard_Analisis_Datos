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iza\Desktop\D&amp;A\1.DataProject_Dashboard_AnalisisDatos\"/>
    </mc:Choice>
  </mc:AlternateContent>
  <xr:revisionPtr revIDLastSave="0" documentId="13_ncr:1_{0DF9B4D8-161D-4695-A518-9C76FF67AFE3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nalisis" sheetId="1" r:id="rId1"/>
    <sheet name="car_price_prediction_" sheetId="2" r:id="rId2"/>
    <sheet name="TablasDinamicas" sheetId="3" r:id="rId3"/>
    <sheet name="TablasDinamicas (2)" sheetId="6" r:id="rId4"/>
    <sheet name="Dashboard" sheetId="5" r:id="rId5"/>
  </sheets>
  <definedNames>
    <definedName name="DatosExternos_1" localSheetId="1" hidden="1">'car_price_prediction_'!$A$1:$N$2501</definedName>
    <definedName name="SegmentaciónDeDatos_Brand">#N/A</definedName>
    <definedName name="SegmentaciónDeDatos_Condition">#N/A</definedName>
    <definedName name="SegmentaciónDeDatos_Engine_Size__L">#N/A</definedName>
    <definedName name="SegmentaciónDeDatos_Fuel_Type">#N/A</definedName>
    <definedName name="SegmentaciónDeDatos_Transmission">#N/A</definedName>
  </definedNames>
  <calcPr calcId="191029"/>
  <pivotCaches>
    <pivotCache cacheId="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C5" i="6"/>
  <c r="D6" i="6"/>
  <c r="C7" i="6"/>
  <c r="D6" i="3"/>
  <c r="C5" i="3"/>
  <c r="L6" i="3"/>
  <c r="J6" i="3"/>
  <c r="H6" i="3"/>
  <c r="F6" i="3"/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C9" i="1"/>
  <c r="D9" i="1"/>
  <c r="E9" i="1"/>
  <c r="F9" i="1"/>
  <c r="G9" i="1"/>
  <c r="H9" i="1"/>
  <c r="I9" i="1"/>
  <c r="J9" i="1"/>
  <c r="K9" i="1"/>
  <c r="B9" i="1"/>
  <c r="B4" i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D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163B85-FD10-42E4-A691-0E544E557FAB}" keepAlive="1" name="Consulta - car_price_prediction_" description="Conexión a la consulta 'car_price_prediction_' en el libro." type="5" refreshedVersion="8" background="1" saveData="1">
    <dbPr connection="Provider=Microsoft.Mashup.OleDb.1;Data Source=$Workbook$;Location=car_price_prediction_;Extended Properties=&quot;&quot;" command="SELECT * FROM [car_price_prediction_]"/>
  </connection>
</connections>
</file>

<file path=xl/sharedStrings.xml><?xml version="1.0" encoding="utf-8"?>
<sst xmlns="http://schemas.openxmlformats.org/spreadsheetml/2006/main" count="12714" uniqueCount="120">
  <si>
    <t>Car ID</t>
  </si>
  <si>
    <t>Brand</t>
  </si>
  <si>
    <t>Year</t>
  </si>
  <si>
    <t>Engine Size</t>
  </si>
  <si>
    <t>Fuel Type</t>
  </si>
  <si>
    <t>Transmission</t>
  </si>
  <si>
    <t>Mileage</t>
  </si>
  <si>
    <t>Condition</t>
  </si>
  <si>
    <t>Price</t>
  </si>
  <si>
    <t>Model</t>
  </si>
  <si>
    <t>Tesla</t>
  </si>
  <si>
    <t>Petrol</t>
  </si>
  <si>
    <t>Manual</t>
  </si>
  <si>
    <t>New</t>
  </si>
  <si>
    <t>Model X</t>
  </si>
  <si>
    <t>BMW</t>
  </si>
  <si>
    <t>Electric</t>
  </si>
  <si>
    <t>Used</t>
  </si>
  <si>
    <t>5 Series</t>
  </si>
  <si>
    <t>Audi</t>
  </si>
  <si>
    <t>A4</t>
  </si>
  <si>
    <t>Diesel</t>
  </si>
  <si>
    <t>Automatic</t>
  </si>
  <si>
    <t>Model Y</t>
  </si>
  <si>
    <t>Ford</t>
  </si>
  <si>
    <t>Like New</t>
  </si>
  <si>
    <t>Mustang</t>
  </si>
  <si>
    <t>Q7</t>
  </si>
  <si>
    <t>Q5</t>
  </si>
  <si>
    <t>Hybrid</t>
  </si>
  <si>
    <t>Honda</t>
  </si>
  <si>
    <t>Civic</t>
  </si>
  <si>
    <t>Explorer</t>
  </si>
  <si>
    <t>Model 3</t>
  </si>
  <si>
    <t>Fiesta</t>
  </si>
  <si>
    <t>X3</t>
  </si>
  <si>
    <t>Mercedes</t>
  </si>
  <si>
    <t>GLA</t>
  </si>
  <si>
    <t>A3</t>
  </si>
  <si>
    <t>X5</t>
  </si>
  <si>
    <t>C-Class</t>
  </si>
  <si>
    <t>E-Class</t>
  </si>
  <si>
    <t>CR-V</t>
  </si>
  <si>
    <t>Toyota</t>
  </si>
  <si>
    <t>Camry</t>
  </si>
  <si>
    <t>Accord</t>
  </si>
  <si>
    <t>GLC</t>
  </si>
  <si>
    <t>Corolla</t>
  </si>
  <si>
    <t>Fit</t>
  </si>
  <si>
    <t>Model S</t>
  </si>
  <si>
    <t>Prius</t>
  </si>
  <si>
    <t>3 Series</t>
  </si>
  <si>
    <t>RAV4</t>
  </si>
  <si>
    <t>Focus</t>
  </si>
  <si>
    <t>Duplicados</t>
  </si>
  <si>
    <t>Total Vehiculos</t>
  </si>
  <si>
    <t>Valores Faltantes</t>
  </si>
  <si>
    <t>Price (USD)</t>
  </si>
  <si>
    <t>Engine Size (L)</t>
  </si>
  <si>
    <t>KPI's</t>
  </si>
  <si>
    <t>Cuenta de Car ID</t>
  </si>
  <si>
    <t>Promedio de Price (USD)</t>
  </si>
  <si>
    <t>Modelo y Marca</t>
  </si>
  <si>
    <t>Etiquetas de fila</t>
  </si>
  <si>
    <t>Total general</t>
  </si>
  <si>
    <t>Año</t>
  </si>
  <si>
    <t>Cilindrada</t>
  </si>
  <si>
    <t>1-2</t>
  </si>
  <si>
    <t>2-3</t>
  </si>
  <si>
    <t>3-4</t>
  </si>
  <si>
    <t>4-5</t>
  </si>
  <si>
    <t>5-6</t>
  </si>
  <si>
    <t>Suma de Price (USD)</t>
  </si>
  <si>
    <t>Combustible</t>
  </si>
  <si>
    <t>Transmision</t>
  </si>
  <si>
    <t>Kilometros</t>
  </si>
  <si>
    <t>0-49999</t>
  </si>
  <si>
    <t>50000-99999</t>
  </si>
  <si>
    <t>100000-149999</t>
  </si>
  <si>
    <t>150000-199999</t>
  </si>
  <si>
    <t>200000-249999</t>
  </si>
  <si>
    <t>250000-300000</t>
  </si>
  <si>
    <t>Estado</t>
  </si>
  <si>
    <t>Precio</t>
  </si>
  <si>
    <t>0-20000</t>
  </si>
  <si>
    <t>20000-40000</t>
  </si>
  <si>
    <t>40000-60000</t>
  </si>
  <si>
    <t>60000-80000</t>
  </si>
  <si>
    <t>80000-100000</t>
  </si>
  <si>
    <t>Marca</t>
  </si>
  <si>
    <t>Marcas</t>
  </si>
  <si>
    <t>Mileage (K)</t>
  </si>
  <si>
    <t>Miles de Kilometros</t>
  </si>
  <si>
    <t>Year2</t>
  </si>
  <si>
    <t>Máx. de Price (USD)</t>
  </si>
  <si>
    <t>Mín. de Price (USD)</t>
  </si>
  <si>
    <t>Var de Price (USD)</t>
  </si>
  <si>
    <t>Desvest de Price (USD)</t>
  </si>
  <si>
    <t>Ventas vs Año</t>
  </si>
  <si>
    <t>Ventas vs Kilometraje</t>
  </si>
  <si>
    <t>0-15</t>
  </si>
  <si>
    <t>15-30</t>
  </si>
  <si>
    <t>30-45</t>
  </si>
  <si>
    <t>45-60</t>
  </si>
  <si>
    <t>60-75</t>
  </si>
  <si>
    <t>75-90</t>
  </si>
  <si>
    <t>90-105</t>
  </si>
  <si>
    <t>105-120</t>
  </si>
  <si>
    <t>120-135</t>
  </si>
  <si>
    <t>135-150</t>
  </si>
  <si>
    <t>150-165</t>
  </si>
  <si>
    <t>165-180</t>
  </si>
  <si>
    <t>180-195</t>
  </si>
  <si>
    <t>195-210</t>
  </si>
  <si>
    <t>210-225</t>
  </si>
  <si>
    <t>225-240</t>
  </si>
  <si>
    <t>240-255</t>
  </si>
  <si>
    <t>255-270</t>
  </si>
  <si>
    <t>270-285</t>
  </si>
  <si>
    <t>285-300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</si>
</sst>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0" xfId="0" applyFill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0" fillId="4" borderId="0" xfId="0" applyFill="1"/>
    <xf numFmtId="16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Fill="1"/>
    <xf numFmtId="0" fontId="0" fillId="0" borderId="0" xfId="0" applyFill="1" applyAlignment="1"/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173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164" formatCode="#,##0\ &quot;€&quot;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,##0\ &quot;€&quot;"/>
    </dxf>
    <dxf>
      <numFmt numFmtId="3" formatCode="#,##0"/>
    </dxf>
    <dxf>
      <numFmt numFmtId="3" formatCode="#,##0"/>
    </dxf>
    <dxf>
      <numFmt numFmtId="164" formatCode="#,##0\ &quot;€&quot;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,##0\ &quot;€&quot;"/>
    </dxf>
    <dxf>
      <numFmt numFmtId="3" formatCode="#,##0"/>
    </dxf>
    <dxf>
      <numFmt numFmtId="3" formatCode="#,##0"/>
    </dxf>
    <dxf>
      <numFmt numFmtId="3" formatCode="#,##0"/>
    </dxf>
    <dxf>
      <numFmt numFmtId="164" formatCode="#,##0\ &quot;€&quot;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,##0\ &quot;€&quot;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bgColor auto="1"/>
        </patternFill>
      </fill>
    </dxf>
  </dxfs>
  <tableStyles count="1" defaultTableStyle="TableStyleMedium2" defaultPivotStyle="PivotStyleLight16">
    <tableStyle name="Estilo de segmentación de datos 1" pivot="0" table="0" count="1" xr9:uid="{256424DF-8412-46F1-85B8-E77B4EE267F8}">
      <tableStyleElement type="wholeTable" dxfId="172"/>
    </tableStyle>
  </tableStyle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automáticamente).xlsx]TablasDinamicas!VentasCilindrada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TablasDinamicas!$B$28:$B$33</c:f>
              <c:strCache>
                <c:ptCount val="5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</c:strCache>
            </c:strRef>
          </c:cat>
          <c:val>
            <c:numRef>
              <c:f>TablasDinamicas!$C$28:$C$33</c:f>
              <c:numCache>
                <c:formatCode>#,##0</c:formatCode>
                <c:ptCount val="5"/>
                <c:pt idx="0">
                  <c:v>479</c:v>
                </c:pt>
                <c:pt idx="1">
                  <c:v>517</c:v>
                </c:pt>
                <c:pt idx="2">
                  <c:v>511</c:v>
                </c:pt>
                <c:pt idx="3">
                  <c:v>484</c:v>
                </c:pt>
                <c:pt idx="4">
                  <c:v>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7C-4C6B-9040-DE41C3755B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2586415"/>
        <c:axId val="2112586895"/>
      </c:barChart>
      <c:catAx>
        <c:axId val="211258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2586895"/>
        <c:crosses val="autoZero"/>
        <c:auto val="1"/>
        <c:lblAlgn val="ctr"/>
        <c:lblOffset val="100"/>
        <c:noMultiLvlLbl val="0"/>
      </c:catAx>
      <c:valAx>
        <c:axId val="211258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258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automáticamente).xlsx]TablasDinamicas!VentasCombustible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layout>
        <c:manualLayout>
          <c:xMode val="edge"/>
          <c:yMode val="edge"/>
          <c:x val="0.47206414460525653"/>
          <c:y val="5.3888967119476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TablasDinamicas!$B$45:$B$49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TablasDinamicas!$C$45:$C$49</c:f>
              <c:numCache>
                <c:formatCode>#,##0</c:formatCode>
                <c:ptCount val="4"/>
                <c:pt idx="0">
                  <c:v>655</c:v>
                </c:pt>
                <c:pt idx="1">
                  <c:v>614</c:v>
                </c:pt>
                <c:pt idx="2">
                  <c:v>601</c:v>
                </c:pt>
                <c:pt idx="3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67-4B7A-B21A-41C299E929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6854239"/>
        <c:axId val="2116857599"/>
      </c:barChart>
      <c:catAx>
        <c:axId val="211685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6857599"/>
        <c:crosses val="autoZero"/>
        <c:auto val="1"/>
        <c:lblAlgn val="ctr"/>
        <c:lblOffset val="100"/>
        <c:noMultiLvlLbl val="0"/>
      </c:catAx>
      <c:valAx>
        <c:axId val="211685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685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[1(Recuperado automáticamente).xlsx]TablasDinamicas!VentasTransmision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TablasDinamicas!$J$27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TablasDinamicas!$I$28:$I$30</c:f>
              <c:strCache>
                <c:ptCount val="2"/>
                <c:pt idx="0">
                  <c:v>Automatic</c:v>
                </c:pt>
                <c:pt idx="1">
                  <c:v>Manual</c:v>
                </c:pt>
              </c:strCache>
            </c:strRef>
          </c:cat>
          <c:val>
            <c:numRef>
              <c:f>TablasDinamicas!$J$28:$J$30</c:f>
              <c:numCache>
                <c:formatCode>#,##0</c:formatCode>
                <c:ptCount val="2"/>
                <c:pt idx="0">
                  <c:v>1192</c:v>
                </c:pt>
                <c:pt idx="1">
                  <c:v>1308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DF-47B6-BCFE-08C288D1B0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automáticamente).xlsx]TablasDinamicas!VentasEstado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TablasDinamicas!$J$43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TablasDinamicas!$I$44:$I$47</c:f>
              <c:strCache>
                <c:ptCount val="3"/>
                <c:pt idx="0">
                  <c:v>Like New</c:v>
                </c:pt>
                <c:pt idx="1">
                  <c:v>New</c:v>
                </c:pt>
                <c:pt idx="2">
                  <c:v>Used</c:v>
                </c:pt>
              </c:strCache>
            </c:strRef>
          </c:cat>
          <c:val>
            <c:numRef>
              <c:f>TablasDinamicas!$J$44:$J$47</c:f>
              <c:numCache>
                <c:formatCode>#,##0</c:formatCode>
                <c:ptCount val="3"/>
                <c:pt idx="0">
                  <c:v>836</c:v>
                </c:pt>
                <c:pt idx="1">
                  <c:v>809</c:v>
                </c:pt>
                <c:pt idx="2">
                  <c:v>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86-4D4A-B245-986C86792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4409759"/>
        <c:axId val="474410239"/>
      </c:barChart>
      <c:catAx>
        <c:axId val="47440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4410239"/>
        <c:crosses val="autoZero"/>
        <c:auto val="1"/>
        <c:lblAlgn val="ctr"/>
        <c:lblOffset val="100"/>
        <c:noMultiLvlLbl val="0"/>
      </c:catAx>
      <c:valAx>
        <c:axId val="47441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440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automáticamente).xlsx]TablasDinamicas!VentasPrecio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layout>
        <c:manualLayout>
          <c:xMode val="edge"/>
          <c:yMode val="edge"/>
          <c:x val="0.39643333333333342"/>
          <c:y val="0.119484020615911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TablasDinamicas!$C$62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TablasDinamicas!$B$63:$B$68</c:f>
              <c:strCache>
                <c:ptCount val="5"/>
                <c:pt idx="0">
                  <c:v>0-20000</c:v>
                </c:pt>
                <c:pt idx="1">
                  <c:v>20000-40000</c:v>
                </c:pt>
                <c:pt idx="2">
                  <c:v>40000-60000</c:v>
                </c:pt>
                <c:pt idx="3">
                  <c:v>60000-80000</c:v>
                </c:pt>
                <c:pt idx="4">
                  <c:v>80000-100000</c:v>
                </c:pt>
              </c:strCache>
            </c:strRef>
          </c:cat>
          <c:val>
            <c:numRef>
              <c:f>TablasDinamicas!$C$63:$C$68</c:f>
              <c:numCache>
                <c:formatCode>#,##0</c:formatCode>
                <c:ptCount val="5"/>
                <c:pt idx="0">
                  <c:v>615</c:v>
                </c:pt>
                <c:pt idx="1">
                  <c:v>459</c:v>
                </c:pt>
                <c:pt idx="2">
                  <c:v>485</c:v>
                </c:pt>
                <c:pt idx="3">
                  <c:v>466</c:v>
                </c:pt>
                <c:pt idx="4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50-495A-A310-3619588626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83693167"/>
        <c:axId val="483693647"/>
      </c:barChart>
      <c:catAx>
        <c:axId val="48369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3693647"/>
        <c:crosses val="autoZero"/>
        <c:auto val="1"/>
        <c:lblAlgn val="ctr"/>
        <c:lblOffset val="100"/>
        <c:noMultiLvlLbl val="0"/>
      </c:catAx>
      <c:valAx>
        <c:axId val="4836936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369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automáticamente).xlsx]TablasDinamicas!PrecioVsAños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TablasDinamicas!$J$62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TablasDinamicas!$I$63:$I$87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TablasDinamicas!$J$63:$J$87</c:f>
              <c:numCache>
                <c:formatCode>General</c:formatCode>
                <c:ptCount val="24"/>
                <c:pt idx="0">
                  <c:v>93</c:v>
                </c:pt>
                <c:pt idx="1">
                  <c:v>109</c:v>
                </c:pt>
                <c:pt idx="2">
                  <c:v>110</c:v>
                </c:pt>
                <c:pt idx="3">
                  <c:v>118</c:v>
                </c:pt>
                <c:pt idx="4">
                  <c:v>100</c:v>
                </c:pt>
                <c:pt idx="5">
                  <c:v>103</c:v>
                </c:pt>
                <c:pt idx="6">
                  <c:v>86</c:v>
                </c:pt>
                <c:pt idx="7">
                  <c:v>110</c:v>
                </c:pt>
                <c:pt idx="8">
                  <c:v>109</c:v>
                </c:pt>
                <c:pt idx="9">
                  <c:v>90</c:v>
                </c:pt>
                <c:pt idx="10">
                  <c:v>95</c:v>
                </c:pt>
                <c:pt idx="11">
                  <c:v>101</c:v>
                </c:pt>
                <c:pt idx="12">
                  <c:v>111</c:v>
                </c:pt>
                <c:pt idx="13">
                  <c:v>95</c:v>
                </c:pt>
                <c:pt idx="14">
                  <c:v>109</c:v>
                </c:pt>
                <c:pt idx="15">
                  <c:v>88</c:v>
                </c:pt>
                <c:pt idx="16">
                  <c:v>118</c:v>
                </c:pt>
                <c:pt idx="17">
                  <c:v>97</c:v>
                </c:pt>
                <c:pt idx="18">
                  <c:v>106</c:v>
                </c:pt>
                <c:pt idx="19">
                  <c:v>103</c:v>
                </c:pt>
                <c:pt idx="20">
                  <c:v>122</c:v>
                </c:pt>
                <c:pt idx="21">
                  <c:v>112</c:v>
                </c:pt>
                <c:pt idx="22">
                  <c:v>112</c:v>
                </c:pt>
                <c:pt idx="23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E4-4A15-918E-42E3158AF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966895"/>
        <c:axId val="478967375"/>
      </c:lineChart>
      <c:catAx>
        <c:axId val="47896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8967375"/>
        <c:crosses val="autoZero"/>
        <c:auto val="1"/>
        <c:lblAlgn val="ctr"/>
        <c:lblOffset val="100"/>
        <c:noMultiLvlLbl val="0"/>
      </c:catAx>
      <c:valAx>
        <c:axId val="47896737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896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automáticamente).xlsx]TablasDinamicas!TablaDinámica1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TablasDinamicas!$C$80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TablasDinamicas!$B$81:$B$101</c:f>
              <c:strCache>
                <c:ptCount val="20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  <c:pt idx="6">
                  <c:v>90-105</c:v>
                </c:pt>
                <c:pt idx="7">
                  <c:v>105-120</c:v>
                </c:pt>
                <c:pt idx="8">
                  <c:v>120-135</c:v>
                </c:pt>
                <c:pt idx="9">
                  <c:v>135-150</c:v>
                </c:pt>
                <c:pt idx="10">
                  <c:v>150-165</c:v>
                </c:pt>
                <c:pt idx="11">
                  <c:v>165-180</c:v>
                </c:pt>
                <c:pt idx="12">
                  <c:v>180-195</c:v>
                </c:pt>
                <c:pt idx="13">
                  <c:v>195-210</c:v>
                </c:pt>
                <c:pt idx="14">
                  <c:v>210-225</c:v>
                </c:pt>
                <c:pt idx="15">
                  <c:v>225-240</c:v>
                </c:pt>
                <c:pt idx="16">
                  <c:v>240-255</c:v>
                </c:pt>
                <c:pt idx="17">
                  <c:v>255-270</c:v>
                </c:pt>
                <c:pt idx="18">
                  <c:v>270-285</c:v>
                </c:pt>
                <c:pt idx="19">
                  <c:v>285-300</c:v>
                </c:pt>
              </c:strCache>
            </c:strRef>
          </c:cat>
          <c:val>
            <c:numRef>
              <c:f>TablasDinamicas!$C$81:$C$101</c:f>
              <c:numCache>
                <c:formatCode>#,##0</c:formatCode>
                <c:ptCount val="20"/>
                <c:pt idx="0">
                  <c:v>128</c:v>
                </c:pt>
                <c:pt idx="1">
                  <c:v>140</c:v>
                </c:pt>
                <c:pt idx="2">
                  <c:v>117</c:v>
                </c:pt>
                <c:pt idx="3">
                  <c:v>129</c:v>
                </c:pt>
                <c:pt idx="4">
                  <c:v>137</c:v>
                </c:pt>
                <c:pt idx="5">
                  <c:v>111</c:v>
                </c:pt>
                <c:pt idx="6">
                  <c:v>119</c:v>
                </c:pt>
                <c:pt idx="7">
                  <c:v>125</c:v>
                </c:pt>
                <c:pt idx="8">
                  <c:v>134</c:v>
                </c:pt>
                <c:pt idx="9">
                  <c:v>120</c:v>
                </c:pt>
                <c:pt idx="10">
                  <c:v>125</c:v>
                </c:pt>
                <c:pt idx="11">
                  <c:v>113</c:v>
                </c:pt>
                <c:pt idx="12">
                  <c:v>126</c:v>
                </c:pt>
                <c:pt idx="13">
                  <c:v>118</c:v>
                </c:pt>
                <c:pt idx="14">
                  <c:v>127</c:v>
                </c:pt>
                <c:pt idx="15">
                  <c:v>106</c:v>
                </c:pt>
                <c:pt idx="16">
                  <c:v>121</c:v>
                </c:pt>
                <c:pt idx="17">
                  <c:v>130</c:v>
                </c:pt>
                <c:pt idx="18">
                  <c:v>147</c:v>
                </c:pt>
                <c:pt idx="19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B5-402E-84CB-8FD7BA40C6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59025199"/>
        <c:axId val="559025679"/>
      </c:lineChart>
      <c:catAx>
        <c:axId val="55902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9025679"/>
        <c:crosses val="autoZero"/>
        <c:auto val="1"/>
        <c:lblAlgn val="ctr"/>
        <c:lblOffset val="100"/>
        <c:noMultiLvlLbl val="0"/>
      </c:catAx>
      <c:valAx>
        <c:axId val="559025679"/>
        <c:scaling>
          <c:orientation val="minMax"/>
          <c:min val="6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55902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[1(Recuperado automáticamente).xlsx]TablasDinamicas (2)!VentasTransmision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'TablasDinamicas (2)'!$J$27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AD-40BA-9824-B0790D30EB6A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AD-40BA-9824-B0790D30E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'TablasDinamicas (2)'!$I$28:$I$30</c:f>
              <c:strCache>
                <c:ptCount val="2"/>
                <c:pt idx="0">
                  <c:v>Automatic</c:v>
                </c:pt>
                <c:pt idx="1">
                  <c:v>Manual</c:v>
                </c:pt>
              </c:strCache>
            </c:strRef>
          </c:cat>
          <c:val>
            <c:numRef>
              <c:f>'TablasDinamicas (2)'!$J$28:$J$30</c:f>
              <c:numCache>
                <c:formatCode>#,##0</c:formatCode>
                <c:ptCount val="2"/>
                <c:pt idx="0">
                  <c:v>1192</c:v>
                </c:pt>
                <c:pt idx="1">
                  <c:v>1308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AD-40BA-9824-B0790D30EB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 (2)!VentasPrecio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'TablasDinamicas (2)'!$C$79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'TablasDinamicas (2)'!$B$80:$B$85</c:f>
              <c:strCache>
                <c:ptCount val="5"/>
                <c:pt idx="0">
                  <c:v>0-20000</c:v>
                </c:pt>
                <c:pt idx="1">
                  <c:v>20000-40000</c:v>
                </c:pt>
                <c:pt idx="2">
                  <c:v>40000-60000</c:v>
                </c:pt>
                <c:pt idx="3">
                  <c:v>60000-80000</c:v>
                </c:pt>
                <c:pt idx="4">
                  <c:v>80000-100000</c:v>
                </c:pt>
              </c:strCache>
            </c:strRef>
          </c:cat>
          <c:val>
            <c:numRef>
              <c:f>'TablasDinamicas (2)'!$C$80:$C$85</c:f>
              <c:numCache>
                <c:formatCode>#,##0</c:formatCode>
                <c:ptCount val="5"/>
                <c:pt idx="0">
                  <c:v>615</c:v>
                </c:pt>
                <c:pt idx="1">
                  <c:v>459</c:v>
                </c:pt>
                <c:pt idx="2">
                  <c:v>485</c:v>
                </c:pt>
                <c:pt idx="3">
                  <c:v>466</c:v>
                </c:pt>
                <c:pt idx="4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9-46AF-8AA6-FB721D1B4C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3693167"/>
        <c:axId val="483693647"/>
      </c:barChart>
      <c:catAx>
        <c:axId val="48369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3693647"/>
        <c:crosses val="autoZero"/>
        <c:auto val="1"/>
        <c:lblAlgn val="ctr"/>
        <c:lblOffset val="100"/>
        <c:noMultiLvlLbl val="0"/>
      </c:catAx>
      <c:valAx>
        <c:axId val="4836936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369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 (2)!Modelos+Vendid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'TablasDinamicas (2)'!$F$12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'TablasDinamicas (2)'!$E$13:$E$19</c:f>
              <c:strCache>
                <c:ptCount val="6"/>
                <c:pt idx="0">
                  <c:v>Corolla</c:v>
                </c:pt>
                <c:pt idx="1">
                  <c:v>Fiesta</c:v>
                </c:pt>
                <c:pt idx="2">
                  <c:v>A3</c:v>
                </c:pt>
                <c:pt idx="3">
                  <c:v>A4</c:v>
                </c:pt>
                <c:pt idx="4">
                  <c:v>Q7</c:v>
                </c:pt>
                <c:pt idx="5">
                  <c:v>CR-V</c:v>
                </c:pt>
              </c:strCache>
            </c:strRef>
          </c:cat>
          <c:val>
            <c:numRef>
              <c:f>'TablasDinamicas (2)'!$F$13:$F$19</c:f>
              <c:numCache>
                <c:formatCode>#,##0</c:formatCode>
                <c:ptCount val="6"/>
                <c:pt idx="0">
                  <c:v>103</c:v>
                </c:pt>
                <c:pt idx="1">
                  <c:v>103</c:v>
                </c:pt>
                <c:pt idx="2">
                  <c:v>98</c:v>
                </c:pt>
                <c:pt idx="3">
                  <c:v>96</c:v>
                </c:pt>
                <c:pt idx="4">
                  <c:v>95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5-4C5F-85A8-9BFA6B4A4D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2587375"/>
        <c:axId val="2112587855"/>
      </c:barChart>
      <c:catAx>
        <c:axId val="211258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2587855"/>
        <c:crosses val="autoZero"/>
        <c:auto val="1"/>
        <c:lblAlgn val="ctr"/>
        <c:lblOffset val="100"/>
        <c:noMultiLvlLbl val="0"/>
      </c:catAx>
      <c:valAx>
        <c:axId val="21125878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11258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 (2)!TablaDinámica2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'TablasDinamicas (2)'!$I$12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'TablasDinamicas (2)'!$H$13:$H$19</c:f>
              <c:strCache>
                <c:ptCount val="6"/>
                <c:pt idx="0">
                  <c:v>Mustang</c:v>
                </c:pt>
                <c:pt idx="1">
                  <c:v>Model S</c:v>
                </c:pt>
                <c:pt idx="2">
                  <c:v>Q5</c:v>
                </c:pt>
                <c:pt idx="3">
                  <c:v>GLC</c:v>
                </c:pt>
                <c:pt idx="4">
                  <c:v>X5</c:v>
                </c:pt>
                <c:pt idx="5">
                  <c:v>Civic</c:v>
                </c:pt>
              </c:strCache>
            </c:strRef>
          </c:cat>
          <c:val>
            <c:numRef>
              <c:f>'TablasDinamicas (2)'!$I$13:$I$19</c:f>
              <c:numCache>
                <c:formatCode>#,##0</c:formatCode>
                <c:ptCount val="6"/>
                <c:pt idx="0">
                  <c:v>77</c:v>
                </c:pt>
                <c:pt idx="1">
                  <c:v>79</c:v>
                </c:pt>
                <c:pt idx="2">
                  <c:v>79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C-433B-BBA6-B045FBFD84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5169775"/>
        <c:axId val="685171215"/>
      </c:barChart>
      <c:catAx>
        <c:axId val="68516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85171215"/>
        <c:crosses val="autoZero"/>
        <c:auto val="1"/>
        <c:lblAlgn val="ctr"/>
        <c:lblOffset val="100"/>
        <c:noMultiLvlLbl val="0"/>
      </c:catAx>
      <c:valAx>
        <c:axId val="6851712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68516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 (2)!VentasCombustible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'TablasDinamicas (2)'!$C$61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'TablasDinamicas (2)'!$B$62:$B$66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'TablasDinamicas (2)'!$C$62:$C$66</c:f>
              <c:numCache>
                <c:formatCode>#,##0</c:formatCode>
                <c:ptCount val="4"/>
                <c:pt idx="0">
                  <c:v>655</c:v>
                </c:pt>
                <c:pt idx="1">
                  <c:v>614</c:v>
                </c:pt>
                <c:pt idx="2">
                  <c:v>601</c:v>
                </c:pt>
                <c:pt idx="3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F-45DB-9052-5CF85C90F8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6854239"/>
        <c:axId val="2116857599"/>
      </c:barChart>
      <c:catAx>
        <c:axId val="211685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6857599"/>
        <c:crosses val="autoZero"/>
        <c:auto val="1"/>
        <c:lblAlgn val="ctr"/>
        <c:lblOffset val="100"/>
        <c:noMultiLvlLbl val="0"/>
      </c:catAx>
      <c:valAx>
        <c:axId val="21168575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11685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 (2)!VentasEstado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'TablasDinamicas (2)'!$J$61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'TablasDinamicas (2)'!$I$62:$I$65</c:f>
              <c:strCache>
                <c:ptCount val="3"/>
                <c:pt idx="0">
                  <c:v>Like New</c:v>
                </c:pt>
                <c:pt idx="1">
                  <c:v>New</c:v>
                </c:pt>
                <c:pt idx="2">
                  <c:v>Used</c:v>
                </c:pt>
              </c:strCache>
            </c:strRef>
          </c:cat>
          <c:val>
            <c:numRef>
              <c:f>'TablasDinamicas (2)'!$J$62:$J$65</c:f>
              <c:numCache>
                <c:formatCode>#,##0</c:formatCode>
                <c:ptCount val="3"/>
                <c:pt idx="0">
                  <c:v>836</c:v>
                </c:pt>
                <c:pt idx="1">
                  <c:v>809</c:v>
                </c:pt>
                <c:pt idx="2">
                  <c:v>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A-4678-AC37-4826FF014E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4409759"/>
        <c:axId val="474410239"/>
      </c:barChart>
      <c:catAx>
        <c:axId val="47440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4410239"/>
        <c:crosses val="autoZero"/>
        <c:auto val="1"/>
        <c:lblAlgn val="ctr"/>
        <c:lblOffset val="100"/>
        <c:noMultiLvlLbl val="0"/>
      </c:catAx>
      <c:valAx>
        <c:axId val="4744102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7440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0-50</c:v>
              </c:pt>
              <c:pt idx="1">
                <c:v>50-100</c:v>
              </c:pt>
              <c:pt idx="2">
                <c:v>100-150</c:v>
              </c:pt>
              <c:pt idx="3">
                <c:v>150-200</c:v>
              </c:pt>
              <c:pt idx="4">
                <c:v>200-250</c:v>
              </c:pt>
              <c:pt idx="5">
                <c:v>250-300</c:v>
              </c:pt>
            </c:strLit>
          </c:cat>
          <c:val>
            <c:numLit>
              <c:formatCode>General</c:formatCode>
              <c:ptCount val="6"/>
              <c:pt idx="0">
                <c:v>427</c:v>
              </c:pt>
              <c:pt idx="1">
                <c:v>415</c:v>
              </c:pt>
              <c:pt idx="2">
                <c:v>418</c:v>
              </c:pt>
              <c:pt idx="3">
                <c:v>399</c:v>
              </c:pt>
              <c:pt idx="4">
                <c:v>398</c:v>
              </c:pt>
              <c:pt idx="5">
                <c:v>443</c:v>
              </c:pt>
            </c:numLit>
          </c:val>
          <c:extLst>
            <c:ext xmlns:c16="http://schemas.microsoft.com/office/drawing/2014/chart" uri="{C3380CC4-5D6E-409C-BE32-E72D297353CC}">
              <c16:uniqueId val="{00000005-99DF-47EF-B1F7-8A74A6FFA3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17707999"/>
        <c:axId val="717703199"/>
      </c:barChart>
      <c:catAx>
        <c:axId val="71770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7703199"/>
        <c:crosses val="autoZero"/>
        <c:auto val="1"/>
        <c:lblAlgn val="ctr"/>
        <c:lblOffset val="100"/>
        <c:noMultiLvlLbl val="0"/>
      </c:catAx>
      <c:valAx>
        <c:axId val="71770319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1770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[1(Recuperado automáticamente).xlsx]TablasDinamicas (2)!VentasCilindrada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'TablasDinamicas (2)'!$C$44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'TablasDinamicas (2)'!$B$45:$B$50</c:f>
              <c:strCache>
                <c:ptCount val="5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</c:strCache>
            </c:strRef>
          </c:cat>
          <c:val>
            <c:numRef>
              <c:f>'TablasDinamicas (2)'!$C$45:$C$50</c:f>
              <c:numCache>
                <c:formatCode>#,##0</c:formatCode>
                <c:ptCount val="5"/>
                <c:pt idx="0">
                  <c:v>479</c:v>
                </c:pt>
                <c:pt idx="1">
                  <c:v>517</c:v>
                </c:pt>
                <c:pt idx="2">
                  <c:v>511</c:v>
                </c:pt>
                <c:pt idx="3">
                  <c:v>484</c:v>
                </c:pt>
                <c:pt idx="4">
                  <c:v>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0-482B-804C-C5975AFAB7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2586415"/>
        <c:axId val="2112586895"/>
      </c:barChart>
      <c:catAx>
        <c:axId val="211258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2586895"/>
        <c:crosses val="autoZero"/>
        <c:auto val="1"/>
        <c:lblAlgn val="ctr"/>
        <c:lblOffset val="100"/>
        <c:noMultiLvlLbl val="0"/>
      </c:catAx>
      <c:valAx>
        <c:axId val="211258689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11258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image" Target="../media/image1.emf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804677</xdr:colOff>
      <xdr:row>25</xdr:row>
      <xdr:rowOff>182707</xdr:rowOff>
    </xdr:from>
    <xdr:to>
      <xdr:col>7</xdr:col>
      <xdr:colOff>252227</xdr:colOff>
      <xdr:row>38</xdr:row>
      <xdr:rowOff>173182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DDDCCC-BCF7-3075-3089-035E7D662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745548</xdr:colOff>
      <xdr:row>42</xdr:row>
      <xdr:rowOff>165573</xdr:rowOff>
    </xdr:from>
    <xdr:to>
      <xdr:col>7</xdr:col>
      <xdr:colOff>269298</xdr:colOff>
      <xdr:row>55</xdr:row>
      <xdr:rowOff>160811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583B36-D611-0809-9F42-A50C88145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76200</xdr:colOff>
      <xdr:row>23</xdr:row>
      <xdr:rowOff>157162</xdr:rowOff>
    </xdr:from>
    <xdr:to>
      <xdr:col>15</xdr:col>
      <xdr:colOff>28575</xdr:colOff>
      <xdr:row>36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E3D3A09-2FA5-CDC8-DE25-030FFEBCB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314325</xdr:colOff>
      <xdr:row>41</xdr:row>
      <xdr:rowOff>90486</xdr:rowOff>
    </xdr:from>
    <xdr:to>
      <xdr:col>14</xdr:col>
      <xdr:colOff>657225</xdr:colOff>
      <xdr:row>56</xdr:row>
      <xdr:rowOff>38099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7789118-F665-CB2A-59FE-A1C775F13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760516</xdr:colOff>
      <xdr:row>61</xdr:row>
      <xdr:rowOff>2907</xdr:rowOff>
    </xdr:from>
    <xdr:to>
      <xdr:col>7</xdr:col>
      <xdr:colOff>50718</xdr:colOff>
      <xdr:row>73</xdr:row>
      <xdr:rowOff>55295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FE875EB-0D34-1165-F752-B5FD28D96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458436</xdr:colOff>
      <xdr:row>61</xdr:row>
      <xdr:rowOff>133287</xdr:rowOff>
    </xdr:from>
    <xdr:to>
      <xdr:col>19</xdr:col>
      <xdr:colOff>77437</xdr:colOff>
      <xdr:row>75</xdr:row>
      <xdr:rowOff>128525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18A8591D-0F0C-3AEE-CF53-533A1B829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651904</xdr:colOff>
      <xdr:row>89</xdr:row>
      <xdr:rowOff>26226</xdr:rowOff>
    </xdr:from>
    <xdr:to>
      <xdr:col>11</xdr:col>
      <xdr:colOff>1100942</xdr:colOff>
      <xdr:row>106</xdr:row>
      <xdr:rowOff>148443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CCF777-2C87-0304-5061-71445E0D0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23</xdr:row>
      <xdr:rowOff>157162</xdr:rowOff>
    </xdr:from>
    <xdr:to>
      <xdr:col>15</xdr:col>
      <xdr:colOff>28575</xdr:colOff>
      <xdr:row>36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963F30E-F8BB-440C-8A5B-739E317BC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419100</xdr:colOff>
      <xdr:row>77</xdr:row>
      <xdr:rowOff>185736</xdr:rowOff>
    </xdr:from>
    <xdr:to>
      <xdr:col>6</xdr:col>
      <xdr:colOff>457200</xdr:colOff>
      <xdr:row>90</xdr:row>
      <xdr:rowOff>114300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A3F447F-EDC4-45C0-AB0A-71562C473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90488</xdr:colOff>
      <xdr:row>0</xdr:row>
      <xdr:rowOff>85725</xdr:rowOff>
    </xdr:from>
    <xdr:to>
      <xdr:col>2</xdr:col>
      <xdr:colOff>114300</xdr:colOff>
      <xdr:row>50</xdr:row>
      <xdr:rowOff>165102</xdr:rowOff>
    </xdr:to>
    <xdr:sp macro="" textlink="">
      <xdr:nvSpPr>
        <xdr:cNvPr id="6" name="Rectángulo: una sola esquina redondeada 5">
          <a:extLst>
            <a:ext uri="{FF2B5EF4-FFF2-40B4-BE49-F238E27FC236}">
              <a16:creationId xmlns:a16="http://schemas.microsoft.com/office/drawing/2014/main" id="{2AA76658-75D6-80B9-F595-14BBABF4B54A}"/>
            </a:ext>
          </a:extLst>
        </xdr:cNvPr>
        <xdr:cNvSpPr/>
      </xdr:nvSpPr>
      <xdr:spPr>
        <a:xfrm rot="16200000">
          <a:off x="-3937795" y="4114008"/>
          <a:ext cx="9604377" cy="1547812"/>
        </a:xfrm>
        <a:prstGeom prst="round1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180975</xdr:colOff>
      <xdr:row>1</xdr:row>
      <xdr:rowOff>38099</xdr:rowOff>
    </xdr:from>
    <xdr:to>
      <xdr:col>2</xdr:col>
      <xdr:colOff>19051</xdr:colOff>
      <xdr:row>8</xdr:row>
      <xdr:rowOff>142874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E5C38B4-1368-C5B1-A623-137FF2808341}"/>
            </a:ext>
          </a:extLst>
        </xdr:cNvPr>
        <xdr:cNvSpPr txBox="1"/>
      </xdr:nvSpPr>
      <xdr:spPr>
        <a:xfrm>
          <a:off x="180975" y="228599"/>
          <a:ext cx="1362076" cy="1438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>
              <a:solidFill>
                <a:schemeClr val="tx1"/>
              </a:solidFill>
              <a:latin typeface="Bahnschrift" panose="020B0502040204020203" pitchFamily="34" charset="0"/>
            </a:rPr>
            <a:t>ANALISIS</a:t>
          </a:r>
          <a:r>
            <a:rPr lang="es-ES" sz="1600" b="1" baseline="0">
              <a:solidFill>
                <a:schemeClr val="tx1"/>
              </a:solidFill>
              <a:latin typeface="Bahnschrift" panose="020B0502040204020203" pitchFamily="34" charset="0"/>
            </a:rPr>
            <a:t> DE VENTAS Y PRECIOS DE VEHICULOS</a:t>
          </a:r>
          <a:endParaRPr lang="es-ES" sz="1600" b="1">
            <a:solidFill>
              <a:schemeClr val="tx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</xdr:col>
      <xdr:colOff>504825</xdr:colOff>
      <xdr:row>0</xdr:row>
      <xdr:rowOff>123825</xdr:rowOff>
    </xdr:from>
    <xdr:to>
      <xdr:col>5</xdr:col>
      <xdr:colOff>523875</xdr:colOff>
      <xdr:row>7</xdr:row>
      <xdr:rowOff>14325</xdr:rowOff>
    </xdr:to>
    <xdr:sp macro="" textlink="TablasDinamicas!C5">
      <xdr:nvSpPr>
        <xdr:cNvPr id="8" name="Rectángulo: esquinas redondeadas 7">
          <a:extLst>
            <a:ext uri="{FF2B5EF4-FFF2-40B4-BE49-F238E27FC236}">
              <a16:creationId xmlns:a16="http://schemas.microsoft.com/office/drawing/2014/main" id="{4F3CE943-58C3-45B8-07F2-07CECA532A4F}"/>
            </a:ext>
          </a:extLst>
        </xdr:cNvPr>
        <xdr:cNvSpPr/>
      </xdr:nvSpPr>
      <xdr:spPr>
        <a:xfrm>
          <a:off x="2028825" y="123825"/>
          <a:ext cx="2305050" cy="122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7A89588-850C-4FF6-B823-BC0DAD8D5D44}" type="TxLink">
            <a:rPr lang="en-US" sz="2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2.500</a:t>
          </a:fld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114299</xdr:colOff>
      <xdr:row>0</xdr:row>
      <xdr:rowOff>142874</xdr:rowOff>
    </xdr:from>
    <xdr:to>
      <xdr:col>9</xdr:col>
      <xdr:colOff>132299</xdr:colOff>
      <xdr:row>7</xdr:row>
      <xdr:rowOff>33374</xdr:rowOff>
    </xdr:to>
    <xdr:sp macro="" textlink="TablasDinamicas!D6">
      <xdr:nvSpPr>
        <xdr:cNvPr id="9" name="Rectángulo: esquinas redondeadas 8">
          <a:extLst>
            <a:ext uri="{FF2B5EF4-FFF2-40B4-BE49-F238E27FC236}">
              <a16:creationId xmlns:a16="http://schemas.microsoft.com/office/drawing/2014/main" id="{6A52BED7-C2C8-43A1-A528-42F17B653DE6}"/>
            </a:ext>
          </a:extLst>
        </xdr:cNvPr>
        <xdr:cNvSpPr/>
      </xdr:nvSpPr>
      <xdr:spPr>
        <a:xfrm>
          <a:off x="4686299" y="142874"/>
          <a:ext cx="2304000" cy="122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406AF58-1839-45D4-BA9D-DF9E0449BAD3}" type="TxLink">
            <a:rPr lang="en-US" sz="28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47.743 €</a:t>
          </a:fld>
          <a:endParaRPr lang="es-ES" sz="5400"/>
        </a:p>
      </xdr:txBody>
    </xdr:sp>
    <xdr:clientData/>
  </xdr:twoCellAnchor>
  <xdr:twoCellAnchor>
    <xdr:from>
      <xdr:col>2</xdr:col>
      <xdr:colOff>561975</xdr:colOff>
      <xdr:row>0</xdr:row>
      <xdr:rowOff>104775</xdr:rowOff>
    </xdr:from>
    <xdr:to>
      <xdr:col>5</xdr:col>
      <xdr:colOff>190501</xdr:colOff>
      <xdr:row>2</xdr:row>
      <xdr:rowOff>38100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52BEFAA-F36E-42F3-B7BF-9BB9CCEADD3A}"/>
            </a:ext>
          </a:extLst>
        </xdr:cNvPr>
        <xdr:cNvSpPr txBox="1"/>
      </xdr:nvSpPr>
      <xdr:spPr>
        <a:xfrm>
          <a:off x="2085975" y="104775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Total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de vehiculos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6</xdr:col>
      <xdr:colOff>200025</xdr:colOff>
      <xdr:row>0</xdr:row>
      <xdr:rowOff>114300</xdr:rowOff>
    </xdr:from>
    <xdr:to>
      <xdr:col>8</xdr:col>
      <xdr:colOff>590551</xdr:colOff>
      <xdr:row>2</xdr:row>
      <xdr:rowOff>47625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1481670B-AE4B-4F65-A409-D450A67E7F77}"/>
            </a:ext>
          </a:extLst>
        </xdr:cNvPr>
        <xdr:cNvSpPr txBox="1"/>
      </xdr:nvSpPr>
      <xdr:spPr>
        <a:xfrm>
          <a:off x="4772025" y="114300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Precio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Medio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9</xdr:col>
      <xdr:colOff>419097</xdr:colOff>
      <xdr:row>1</xdr:row>
      <xdr:rowOff>152399</xdr:rowOff>
    </xdr:from>
    <xdr:to>
      <xdr:col>12</xdr:col>
      <xdr:colOff>545097</xdr:colOff>
      <xdr:row>6</xdr:row>
      <xdr:rowOff>63899</xdr:rowOff>
    </xdr:to>
    <xdr:sp macro="" textlink="TablasDinamicas!D6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B5A1C1C4-99BA-4AC4-A77D-6079AC89D125}"/>
            </a:ext>
          </a:extLst>
        </xdr:cNvPr>
        <xdr:cNvSpPr/>
      </xdr:nvSpPr>
      <xdr:spPr>
        <a:xfrm>
          <a:off x="7277097" y="342899"/>
          <a:ext cx="2412000" cy="86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2E0D729-D5C9-43A5-9352-0EEF52F51967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47.743 €</a:t>
          </a:fld>
          <a:endParaRPr lang="es-ES" sz="4400"/>
        </a:p>
      </xdr:txBody>
    </xdr:sp>
    <xdr:clientData/>
  </xdr:twoCellAnchor>
  <xdr:twoCellAnchor>
    <xdr:from>
      <xdr:col>12</xdr:col>
      <xdr:colOff>714372</xdr:colOff>
      <xdr:row>1</xdr:row>
      <xdr:rowOff>171449</xdr:rowOff>
    </xdr:from>
    <xdr:to>
      <xdr:col>16</xdr:col>
      <xdr:colOff>78372</xdr:colOff>
      <xdr:row>6</xdr:row>
      <xdr:rowOff>82949</xdr:rowOff>
    </xdr:to>
    <xdr:sp macro="" textlink="TablasDinamicas!F6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3D56144C-2754-4282-A623-921874EB5048}"/>
            </a:ext>
          </a:extLst>
        </xdr:cNvPr>
        <xdr:cNvSpPr/>
      </xdr:nvSpPr>
      <xdr:spPr>
        <a:xfrm>
          <a:off x="9858372" y="361949"/>
          <a:ext cx="2412000" cy="86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6DFE48B-F9DC-4E96-AB4C-A9825CA05EF6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99.983 €</a:t>
          </a:fld>
          <a:endParaRPr lang="es-ES" sz="4400"/>
        </a:p>
      </xdr:txBody>
    </xdr:sp>
    <xdr:clientData/>
  </xdr:twoCellAnchor>
  <xdr:twoCellAnchor>
    <xdr:from>
      <xdr:col>16</xdr:col>
      <xdr:colOff>257172</xdr:colOff>
      <xdr:row>2</xdr:row>
      <xdr:rowOff>9524</xdr:rowOff>
    </xdr:from>
    <xdr:to>
      <xdr:col>19</xdr:col>
      <xdr:colOff>383172</xdr:colOff>
      <xdr:row>6</xdr:row>
      <xdr:rowOff>111524</xdr:rowOff>
    </xdr:to>
    <xdr:sp macro="" textlink="TablasDinamicas!H6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78E28F6C-DB1C-4A37-ADFC-8F1222E63492}"/>
            </a:ext>
          </a:extLst>
        </xdr:cNvPr>
        <xdr:cNvSpPr/>
      </xdr:nvSpPr>
      <xdr:spPr>
        <a:xfrm>
          <a:off x="12449172" y="390524"/>
          <a:ext cx="2412000" cy="86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0956099-7EA0-4E5D-AF42-30F2DC32BD67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554 €</a:t>
          </a:fld>
          <a:endParaRPr lang="es-ES" sz="4400"/>
        </a:p>
      </xdr:txBody>
    </xdr:sp>
    <xdr:clientData/>
  </xdr:twoCellAnchor>
  <xdr:twoCellAnchor>
    <xdr:from>
      <xdr:col>9</xdr:col>
      <xdr:colOff>457200</xdr:colOff>
      <xdr:row>1</xdr:row>
      <xdr:rowOff>133350</xdr:rowOff>
    </xdr:from>
    <xdr:to>
      <xdr:col>12</xdr:col>
      <xdr:colOff>85726</xdr:colOff>
      <xdr:row>3</xdr:row>
      <xdr:rowOff>66675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F5ACCAC-E136-408C-851B-56BBE47D214D}"/>
            </a:ext>
          </a:extLst>
        </xdr:cNvPr>
        <xdr:cNvSpPr txBox="1"/>
      </xdr:nvSpPr>
      <xdr:spPr>
        <a:xfrm>
          <a:off x="7315200" y="323850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>
              <a:solidFill>
                <a:schemeClr val="tx1">
                  <a:lumMod val="65000"/>
                  <a:lumOff val="35000"/>
                </a:schemeClr>
              </a:solidFill>
            </a:rPr>
            <a:t>Precio</a:t>
          </a:r>
          <a:r>
            <a:rPr lang="es-ES" sz="1200" b="1" baseline="0">
              <a:solidFill>
                <a:schemeClr val="tx1">
                  <a:lumMod val="65000"/>
                  <a:lumOff val="35000"/>
                </a:schemeClr>
              </a:solidFill>
            </a:rPr>
            <a:t> máximo</a:t>
          </a:r>
          <a:endParaRPr lang="es-ES" sz="12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12</xdr:col>
      <xdr:colOff>742950</xdr:colOff>
      <xdr:row>1</xdr:row>
      <xdr:rowOff>161925</xdr:rowOff>
    </xdr:from>
    <xdr:to>
      <xdr:col>15</xdr:col>
      <xdr:colOff>371476</xdr:colOff>
      <xdr:row>3</xdr:row>
      <xdr:rowOff>95250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630D5547-FA81-411D-97DA-B59ECA3E7CAE}"/>
            </a:ext>
          </a:extLst>
        </xdr:cNvPr>
        <xdr:cNvSpPr txBox="1"/>
      </xdr:nvSpPr>
      <xdr:spPr>
        <a:xfrm>
          <a:off x="9886950" y="352425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2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16</xdr:col>
      <xdr:colOff>276225</xdr:colOff>
      <xdr:row>2</xdr:row>
      <xdr:rowOff>0</xdr:rowOff>
    </xdr:from>
    <xdr:to>
      <xdr:col>18</xdr:col>
      <xdr:colOff>666751</xdr:colOff>
      <xdr:row>3</xdr:row>
      <xdr:rowOff>123825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4B29D64-3481-4773-B3FA-B55060F9DCF8}"/>
            </a:ext>
          </a:extLst>
        </xdr:cNvPr>
        <xdr:cNvSpPr txBox="1"/>
      </xdr:nvSpPr>
      <xdr:spPr>
        <a:xfrm>
          <a:off x="12468225" y="381000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>
              <a:solidFill>
                <a:schemeClr val="tx1">
                  <a:lumMod val="65000"/>
                  <a:lumOff val="35000"/>
                </a:schemeClr>
              </a:solidFill>
            </a:rPr>
            <a:t>Desviación</a:t>
          </a:r>
          <a:r>
            <a:rPr lang="es-ES" sz="1200" b="1" baseline="0">
              <a:solidFill>
                <a:schemeClr val="tx1">
                  <a:lumMod val="65000"/>
                  <a:lumOff val="35000"/>
                </a:schemeClr>
              </a:solidFill>
            </a:rPr>
            <a:t> estandar</a:t>
          </a:r>
          <a:endParaRPr lang="es-ES" sz="12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23</xdr:col>
      <xdr:colOff>114302</xdr:colOff>
      <xdr:row>0</xdr:row>
      <xdr:rowOff>0</xdr:rowOff>
    </xdr:from>
    <xdr:to>
      <xdr:col>27</xdr:col>
      <xdr:colOff>88905</xdr:colOff>
      <xdr:row>36</xdr:row>
      <xdr:rowOff>190494</xdr:rowOff>
    </xdr:to>
    <xdr:sp macro="" textlink="">
      <xdr:nvSpPr>
        <xdr:cNvPr id="19" name="Rectángulo: una sola esquina redondeada 18">
          <a:extLst>
            <a:ext uri="{FF2B5EF4-FFF2-40B4-BE49-F238E27FC236}">
              <a16:creationId xmlns:a16="http://schemas.microsoft.com/office/drawing/2014/main" id="{DE1666FE-A0EF-4FDD-B225-FB188E85B40B}"/>
            </a:ext>
          </a:extLst>
        </xdr:cNvPr>
        <xdr:cNvSpPr/>
      </xdr:nvSpPr>
      <xdr:spPr>
        <a:xfrm rot="16200000">
          <a:off x="15627357" y="2012945"/>
          <a:ext cx="7048494" cy="3022603"/>
        </a:xfrm>
        <a:prstGeom prst="round1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23</xdr:col>
      <xdr:colOff>419100</xdr:colOff>
      <xdr:row>0</xdr:row>
      <xdr:rowOff>120650</xdr:rowOff>
    </xdr:from>
    <xdr:to>
      <xdr:col>26</xdr:col>
      <xdr:colOff>723900</xdr:colOff>
      <xdr:row>7</xdr:row>
      <xdr:rowOff>88900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Brand">
              <a:extLst>
                <a:ext uri="{FF2B5EF4-FFF2-40B4-BE49-F238E27FC236}">
                  <a16:creationId xmlns:a16="http://schemas.microsoft.com/office/drawing/2014/main" id="{9A8CA0C1-E9DA-47B2-A20E-98D54D6387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45100" y="120650"/>
              <a:ext cx="2590800" cy="1301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406400</xdr:colOff>
      <xdr:row>7</xdr:row>
      <xdr:rowOff>187325</xdr:rowOff>
    </xdr:from>
    <xdr:to>
      <xdr:col>26</xdr:col>
      <xdr:colOff>749300</xdr:colOff>
      <xdr:row>15</xdr:row>
      <xdr:rowOff>165100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Engine Size (L)">
              <a:extLst>
                <a:ext uri="{FF2B5EF4-FFF2-40B4-BE49-F238E27FC236}">
                  <a16:creationId xmlns:a16="http://schemas.microsoft.com/office/drawing/2014/main" id="{221AAA30-AB5C-4D93-8791-39FE753610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gine Size (L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32400" y="1520825"/>
              <a:ext cx="2628900" cy="1501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406400</xdr:colOff>
      <xdr:row>16</xdr:row>
      <xdr:rowOff>69850</xdr:rowOff>
    </xdr:from>
    <xdr:to>
      <xdr:col>27</xdr:col>
      <xdr:colOff>0</xdr:colOff>
      <xdr:row>21</xdr:row>
      <xdr:rowOff>152399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Fuel Type">
              <a:extLst>
                <a:ext uri="{FF2B5EF4-FFF2-40B4-BE49-F238E27FC236}">
                  <a16:creationId xmlns:a16="http://schemas.microsoft.com/office/drawing/2014/main" id="{03C17E1D-3698-4CD1-9D98-4009BF869A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el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32400" y="3117850"/>
              <a:ext cx="2641600" cy="1035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431799</xdr:colOff>
      <xdr:row>22</xdr:row>
      <xdr:rowOff>114299</xdr:rowOff>
    </xdr:from>
    <xdr:to>
      <xdr:col>27</xdr:col>
      <xdr:colOff>0</xdr:colOff>
      <xdr:row>27</xdr:row>
      <xdr:rowOff>139700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Transmission 1">
              <a:extLst>
                <a:ext uri="{FF2B5EF4-FFF2-40B4-BE49-F238E27FC236}">
                  <a16:creationId xmlns:a16="http://schemas.microsoft.com/office/drawing/2014/main" id="{2A7092A6-CF1C-433A-B2E3-37264EB302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miss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57799" y="4305299"/>
              <a:ext cx="2616201" cy="9779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438149</xdr:colOff>
      <xdr:row>28</xdr:row>
      <xdr:rowOff>53976</xdr:rowOff>
    </xdr:from>
    <xdr:to>
      <xdr:col>27</xdr:col>
      <xdr:colOff>25400</xdr:colOff>
      <xdr:row>34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Condition">
              <a:extLst>
                <a:ext uri="{FF2B5EF4-FFF2-40B4-BE49-F238E27FC236}">
                  <a16:creationId xmlns:a16="http://schemas.microsoft.com/office/drawing/2014/main" id="{836F96F9-6FC9-4857-83E6-45503A8BE5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64149" y="5387976"/>
              <a:ext cx="2635251" cy="12414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466725</xdr:colOff>
      <xdr:row>8</xdr:row>
      <xdr:rowOff>161924</xdr:rowOff>
    </xdr:from>
    <xdr:to>
      <xdr:col>6</xdr:col>
      <xdr:colOff>304800</xdr:colOff>
      <xdr:row>20</xdr:row>
      <xdr:rowOff>66675</xdr:rowOff>
    </xdr:to>
    <xdr:sp macro="" textlink="TablasDinamicas!C5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0CC479B7-9C39-49DD-8658-AC90EC13EFB9}"/>
            </a:ext>
          </a:extLst>
        </xdr:cNvPr>
        <xdr:cNvSpPr/>
      </xdr:nvSpPr>
      <xdr:spPr>
        <a:xfrm>
          <a:off x="1990725" y="1685924"/>
          <a:ext cx="2886075" cy="2190751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2</xdr:col>
      <xdr:colOff>651685</xdr:colOff>
      <xdr:row>11</xdr:row>
      <xdr:rowOff>1</xdr:rowOff>
    </xdr:from>
    <xdr:to>
      <xdr:col>6</xdr:col>
      <xdr:colOff>241300</xdr:colOff>
      <xdr:row>19</xdr:row>
      <xdr:rowOff>135092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FD29429E-88BE-FCB6-50B6-DD7FB64EE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685" y="2095501"/>
          <a:ext cx="2637615" cy="165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304800</xdr:colOff>
      <xdr:row>9</xdr:row>
      <xdr:rowOff>9525</xdr:rowOff>
    </xdr:from>
    <xdr:to>
      <xdr:col>5</xdr:col>
      <xdr:colOff>695326</xdr:colOff>
      <xdr:row>10</xdr:row>
      <xdr:rowOff>133350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2C634C80-61C0-4026-AF08-B0A352545E41}"/>
            </a:ext>
          </a:extLst>
        </xdr:cNvPr>
        <xdr:cNvSpPr txBox="1"/>
      </xdr:nvSpPr>
      <xdr:spPr>
        <a:xfrm>
          <a:off x="2590800" y="1724025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Marcas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mas Vendidas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6</xdr:col>
      <xdr:colOff>485775</xdr:colOff>
      <xdr:row>8</xdr:row>
      <xdr:rowOff>152399</xdr:rowOff>
    </xdr:from>
    <xdr:to>
      <xdr:col>18</xdr:col>
      <xdr:colOff>714375</xdr:colOff>
      <xdr:row>20</xdr:row>
      <xdr:rowOff>123825</xdr:rowOff>
    </xdr:to>
    <xdr:sp macro="" textlink="TablasDinamicas!C5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2D531652-A741-46C8-8CBF-48744A1D00E2}"/>
            </a:ext>
          </a:extLst>
        </xdr:cNvPr>
        <xdr:cNvSpPr/>
      </xdr:nvSpPr>
      <xdr:spPr>
        <a:xfrm>
          <a:off x="5057775" y="1676399"/>
          <a:ext cx="9372600" cy="2257426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38099</xdr:colOff>
      <xdr:row>9</xdr:row>
      <xdr:rowOff>9525</xdr:rowOff>
    </xdr:from>
    <xdr:to>
      <xdr:col>12</xdr:col>
      <xdr:colOff>466724</xdr:colOff>
      <xdr:row>20</xdr:row>
      <xdr:rowOff>66674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90F661EF-3DCE-4AF6-AC56-CCA2F49A8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533400</xdr:colOff>
      <xdr:row>11</xdr:row>
      <xdr:rowOff>180976</xdr:rowOff>
    </xdr:from>
    <xdr:to>
      <xdr:col>8</xdr:col>
      <xdr:colOff>190500</xdr:colOff>
      <xdr:row>17</xdr:row>
      <xdr:rowOff>47626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238EABA2-B6BD-480A-A7DE-484CB2B6A0FE}"/>
            </a:ext>
          </a:extLst>
        </xdr:cNvPr>
        <xdr:cNvSpPr txBox="1"/>
      </xdr:nvSpPr>
      <xdr:spPr>
        <a:xfrm>
          <a:off x="5105400" y="2276476"/>
          <a:ext cx="1181100" cy="1009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>
              <a:solidFill>
                <a:schemeClr val="accent1">
                  <a:lumMod val="50000"/>
                </a:schemeClr>
              </a:solidFill>
            </a:rPr>
            <a:t>Modélos</a:t>
          </a:r>
          <a:r>
            <a:rPr lang="es-ES" sz="1600" b="1" baseline="0">
              <a:solidFill>
                <a:schemeClr val="accent1">
                  <a:lumMod val="50000"/>
                </a:schemeClr>
              </a:solidFill>
            </a:rPr>
            <a:t> mas Vendidos</a:t>
          </a:r>
          <a:endParaRPr lang="es-ES" sz="16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581025</xdr:colOff>
      <xdr:row>12</xdr:row>
      <xdr:rowOff>38101</xdr:rowOff>
    </xdr:from>
    <xdr:to>
      <xdr:col>14</xdr:col>
      <xdr:colOff>238125</xdr:colOff>
      <xdr:row>17</xdr:row>
      <xdr:rowOff>95251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237A0A39-C2E6-42F5-9DE9-4ACDB1F4AB48}"/>
            </a:ext>
          </a:extLst>
        </xdr:cNvPr>
        <xdr:cNvSpPr txBox="1"/>
      </xdr:nvSpPr>
      <xdr:spPr>
        <a:xfrm>
          <a:off x="9725025" y="2324101"/>
          <a:ext cx="1181100" cy="1009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>
              <a:solidFill>
                <a:schemeClr val="accent1">
                  <a:lumMod val="50000"/>
                </a:schemeClr>
              </a:solidFill>
            </a:rPr>
            <a:t>Modélos</a:t>
          </a:r>
          <a:r>
            <a:rPr lang="es-ES" sz="1600" b="1" baseline="0">
              <a:solidFill>
                <a:schemeClr val="accent1">
                  <a:lumMod val="50000"/>
                </a:schemeClr>
              </a:solidFill>
            </a:rPr>
            <a:t> menos Vendidos</a:t>
          </a:r>
          <a:endParaRPr lang="es-ES" sz="16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695325</xdr:colOff>
      <xdr:row>9</xdr:row>
      <xdr:rowOff>76199</xdr:rowOff>
    </xdr:from>
    <xdr:to>
      <xdr:col>18</xdr:col>
      <xdr:colOff>514350</xdr:colOff>
      <xdr:row>20</xdr:row>
      <xdr:rowOff>19048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1C39266F-E155-4908-AD74-4852A6F54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438149</xdr:colOff>
      <xdr:row>25</xdr:row>
      <xdr:rowOff>171450</xdr:rowOff>
    </xdr:from>
    <xdr:to>
      <xdr:col>6</xdr:col>
      <xdr:colOff>419100</xdr:colOff>
      <xdr:row>36</xdr:row>
      <xdr:rowOff>19050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93EB7C85-A055-4802-8118-FBC197809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295275</xdr:colOff>
      <xdr:row>23</xdr:row>
      <xdr:rowOff>0</xdr:rowOff>
    </xdr:from>
    <xdr:to>
      <xdr:col>6</xdr:col>
      <xdr:colOff>447675</xdr:colOff>
      <xdr:row>36</xdr:row>
      <xdr:rowOff>19050</xdr:rowOff>
    </xdr:to>
    <xdr:sp macro="" textlink="TablasDinamicas!C5">
      <xdr:nvSpPr>
        <xdr:cNvPr id="39" name="Rectángulo: esquinas redondeadas 38">
          <a:extLst>
            <a:ext uri="{FF2B5EF4-FFF2-40B4-BE49-F238E27FC236}">
              <a16:creationId xmlns:a16="http://schemas.microsoft.com/office/drawing/2014/main" id="{237BB196-D758-4376-8F07-BA37C0717729}"/>
            </a:ext>
          </a:extLst>
        </xdr:cNvPr>
        <xdr:cNvSpPr/>
      </xdr:nvSpPr>
      <xdr:spPr>
        <a:xfrm>
          <a:off x="1819275" y="4381500"/>
          <a:ext cx="3200400" cy="2495550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</xdr:col>
      <xdr:colOff>628649</xdr:colOff>
      <xdr:row>23</xdr:row>
      <xdr:rowOff>95250</xdr:rowOff>
    </xdr:from>
    <xdr:to>
      <xdr:col>6</xdr:col>
      <xdr:colOff>180974</xdr:colOff>
      <xdr:row>25</xdr:row>
      <xdr:rowOff>28575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B2F724F3-7F2A-40F4-B702-951A2A4E6EEB}"/>
            </a:ext>
          </a:extLst>
        </xdr:cNvPr>
        <xdr:cNvSpPr txBox="1"/>
      </xdr:nvSpPr>
      <xdr:spPr>
        <a:xfrm>
          <a:off x="2152649" y="4476750"/>
          <a:ext cx="26003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Ventas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por Tipo de Combustible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6</xdr:col>
      <xdr:colOff>571500</xdr:colOff>
      <xdr:row>23</xdr:row>
      <xdr:rowOff>19049</xdr:rowOff>
    </xdr:from>
    <xdr:to>
      <xdr:col>10</xdr:col>
      <xdr:colOff>723900</xdr:colOff>
      <xdr:row>36</xdr:row>
      <xdr:rowOff>28574</xdr:rowOff>
    </xdr:to>
    <xdr:sp macro="" textlink="TablasDinamicas!C5">
      <xdr:nvSpPr>
        <xdr:cNvPr id="42" name="Rectángulo: esquinas redondeadas 41">
          <a:extLst>
            <a:ext uri="{FF2B5EF4-FFF2-40B4-BE49-F238E27FC236}">
              <a16:creationId xmlns:a16="http://schemas.microsoft.com/office/drawing/2014/main" id="{3CC98168-7116-4879-82ED-142EA0546FA2}"/>
            </a:ext>
          </a:extLst>
        </xdr:cNvPr>
        <xdr:cNvSpPr/>
      </xdr:nvSpPr>
      <xdr:spPr>
        <a:xfrm>
          <a:off x="5143500" y="4400549"/>
          <a:ext cx="3200400" cy="2486025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752474</xdr:colOff>
      <xdr:row>23</xdr:row>
      <xdr:rowOff>114300</xdr:rowOff>
    </xdr:from>
    <xdr:to>
      <xdr:col>10</xdr:col>
      <xdr:colOff>361950</xdr:colOff>
      <xdr:row>25</xdr:row>
      <xdr:rowOff>47625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DD8D0440-37D0-430A-90D7-020AB7DD1900}"/>
            </a:ext>
          </a:extLst>
        </xdr:cNvPr>
        <xdr:cNvSpPr txBox="1"/>
      </xdr:nvSpPr>
      <xdr:spPr>
        <a:xfrm>
          <a:off x="5324474" y="4495800"/>
          <a:ext cx="265747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Ventas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por Estado del Vehiculo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6</xdr:col>
      <xdr:colOff>695326</xdr:colOff>
      <xdr:row>25</xdr:row>
      <xdr:rowOff>171450</xdr:rowOff>
    </xdr:from>
    <xdr:to>
      <xdr:col>10</xdr:col>
      <xdr:colOff>676276</xdr:colOff>
      <xdr:row>36</xdr:row>
      <xdr:rowOff>19050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087D00D0-534B-4BC6-B75D-242E271FF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622300</xdr:colOff>
      <xdr:row>9</xdr:row>
      <xdr:rowOff>101600</xdr:rowOff>
    </xdr:from>
    <xdr:to>
      <xdr:col>23</xdr:col>
      <xdr:colOff>228600</xdr:colOff>
      <xdr:row>37</xdr:row>
      <xdr:rowOff>63500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7DD822E6-65BE-4026-9DDE-D22C20A9B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101600</xdr:colOff>
      <xdr:row>23</xdr:row>
      <xdr:rowOff>19049</xdr:rowOff>
    </xdr:from>
    <xdr:to>
      <xdr:col>15</xdr:col>
      <xdr:colOff>254000</xdr:colOff>
      <xdr:row>36</xdr:row>
      <xdr:rowOff>28574</xdr:rowOff>
    </xdr:to>
    <xdr:sp macro="" textlink="TablasDinamicas!C5">
      <xdr:nvSpPr>
        <xdr:cNvPr id="47" name="Rectángulo: esquinas redondeadas 46">
          <a:extLst>
            <a:ext uri="{FF2B5EF4-FFF2-40B4-BE49-F238E27FC236}">
              <a16:creationId xmlns:a16="http://schemas.microsoft.com/office/drawing/2014/main" id="{D4424F07-854C-4577-8C55-9E168E0D466F}"/>
            </a:ext>
          </a:extLst>
        </xdr:cNvPr>
        <xdr:cNvSpPr/>
      </xdr:nvSpPr>
      <xdr:spPr>
        <a:xfrm>
          <a:off x="8483600" y="4400549"/>
          <a:ext cx="3200400" cy="2486025"/>
        </a:xfrm>
        <a:prstGeom prst="round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2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11</xdr:col>
      <xdr:colOff>269874</xdr:colOff>
      <xdr:row>23</xdr:row>
      <xdr:rowOff>114300</xdr:rowOff>
    </xdr:from>
    <xdr:to>
      <xdr:col>14</xdr:col>
      <xdr:colOff>641350</xdr:colOff>
      <xdr:row>25</xdr:row>
      <xdr:rowOff>47625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98AE67D6-1F0D-4125-9F7B-CEA77B1EC31C}"/>
            </a:ext>
          </a:extLst>
        </xdr:cNvPr>
        <xdr:cNvSpPr txBox="1"/>
      </xdr:nvSpPr>
      <xdr:spPr>
        <a:xfrm>
          <a:off x="8651874" y="4495800"/>
          <a:ext cx="265747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tx1">
                  <a:lumMod val="65000"/>
                  <a:lumOff val="35000"/>
                </a:schemeClr>
              </a:solidFill>
            </a:rPr>
            <a:t>Ventas</a:t>
          </a:r>
          <a:r>
            <a:rPr lang="es-E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por Cilindrada del Motor</a:t>
          </a:r>
          <a:endParaRPr lang="es-E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11</xdr:col>
      <xdr:colOff>228600</xdr:colOff>
      <xdr:row>25</xdr:row>
      <xdr:rowOff>165101</xdr:rowOff>
    </xdr:from>
    <xdr:to>
      <xdr:col>15</xdr:col>
      <xdr:colOff>203200</xdr:colOff>
      <xdr:row>36</xdr:row>
      <xdr:rowOff>38100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AC342E21-DE01-4BDC-BCD0-4AC795CD3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736600</xdr:colOff>
      <xdr:row>1</xdr:row>
      <xdr:rowOff>171450</xdr:rowOff>
    </xdr:from>
    <xdr:to>
      <xdr:col>15</xdr:col>
      <xdr:colOff>365126</xdr:colOff>
      <xdr:row>3</xdr:row>
      <xdr:rowOff>104775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BAB9EAD5-0BA2-4649-BA73-D8A67262480F}"/>
            </a:ext>
          </a:extLst>
        </xdr:cNvPr>
        <xdr:cNvSpPr txBox="1"/>
      </xdr:nvSpPr>
      <xdr:spPr>
        <a:xfrm>
          <a:off x="9880600" y="361950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>
              <a:solidFill>
                <a:schemeClr val="tx1">
                  <a:lumMod val="65000"/>
                  <a:lumOff val="35000"/>
                </a:schemeClr>
              </a:solidFill>
            </a:rPr>
            <a:t>Precio</a:t>
          </a:r>
          <a:r>
            <a:rPr lang="es-ES" sz="1200" b="1" baseline="0">
              <a:solidFill>
                <a:schemeClr val="tx1">
                  <a:lumMod val="65000"/>
                  <a:lumOff val="35000"/>
                </a:schemeClr>
              </a:solidFill>
            </a:rPr>
            <a:t> mínimo</a:t>
          </a:r>
          <a:endParaRPr lang="es-ES" sz="12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19</xdr:col>
      <xdr:colOff>549272</xdr:colOff>
      <xdr:row>1</xdr:row>
      <xdr:rowOff>174624</xdr:rowOff>
    </xdr:from>
    <xdr:to>
      <xdr:col>22</xdr:col>
      <xdr:colOff>675272</xdr:colOff>
      <xdr:row>6</xdr:row>
      <xdr:rowOff>86124</xdr:rowOff>
    </xdr:to>
    <xdr:sp macro="" textlink="TablasDinamicas!H6">
      <xdr:nvSpPr>
        <xdr:cNvPr id="51" name="Rectángulo: esquinas redondeadas 50">
          <a:extLst>
            <a:ext uri="{FF2B5EF4-FFF2-40B4-BE49-F238E27FC236}">
              <a16:creationId xmlns:a16="http://schemas.microsoft.com/office/drawing/2014/main" id="{6810E5F8-E3A6-4D3D-BEA6-085E589F7ED6}"/>
            </a:ext>
          </a:extLst>
        </xdr:cNvPr>
        <xdr:cNvSpPr/>
      </xdr:nvSpPr>
      <xdr:spPr>
        <a:xfrm>
          <a:off x="15027272" y="365124"/>
          <a:ext cx="2412000" cy="864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0956099-7EA0-4E5D-AF42-30F2DC32BD67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554 €</a:t>
          </a:fld>
          <a:endParaRPr lang="es-ES" sz="4400"/>
        </a:p>
      </xdr:txBody>
    </xdr:sp>
    <xdr:clientData/>
  </xdr:twoCellAnchor>
  <xdr:twoCellAnchor>
    <xdr:from>
      <xdr:col>19</xdr:col>
      <xdr:colOff>631825</xdr:colOff>
      <xdr:row>2</xdr:row>
      <xdr:rowOff>12700</xdr:rowOff>
    </xdr:from>
    <xdr:to>
      <xdr:col>22</xdr:col>
      <xdr:colOff>260351</xdr:colOff>
      <xdr:row>3</xdr:row>
      <xdr:rowOff>136525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64A605D7-8991-4B4D-99AC-A0CC03FB5239}"/>
            </a:ext>
          </a:extLst>
        </xdr:cNvPr>
        <xdr:cNvSpPr txBox="1"/>
      </xdr:nvSpPr>
      <xdr:spPr>
        <a:xfrm>
          <a:off x="15109825" y="393700"/>
          <a:ext cx="1914526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>
              <a:solidFill>
                <a:schemeClr val="tx1">
                  <a:lumMod val="65000"/>
                  <a:lumOff val="35000"/>
                </a:schemeClr>
              </a:solidFill>
            </a:rPr>
            <a:t>Varianza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ier Leizaola Berridi" refreshedDate="45986.543854629628" createdVersion="8" refreshedVersion="8" minRefreshableVersion="3" recordCount="2500" xr:uid="{DDCC6574-8D29-4840-908E-433EB543228F}">
  <cacheSource type="worksheet">
    <worksheetSource name="car_price_prediction_"/>
  </cacheSource>
  <cacheFields count="15">
    <cacheField name="Car ID" numFmtId="0">
      <sharedItems containsSemiMixedTypes="0" containsString="0" containsNumber="1" containsInteger="1" minValue="1" maxValue="2500" count="25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</sharedItems>
    </cacheField>
    <cacheField name="Brand" numFmtId="0">
      <sharedItems count="7">
        <s v="Tesla"/>
        <s v="BMW"/>
        <s v="Audi"/>
        <s v="Ford"/>
        <s v="Honda"/>
        <s v="Mercedes"/>
        <s v="Toyota"/>
      </sharedItems>
    </cacheField>
    <cacheField name="Year" numFmtId="0">
      <sharedItems containsSemiMixedTypes="0" containsString="0" containsNumber="1" containsInteger="1" minValue="2000" maxValue="2023" count="24">
        <n v="2016"/>
        <n v="2018"/>
        <n v="2013"/>
        <n v="2011"/>
        <n v="2009"/>
        <n v="2019"/>
        <n v="2020"/>
        <n v="2017"/>
        <n v="2023"/>
        <n v="2010"/>
        <n v="2001"/>
        <n v="2006"/>
        <n v="2014"/>
        <n v="2022"/>
        <n v="2005"/>
        <n v="2012"/>
        <n v="2015"/>
        <n v="2007"/>
        <n v="2000"/>
        <n v="2004"/>
        <n v="2021"/>
        <n v="2003"/>
        <n v="2008"/>
        <n v="2002"/>
      </sharedItems>
      <fieldGroup base="2">
        <rangePr autoEnd="0" startNum="2000" endNum="2025" groupInterval="5"/>
        <groupItems count="7">
          <s v="&lt;2000"/>
          <s v="2000-2004"/>
          <s v="2005-2009"/>
          <s v="2010-2014"/>
          <s v="2015-2019"/>
          <s v="2020-2025"/>
          <s v="&gt;2025"/>
        </groupItems>
      </fieldGroup>
    </cacheField>
    <cacheField name="Year2" numFmtId="0">
      <sharedItems containsSemiMixedTypes="0" containsString="0" containsNumber="1" containsInteger="1" minValue="2000" maxValue="2023" count="24">
        <n v="2016"/>
        <n v="2018"/>
        <n v="2013"/>
        <n v="2011"/>
        <n v="2009"/>
        <n v="2019"/>
        <n v="2020"/>
        <n v="2017"/>
        <n v="2023"/>
        <n v="2010"/>
        <n v="2001"/>
        <n v="2006"/>
        <n v="2014"/>
        <n v="2022"/>
        <n v="2005"/>
        <n v="2012"/>
        <n v="2015"/>
        <n v="2007"/>
        <n v="2000"/>
        <n v="2004"/>
        <n v="2021"/>
        <n v="2003"/>
        <n v="2008"/>
        <n v="2002"/>
      </sharedItems>
    </cacheField>
    <cacheField name="Engine Size (L)" numFmtId="0">
      <sharedItems containsSemiMixedTypes="0" containsString="0" containsNumber="1" minValue="1" maxValue="6" count="51">
        <n v="2.2999999999999998"/>
        <n v="4.4000000000000004"/>
        <n v="4.5"/>
        <n v="4.0999999999999996"/>
        <n v="2.6"/>
        <n v="2.4"/>
        <n v="4"/>
        <n v="5.3"/>
        <n v="5.7"/>
        <n v="1.5"/>
        <n v="1.8"/>
        <n v="4.7"/>
        <n v="5.4"/>
        <n v="2"/>
        <n v="3.9"/>
        <n v="3"/>
        <n v="1.1000000000000001"/>
        <n v="3.3"/>
        <n v="5.8"/>
        <n v="5.2"/>
        <n v="1.9"/>
        <n v="5.9"/>
        <n v="1"/>
        <n v="3.2"/>
        <n v="5.6"/>
        <n v="4.5999999999999996"/>
        <n v="4.2"/>
        <n v="2.2000000000000002"/>
        <n v="2.1"/>
        <n v="1.3"/>
        <n v="1.4"/>
        <n v="5"/>
        <n v="5.0999999999999996"/>
        <n v="3.7"/>
        <n v="3.6"/>
        <n v="2.9"/>
        <n v="2.8"/>
        <n v="5.5"/>
        <n v="4.3"/>
        <n v="4.9000000000000004"/>
        <n v="3.1"/>
        <n v="2.5"/>
        <n v="3.5"/>
        <n v="4.8"/>
        <n v="1.6"/>
        <n v="3.8"/>
        <n v="2.7"/>
        <n v="1.7"/>
        <n v="3.4"/>
        <n v="6"/>
        <n v="1.2"/>
      </sharedItems>
      <fieldGroup base="4">
        <rangePr startNum="1" endNum="6"/>
        <groupItems count="7">
          <s v="&lt;1"/>
          <s v="1-2"/>
          <s v="2-3"/>
          <s v="3-4"/>
          <s v="4-5"/>
          <s v="5-6"/>
          <s v="&gt;6"/>
        </groupItems>
      </fieldGroup>
    </cacheField>
    <cacheField name="Engine Size" numFmtId="0">
      <sharedItems containsSemiMixedTypes="0" containsString="0" containsNumber="1" containsInteger="1" minValue="10" maxValue="60"/>
    </cacheField>
    <cacheField name="Fuel Type" numFmtId="0">
      <sharedItems count="4">
        <s v="Petrol"/>
        <s v="Electric"/>
        <s v="Diesel"/>
        <s v="Hybrid"/>
      </sharedItems>
    </cacheField>
    <cacheField name="Transmission" numFmtId="0">
      <sharedItems count="2">
        <s v="Manual"/>
        <s v="Automatic"/>
      </sharedItems>
    </cacheField>
    <cacheField name="Mileage (K)" numFmtId="1">
      <sharedItems containsSemiMixedTypes="0" containsString="0" containsNumber="1" minValue="1.4999999999999999E-2" maxValue="299.96699999999998" count="2490">
        <n v="114.83199999999999"/>
        <n v="143.19"/>
        <n v="181.601"/>
        <n v="68.682000000000002"/>
        <n v="223.00899999999999"/>
        <n v="246.553"/>
        <n v="135.48599999999999"/>
        <n v="83.03"/>
        <n v="120.36"/>
        <n v="135.00899999999999"/>
        <n v="298.875"/>
        <n v="169.73699999999999"/>
        <n v="114.36"/>
        <n v="263.89400000000001"/>
        <n v="65.018000000000001"/>
        <n v="240.904"/>
        <n v="136.81700000000001"/>
        <n v="192.803"/>
        <n v="86.983999999999995"/>
        <n v="290.59500000000003"/>
        <n v="192.608"/>
        <n v="12.15"/>
        <n v="275.55"/>
        <n v="150.85300000000001"/>
        <n v="188.489"/>
        <n v="18.324999999999999"/>
        <n v="199.756"/>
        <n v="204.541"/>
        <n v="17.669"/>
        <n v="207.83600000000001"/>
        <n v="132.91499999999999"/>
        <n v="196.68100000000001"/>
        <n v="50.811999999999998"/>
        <n v="278.20299999999997"/>
        <n v="252.86199999999999"/>
        <n v="171.84"/>
        <n v="25.395"/>
        <n v="282.346"/>
        <n v="229.70699999999999"/>
        <n v="247.18100000000001"/>
        <n v="204.12"/>
        <n v="224.839"/>
        <n v="219.88200000000001"/>
        <n v="103.235"/>
        <n v="45.51"/>
        <n v="87.944999999999993"/>
        <n v="242.80199999999999"/>
        <n v="250.16800000000001"/>
        <n v="2.8809999999999998"/>
        <n v="111.86"/>
        <n v="166.41499999999999"/>
        <n v="139.72800000000001"/>
        <n v="267.88499999999999"/>
        <n v="147.733"/>
        <n v="290.834"/>
        <n v="294.97699999999998"/>
        <n v="102.566"/>
        <n v="71.239999999999995"/>
        <n v="106.898"/>
        <n v="209.304"/>
        <n v="80.522000000000006"/>
        <n v="145.512"/>
        <n v="119.107"/>
        <n v="22.462"/>
        <n v="279.96499999999997"/>
        <n v="92.888999999999996"/>
        <n v="88.951999999999998"/>
        <n v="193.596"/>
        <n v="177.505"/>
        <n v="221.57599999999999"/>
        <n v="219.393"/>
        <n v="275.45499999999998"/>
        <n v="254.084"/>
        <n v="129.46600000000001"/>
        <n v="30.530999999999999"/>
        <n v="14.587999999999999"/>
        <n v="143.452"/>
        <n v="173.71700000000001"/>
        <n v="161.929"/>
        <n v="21.710999999999999"/>
        <n v="136.16900000000001"/>
        <n v="159.465"/>
        <n v="284.22000000000003"/>
        <n v="160.38900000000001"/>
        <n v="58.48"/>
        <n v="269.18799999999999"/>
        <n v="250.309"/>
        <n v="55.485999999999997"/>
        <n v="55.161999999999999"/>
        <n v="210.35900000000001"/>
        <n v="29.882000000000001"/>
        <n v="54.078000000000003"/>
        <n v="238.68"/>
        <n v="108.73"/>
        <n v="174.898"/>
        <n v="98.938000000000002"/>
        <n v="118.319"/>
        <n v="32.542999999999999"/>
        <n v="124.279"/>
        <n v="29.361999999999998"/>
        <n v="158.81800000000001"/>
        <n v="242.721"/>
        <n v="165.22900000000001"/>
        <n v="142.39400000000001"/>
        <n v="69.811999999999998"/>
        <n v="296.161"/>
        <n v="228.208"/>
        <n v="279.77300000000002"/>
        <n v="128.614"/>
        <n v="96.95"/>
        <n v="174.94200000000001"/>
        <n v="64.828999999999994"/>
        <n v="245.602"/>
        <n v="10.587999999999999"/>
        <n v="168.21700000000001"/>
        <n v="272.74299999999999"/>
        <n v="208.50200000000001"/>
        <n v="134.011"/>
        <n v="252.85599999999999"/>
        <n v="284.29300000000001"/>
        <n v="197.63900000000001"/>
        <n v="141.28"/>
        <n v="197.17"/>
        <n v="180.56399999999999"/>
        <n v="20.951000000000001"/>
        <n v="179.99199999999999"/>
        <n v="46.765999999999998"/>
        <n v="159.423"/>
        <n v="87.122"/>
        <n v="271.452"/>
        <n v="83.210999999999999"/>
        <n v="126.53400000000001"/>
        <n v="8.7200000000000006"/>
        <n v="79.992999999999995"/>
        <n v="219.97300000000001"/>
        <n v="25.905000000000001"/>
        <n v="204.58"/>
        <n v="50.384999999999998"/>
        <n v="30.652999999999999"/>
        <n v="91.864999999999995"/>
        <n v="125.813"/>
        <n v="145.87100000000001"/>
        <n v="191.17500000000001"/>
        <n v="248.535"/>
        <n v="15.052"/>
        <n v="137.11600000000001"/>
        <n v="150.94300000000001"/>
        <n v="220.375"/>
        <n v="21.381"/>
        <n v="148.346"/>
        <n v="243.23400000000001"/>
        <n v="256.017"/>
        <n v="235.02"/>
        <n v="49.892000000000003"/>
        <n v="181.59299999999999"/>
        <n v="214.99199999999999"/>
        <n v="280.06400000000002"/>
        <n v="278.846"/>
        <n v="256.21600000000001"/>
        <n v="264.03800000000001"/>
        <n v="293.12900000000002"/>
        <n v="159.35900000000001"/>
        <n v="258.77100000000002"/>
        <n v="125.702"/>
        <n v="73.527000000000001"/>
        <n v="146.511"/>
        <n v="225.69200000000001"/>
        <n v="158.73099999999999"/>
        <n v="287.12"/>
        <n v="235.31100000000001"/>
        <n v="198.93700000000001"/>
        <n v="199.37799999999999"/>
        <n v="56.697000000000003"/>
        <n v="70.382000000000005"/>
        <n v="278.79500000000002"/>
        <n v="180.11600000000001"/>
        <n v="14.632999999999999"/>
        <n v="79.164000000000001"/>
        <n v="262.71300000000002"/>
        <n v="123.425"/>
        <n v="250.22"/>
        <n v="295.18200000000002"/>
        <n v="180.16"/>
        <n v="204.249"/>
        <n v="205.53800000000001"/>
        <n v="197.86500000000001"/>
        <n v="201.46600000000001"/>
        <n v="187.22300000000001"/>
        <n v="111.17400000000001"/>
        <n v="137.97999999999999"/>
        <n v="68.447000000000003"/>
        <n v="205.59899999999999"/>
        <n v="226.30099999999999"/>
        <n v="279.77800000000002"/>
        <n v="286.70499999999998"/>
        <n v="55.063000000000002"/>
        <n v="288.065"/>
        <n v="19.34"/>
        <n v="62.780999999999999"/>
        <n v="277.04500000000002"/>
        <n v="10.638"/>
        <n v="217.98599999999999"/>
        <n v="221.66800000000001"/>
        <n v="294.786"/>
        <n v="25.378"/>
        <n v="118.17100000000001"/>
        <n v="214.80099999999999"/>
        <n v="64.376999999999995"/>
        <n v="260.339"/>
        <n v="54.691000000000003"/>
        <n v="91.781999999999996"/>
        <n v="259.89600000000002"/>
        <n v="78.343000000000004"/>
        <n v="121.399"/>
        <n v="31.356999999999999"/>
        <n v="294.45800000000003"/>
        <n v="70.283000000000001"/>
        <n v="59.567"/>
        <n v="237.77799999999999"/>
        <n v="141.75800000000001"/>
        <n v="61.606000000000002"/>
        <n v="281.03500000000003"/>
        <n v="101.732"/>
        <n v="191.791"/>
        <n v="292.02100000000002"/>
        <n v="249.465"/>
        <n v="224.589"/>
        <n v="14.026"/>
        <n v="282.56599999999997"/>
        <n v="295.625"/>
        <n v="109.384"/>
        <n v="252.77099999999999"/>
        <n v="58.030999999999999"/>
        <n v="68.231999999999999"/>
        <n v="143.084"/>
        <n v="236.50299999999999"/>
        <n v="292.10399999999998"/>
        <n v="87.694999999999993"/>
        <n v="130.066"/>
        <n v="138.982"/>
        <n v="264.83699999999999"/>
        <n v="115.313"/>
        <n v="28.81"/>
        <n v="20.091999999999999"/>
        <n v="58.104999999999997"/>
        <n v="161.577"/>
        <n v="204.3"/>
        <n v="290.69900000000001"/>
        <n v="71.933999999999997"/>
        <n v="72.787999999999997"/>
        <n v="280.08300000000003"/>
        <n v="155.22300000000001"/>
        <n v="128.06800000000001"/>
        <n v="3.5999999999999997E-2"/>
        <n v="39.051000000000002"/>
        <n v="80.738"/>
        <n v="60.070999999999998"/>
        <n v="130.613"/>
        <n v="73.600999999999999"/>
        <n v="29.873000000000001"/>
        <n v="167.72"/>
        <n v="71.468000000000004"/>
        <n v="288.61399999999998"/>
        <n v="196.20099999999999"/>
        <n v="8.3279999999999994"/>
        <n v="137.405"/>
        <n v="251.51900000000001"/>
        <n v="121.173"/>
        <n v="46.637999999999998"/>
        <n v="273.41199999999998"/>
        <n v="201.67500000000001"/>
        <n v="113.92"/>
        <n v="171.81299999999999"/>
        <n v="7.8869999999999996"/>
        <n v="228.97800000000001"/>
        <n v="24.917999999999999"/>
        <n v="297.64100000000002"/>
        <n v="192.08099999999999"/>
        <n v="274.07299999999998"/>
        <n v="102.20099999999999"/>
        <n v="210.17099999999999"/>
        <n v="290.69"/>
        <n v="209.49600000000001"/>
        <n v="168.41"/>
        <n v="82.494"/>
        <n v="215.85900000000001"/>
        <n v="233.85300000000001"/>
        <n v="128.279"/>
        <n v="81.991"/>
        <n v="290.15699999999998"/>
        <n v="52.131999999999998"/>
        <n v="255.06899999999999"/>
        <n v="159.15600000000001"/>
        <n v="152.215"/>
        <n v="91.626999999999995"/>
        <n v="122.77200000000001"/>
        <n v="229.41499999999999"/>
        <n v="141.29400000000001"/>
        <n v="259.01299999999998"/>
        <n v="16.116"/>
        <n v="182.124"/>
        <n v="51.369"/>
        <n v="179.88900000000001"/>
        <n v="233.982"/>
        <n v="214.27500000000001"/>
        <n v="205.38300000000001"/>
        <n v="291.79899999999998"/>
        <n v="188.874"/>
        <n v="47.631999999999998"/>
        <n v="211.28399999999999"/>
        <n v="161.84800000000001"/>
        <n v="191.08199999999999"/>
        <n v="213.80699999999999"/>
        <n v="196.523"/>
        <n v="179.88399999999999"/>
        <n v="281.03899999999999"/>
        <n v="235.892"/>
        <n v="213.40799999999999"/>
        <n v="242.71799999999999"/>
        <n v="192.87899999999999"/>
        <n v="23.085999999999999"/>
        <n v="85.637"/>
        <n v="158.279"/>
        <n v="151.96899999999999"/>
        <n v="63.082999999999998"/>
        <n v="95.028000000000006"/>
        <n v="97.551000000000002"/>
        <n v="138.35499999999999"/>
        <n v="94.024000000000001"/>
        <n v="262.399"/>
        <n v="207.62700000000001"/>
        <n v="15.487"/>
        <n v="19.346"/>
        <n v="297.19400000000002"/>
        <n v="270.88799999999998"/>
        <n v="61.595999999999997"/>
        <n v="214.46899999999999"/>
        <n v="177.17500000000001"/>
        <n v="153.048"/>
        <n v="6.2770000000000001"/>
        <n v="133.33199999999999"/>
        <n v="240.51499999999999"/>
        <n v="260.577"/>
        <n v="196.95500000000001"/>
        <n v="286.88499999999999"/>
        <n v="299.35500000000002"/>
        <n v="240.464"/>
        <n v="258.44499999999999"/>
        <n v="269.01299999999998"/>
        <n v="94.515000000000001"/>
        <n v="150.494"/>
        <n v="166.685"/>
        <n v="188.08799999999999"/>
        <n v="60.11"/>
        <n v="219.601"/>
        <n v="208.994"/>
        <n v="296.17700000000002"/>
        <n v="260.70499999999998"/>
        <n v="12.938000000000001"/>
        <n v="130.84200000000001"/>
        <n v="264.41800000000001"/>
        <n v="150.03299999999999"/>
        <n v="20.044"/>
        <n v="99.372"/>
        <n v="276.85000000000002"/>
        <n v="137.04599999999999"/>
        <n v="21.213000000000001"/>
        <n v="1.95"/>
        <n v="254.04300000000001"/>
        <n v="216.08500000000001"/>
        <n v="272.55500000000001"/>
        <n v="148.84299999999999"/>
        <n v="297.197"/>
        <n v="248.96600000000001"/>
        <n v="138.11699999999999"/>
        <n v="29.713999999999999"/>
        <n v="165.458"/>
        <n v="270.70600000000002"/>
        <n v="12.026"/>
        <n v="106.14700000000001"/>
        <n v="31.588999999999999"/>
        <n v="108.199"/>
        <n v="288.988"/>
        <n v="208.57400000000001"/>
        <n v="214.34"/>
        <n v="54.707999999999998"/>
        <n v="70.825000000000003"/>
        <n v="51.573999999999998"/>
        <n v="232.40899999999999"/>
        <n v="186.381"/>
        <n v="64.23"/>
        <n v="254.45099999999999"/>
        <n v="247.17400000000001"/>
        <n v="219.7"/>
        <n v="287.24900000000002"/>
        <n v="246.51400000000001"/>
        <n v="264.49099999999999"/>
        <n v="226.09399999999999"/>
        <n v="148.18199999999999"/>
        <n v="193.24199999999999"/>
        <n v="182.87299999999999"/>
        <n v="124.926"/>
        <n v="81.147000000000006"/>
        <n v="19.199000000000002"/>
        <n v="183.208"/>
        <n v="220.86799999999999"/>
        <n v="120.78700000000001"/>
        <n v="114.42700000000001"/>
        <n v="148.06299999999999"/>
        <n v="153.625"/>
        <n v="220.78200000000001"/>
        <n v="87.492999999999995"/>
        <n v="274.91500000000002"/>
        <n v="125.607"/>
        <n v="246.834"/>
        <n v="79.876000000000005"/>
        <n v="167.071"/>
        <n v="202.959"/>
        <n v="243.72200000000001"/>
        <n v="44.44"/>
        <n v="31.655000000000001"/>
        <n v="43.039000000000001"/>
        <n v="72.218999999999994"/>
        <n v="186.06100000000001"/>
        <n v="273.38799999999998"/>
        <n v="94.593999999999994"/>
        <n v="170.62299999999999"/>
        <n v="194.30199999999999"/>
        <n v="290.51499999999999"/>
        <n v="159.94999999999999"/>
        <n v="167.22900000000001"/>
        <n v="5.9139999999999997"/>
        <n v="214.77199999999999"/>
        <n v="289.32400000000001"/>
        <n v="227.56100000000001"/>
        <n v="187.435"/>
        <n v="95.212999999999994"/>
        <n v="37.805"/>
        <n v="126.599"/>
        <n v="153.77500000000001"/>
        <n v="190.09299999999999"/>
        <n v="74.176000000000002"/>
        <n v="94.799000000000007"/>
        <n v="98.385000000000005"/>
        <n v="235.654"/>
        <n v="88.918999999999997"/>
        <n v="81.462000000000003"/>
        <n v="179.34"/>
        <n v="165.32"/>
        <n v="31.158999999999999"/>
        <n v="42.039000000000001"/>
        <n v="232.97399999999999"/>
        <n v="47.8"/>
        <n v="94.626000000000005"/>
        <n v="118.36799999999999"/>
        <n v="174.73500000000001"/>
        <n v="80.903000000000006"/>
        <n v="118.998"/>
        <n v="241.32400000000001"/>
        <n v="233.22900000000001"/>
        <n v="61.747999999999998"/>
        <n v="41.19"/>
        <n v="40.317999999999998"/>
        <n v="168.09"/>
        <n v="124.078"/>
        <n v="39.759"/>
        <n v="278.642"/>
        <n v="25.989000000000001"/>
        <n v="156.63999999999999"/>
        <n v="161.17099999999999"/>
        <n v="285.62599999999998"/>
        <n v="292.19200000000001"/>
        <n v="35.814"/>
        <n v="190.76599999999999"/>
        <n v="60.204000000000001"/>
        <n v="32.844000000000001"/>
        <n v="248.827"/>
        <n v="245.256"/>
        <n v="21.518000000000001"/>
        <n v="23.052"/>
        <n v="256.346"/>
        <n v="69.802999999999997"/>
        <n v="71.524000000000001"/>
        <n v="224.58199999999999"/>
        <n v="67.021000000000001"/>
        <n v="211.321"/>
        <n v="282.18700000000001"/>
        <n v="2.419"/>
        <n v="187.964"/>
        <n v="121.831"/>
        <n v="244.68799999999999"/>
        <n v="101.79900000000001"/>
        <n v="194.941"/>
        <n v="176.28200000000001"/>
        <n v="108.611"/>
        <n v="137.559"/>
        <n v="62.112000000000002"/>
        <n v="239.04"/>
        <n v="278.50400000000002"/>
        <n v="233.45099999999999"/>
        <n v="221.49"/>
        <n v="265.161"/>
        <n v="191.196"/>
        <n v="247.41800000000001"/>
        <n v="221.37"/>
        <n v="189.34"/>
        <n v="66.319999999999993"/>
        <n v="235.06700000000001"/>
        <n v="212.37299999999999"/>
        <n v="293.27100000000002"/>
        <n v="180.786"/>
        <n v="294.065"/>
        <n v="266.89"/>
        <n v="65.349999999999994"/>
        <n v="181.417"/>
        <n v="240.678"/>
        <n v="22.062999999999999"/>
        <n v="117.116"/>
        <n v="177.04300000000001"/>
        <n v="134.66999999999999"/>
        <n v="10.564"/>
        <n v="242.124"/>
        <n v="227.506"/>
        <n v="86.134"/>
        <n v="105.94"/>
        <n v="62.085000000000001"/>
        <n v="17.861999999999998"/>
        <n v="272.40899999999999"/>
        <n v="140.77699999999999"/>
        <n v="186.351"/>
        <n v="62.470999999999997"/>
        <n v="91.08"/>
        <n v="108.00700000000001"/>
        <n v="46.103999999999999"/>
        <n v="40.933999999999997"/>
        <n v="254.60599999999999"/>
        <n v="6.05"/>
        <n v="175.024"/>
        <n v="270.62799999999999"/>
        <n v="184.75"/>
        <n v="31.323"/>
        <n v="86.331999999999994"/>
        <n v="255.54"/>
        <n v="254.547"/>
        <n v="272.459"/>
        <n v="157.59100000000001"/>
        <n v="271.25099999999998"/>
        <n v="55.780999999999999"/>
        <n v="266.01299999999998"/>
        <n v="7.9710000000000001"/>
        <n v="254.92699999999999"/>
        <n v="287.79500000000002"/>
        <n v="23.446000000000002"/>
        <n v="257.41899999999998"/>
        <n v="169.18"/>
        <n v="3.823"/>
        <n v="144.52600000000001"/>
        <n v="135.00399999999999"/>
        <n v="205.16200000000001"/>
        <n v="67.965000000000003"/>
        <n v="272.654"/>
        <n v="141.60900000000001"/>
        <n v="105.935"/>
        <n v="233.70500000000001"/>
        <n v="253.97800000000001"/>
        <n v="144.85400000000001"/>
        <n v="78.004000000000005"/>
        <n v="22.071999999999999"/>
        <n v="81.015000000000001"/>
        <n v="225.07499999999999"/>
        <n v="220.01"/>
        <n v="72.745999999999995"/>
        <n v="176.774"/>
        <n v="128.25899999999999"/>
        <n v="30.916"/>
        <n v="27.268000000000001"/>
        <n v="175.05"/>
        <n v="243.96600000000001"/>
        <n v="23.259"/>
        <n v="79.400000000000006"/>
        <n v="296.43700000000001"/>
        <n v="111.581"/>
        <n v="7.0430000000000001"/>
        <n v="181.50200000000001"/>
        <n v="107.009"/>
        <n v="209.137"/>
        <n v="161.94"/>
        <n v="288.45299999999997"/>
        <n v="285.428"/>
        <n v="113.259"/>
        <n v="100.804"/>
        <n v="69"/>
        <n v="84.179000000000002"/>
        <n v="291.40899999999999"/>
        <n v="260.226"/>
        <n v="23.88"/>
        <n v="201.26400000000001"/>
        <n v="172.43799999999999"/>
        <n v="245.352"/>
        <n v="67.396000000000001"/>
        <n v="279.25"/>
        <n v="56.731000000000002"/>
        <n v="75.010000000000005"/>
        <n v="249.09100000000001"/>
        <n v="294.74299999999999"/>
        <n v="71.325999999999993"/>
        <n v="248.876"/>
        <n v="9.0039999999999996"/>
        <n v="115.018"/>
        <n v="25.792000000000002"/>
        <n v="54.645000000000003"/>
        <n v="7.2320000000000002"/>
        <n v="54.765999999999998"/>
        <n v="120.601"/>
        <n v="81.587999999999994"/>
        <n v="179.614"/>
        <n v="5.9130000000000003"/>
        <n v="112.40600000000001"/>
        <n v="113.693"/>
        <n v="93.448999999999998"/>
        <n v="10.567"/>
        <n v="38.378999999999998"/>
        <n v="206.04"/>
        <n v="262.46300000000002"/>
        <n v="90.004999999999995"/>
        <n v="223.09800000000001"/>
        <n v="4.7910000000000004"/>
        <n v="131.40100000000001"/>
        <n v="205.459"/>
        <n v="61.031999999999996"/>
        <n v="175.15"/>
        <n v="21.3"/>
        <n v="55.609000000000002"/>
        <n v="191.63399999999999"/>
        <n v="90.045000000000002"/>
        <n v="267.84699999999998"/>
        <n v="223.71700000000001"/>
        <n v="219.16200000000001"/>
        <n v="27.675999999999998"/>
        <n v="220.41200000000001"/>
        <n v="176.512"/>
        <n v="167.995"/>
        <n v="291.94600000000003"/>
        <n v="124.786"/>
        <n v="68.147000000000006"/>
        <n v="22.074999999999999"/>
        <n v="205.78800000000001"/>
        <n v="9.3040000000000003"/>
        <n v="129.851"/>
        <n v="59.622"/>
        <n v="108.654"/>
        <n v="249.10900000000001"/>
        <n v="286.17200000000003"/>
        <n v="39.328000000000003"/>
        <n v="289.44499999999999"/>
        <n v="218.34800000000001"/>
        <n v="36.844999999999999"/>
        <n v="76.394000000000005"/>
        <n v="175.23099999999999"/>
        <n v="80.721999999999994"/>
        <n v="287.37400000000002"/>
        <n v="92.554000000000002"/>
        <n v="49.262"/>
        <n v="41.722000000000001"/>
        <n v="171.23099999999999"/>
        <n v="240.74"/>
        <n v="87.052000000000007"/>
        <n v="100.80800000000001"/>
        <n v="255.416"/>
        <n v="262.12799999999999"/>
        <n v="221.28100000000001"/>
        <n v="246.05199999999999"/>
        <n v="104.697"/>
        <n v="231.572"/>
        <n v="232.84200000000001"/>
        <n v="96.299000000000007"/>
        <n v="165.74600000000001"/>
        <n v="149.17699999999999"/>
        <n v="160.81100000000001"/>
        <n v="163.041"/>
        <n v="14.497"/>
        <n v="254.20400000000001"/>
        <n v="257.471"/>
        <n v="92.019000000000005"/>
        <n v="190.32599999999999"/>
        <n v="109.017"/>
        <n v="218.22"/>
        <n v="105.15300000000001"/>
        <n v="33.826000000000001"/>
        <n v="110.03400000000001"/>
        <n v="84.242000000000004"/>
        <n v="50.1"/>
        <n v="221.17099999999999"/>
        <n v="12.808999999999999"/>
        <n v="64.45"/>
        <n v="111.126"/>
        <n v="264.23700000000002"/>
        <n v="44.497999999999998"/>
        <n v="116.251"/>
        <n v="40.984999999999999"/>
        <n v="294.15300000000002"/>
        <n v="17.718"/>
        <n v="278.84899999999999"/>
        <n v="62.597999999999999"/>
        <n v="274.38299999999998"/>
        <n v="46.664999999999999"/>
        <n v="294.41800000000001"/>
        <n v="146.07499999999999"/>
        <n v="161.93799999999999"/>
        <n v="153.06"/>
        <n v="221.51599999999999"/>
        <n v="136.74600000000001"/>
        <n v="201.61"/>
        <n v="66.445999999999998"/>
        <n v="29.071999999999999"/>
        <n v="33.716999999999999"/>
        <n v="218.417"/>
        <n v="157.72300000000001"/>
        <n v="109.52500000000001"/>
        <n v="213.09200000000001"/>
        <n v="4.6459999999999999"/>
        <n v="175.40299999999999"/>
        <n v="284.32900000000001"/>
        <n v="229.72800000000001"/>
        <n v="52.106999999999999"/>
        <n v="244.86500000000001"/>
        <n v="279.70699999999999"/>
        <n v="70.728999999999999"/>
        <n v="277.84500000000003"/>
        <n v="200.14400000000001"/>
        <n v="215.494"/>
        <n v="252.61500000000001"/>
        <n v="128.33099999999999"/>
        <n v="160.482"/>
        <n v="99.28"/>
        <n v="189.78700000000001"/>
        <n v="38.664999999999999"/>
        <n v="278.101"/>
        <n v="259.28500000000003"/>
        <n v="163.947"/>
        <n v="113.828"/>
        <n v="132.69800000000001"/>
        <n v="90.814999999999998"/>
        <n v="194.89400000000001"/>
        <n v="203.48500000000001"/>
        <n v="164.714"/>
        <n v="32.356000000000002"/>
        <n v="265.95299999999997"/>
        <n v="297.01900000000001"/>
        <n v="241.12100000000001"/>
        <n v="271.60899999999998"/>
        <n v="197.167"/>
        <n v="196.322"/>
        <n v="15.25"/>
        <n v="46.023000000000003"/>
        <n v="101.35"/>
        <n v="177.696"/>
        <n v="16.427"/>
        <n v="210.084"/>
        <n v="134.511"/>
        <n v="218.40299999999999"/>
        <n v="78.671999999999997"/>
        <n v="17.3"/>
        <n v="19.658999999999999"/>
        <n v="162.47499999999999"/>
        <n v="245.25899999999999"/>
        <n v="10.36"/>
        <n v="283.56799999999998"/>
        <n v="98.034999999999997"/>
        <n v="48.790999999999997"/>
        <n v="199.86699999999999"/>
        <n v="274.44400000000002"/>
        <n v="33.369999999999997"/>
        <n v="200.90299999999999"/>
        <n v="27.209"/>
        <n v="283.07100000000003"/>
        <n v="34.579000000000001"/>
        <n v="271.17599999999999"/>
        <n v="93.254000000000005"/>
        <n v="113.52800000000001"/>
        <n v="223.274"/>
        <n v="238.292"/>
        <n v="181.02600000000001"/>
        <n v="248.34200000000001"/>
        <n v="219.43700000000001"/>
        <n v="278.07600000000002"/>
        <n v="287.858"/>
        <n v="57.802999999999997"/>
        <n v="133.624"/>
        <n v="56.627000000000002"/>
        <n v="177.059"/>
        <n v="45.38"/>
        <n v="160.322"/>
        <n v="199.416"/>
        <n v="146.36699999999999"/>
        <n v="272.66699999999997"/>
        <n v="259.125"/>
        <n v="13.769"/>
        <n v="112.035"/>
        <n v="175.71700000000001"/>
        <n v="221.815"/>
        <n v="231.83199999999999"/>
        <n v="156.62899999999999"/>
        <n v="234.79900000000001"/>
        <n v="168.15700000000001"/>
        <n v="144.542"/>
        <n v="118.643"/>
        <n v="210.154"/>
        <n v="137.87700000000001"/>
        <n v="213.39599999999999"/>
        <n v="225.95599999999999"/>
        <n v="181.84399999999999"/>
        <n v="101.422"/>
        <n v="268.774"/>
        <n v="145.93100000000001"/>
        <n v="117.556"/>
        <n v="228.495"/>
        <n v="254.809"/>
        <n v="205.38399999999999"/>
        <n v="15.021000000000001"/>
        <n v="200.935"/>
        <n v="204.22200000000001"/>
        <n v="64.361000000000004"/>
        <n v="272.49900000000002"/>
        <n v="98.840999999999994"/>
        <n v="180.07599999999999"/>
        <n v="246.3"/>
        <n v="160.786"/>
        <n v="17.198"/>
        <n v="258.46600000000001"/>
        <n v="18.739999999999998"/>
        <n v="265.95400000000001"/>
        <n v="258.30799999999999"/>
        <n v="99.855000000000004"/>
        <n v="210.19200000000001"/>
        <n v="288.92700000000002"/>
        <n v="121.70099999999999"/>
        <n v="271.61500000000001"/>
        <n v="110.771"/>
        <n v="6.1630000000000003"/>
        <n v="16.065000000000001"/>
        <n v="241.262"/>
        <n v="248.92400000000001"/>
        <n v="179.42"/>
        <n v="281.298"/>
        <n v="20.228999999999999"/>
        <n v="250.47"/>
        <n v="158.06899999999999"/>
        <n v="21.100999999999999"/>
        <n v="40.390999999999998"/>
        <n v="206.935"/>
        <n v="72.722999999999999"/>
        <n v="226.29300000000001"/>
        <n v="190.477"/>
        <n v="166.02"/>
        <n v="290.60399999999998"/>
        <n v="197.19"/>
        <n v="179.35400000000001"/>
        <n v="91.724999999999994"/>
        <n v="212.13900000000001"/>
        <n v="85.778999999999996"/>
        <n v="3.06"/>
        <n v="125.806"/>
        <n v="275.875"/>
        <n v="115.871"/>
        <n v="20.719000000000001"/>
        <n v="49.116"/>
        <n v="26.324999999999999"/>
        <n v="14.551"/>
        <n v="286.42200000000003"/>
        <n v="15.141"/>
        <n v="295.75900000000001"/>
        <n v="122.05800000000001"/>
        <n v="193.82300000000001"/>
        <n v="112.684"/>
        <n v="289.596"/>
        <n v="50.390999999999998"/>
        <n v="120.288"/>
        <n v="206.13200000000001"/>
        <n v="113.535"/>
        <n v="142.77000000000001"/>
        <n v="239.947"/>
        <n v="86.710999999999999"/>
        <n v="264.50900000000001"/>
        <n v="228.625"/>
        <n v="43.372"/>
        <n v="44.134"/>
        <n v="299.96699999999998"/>
        <n v="71.158000000000001"/>
        <n v="237.15899999999999"/>
        <n v="133.02099999999999"/>
        <n v="49.396000000000001"/>
        <n v="31.911999999999999"/>
        <n v="56.947000000000003"/>
        <n v="44.387"/>
        <n v="278.65199999999999"/>
        <n v="109.249"/>
        <n v="1.919"/>
        <n v="140.68899999999999"/>
        <n v="33.298000000000002"/>
        <n v="237.22499999999999"/>
        <n v="233.72499999999999"/>
        <n v="276.60000000000002"/>
        <n v="109.599"/>
        <n v="83.721000000000004"/>
        <n v="286.38400000000001"/>
        <n v="271.37200000000001"/>
        <n v="283.83"/>
        <n v="11.92"/>
        <n v="7.4320000000000004"/>
        <n v="110.50700000000001"/>
        <n v="224.64699999999999"/>
        <n v="164.982"/>
        <n v="121.764"/>
        <n v="161.298"/>
        <n v="112.557"/>
        <n v="18.013000000000002"/>
        <n v="21.446000000000002"/>
        <n v="201.447"/>
        <n v="102.261"/>
        <n v="262.70100000000002"/>
        <n v="168.46100000000001"/>
        <n v="178.77199999999999"/>
        <n v="130.87799999999999"/>
        <n v="99.143000000000001"/>
        <n v="24.577999999999999"/>
        <n v="74.778999999999996"/>
        <n v="140.66800000000001"/>
        <n v="72.534000000000006"/>
        <n v="272.27300000000002"/>
        <n v="197.11799999999999"/>
        <n v="273.74"/>
        <n v="65.355000000000004"/>
        <n v="12.974"/>
        <n v="197.745"/>
        <n v="251.36600000000001"/>
        <n v="74.441999999999993"/>
        <n v="152.88999999999999"/>
        <n v="55.597999999999999"/>
        <n v="133.726"/>
        <n v="33.758000000000003"/>
        <n v="286.34800000000001"/>
        <n v="127.309"/>
        <n v="166"/>
        <n v="184.68100000000001"/>
        <n v="30.552"/>
        <n v="147.27799999999999"/>
        <n v="34.831000000000003"/>
        <n v="43.563000000000002"/>
        <n v="18.361000000000001"/>
        <n v="74.468999999999994"/>
        <n v="25.815999999999999"/>
        <n v="257.42200000000003"/>
        <n v="146.691"/>
        <n v="234.29499999999999"/>
        <n v="92.478999999999999"/>
        <n v="26.818999999999999"/>
        <n v="8.798"/>
        <n v="156.215"/>
        <n v="243.94200000000001"/>
        <n v="230.25899999999999"/>
        <n v="129.54400000000001"/>
        <n v="152.25399999999999"/>
        <n v="253.8"/>
        <n v="9.4149999999999991"/>
        <n v="87.638000000000005"/>
        <n v="18.452000000000002"/>
        <n v="195.45699999999999"/>
        <n v="110.205"/>
        <n v="18.170000000000002"/>
        <n v="16.259"/>
        <n v="284.24299999999999"/>
        <n v="140.721"/>
        <n v="129.39400000000001"/>
        <n v="172.10900000000001"/>
        <n v="273.94900000000001"/>
        <n v="254.59899999999999"/>
        <n v="43.146999999999998"/>
        <n v="74.28"/>
        <n v="177.125"/>
        <n v="97.840999999999994"/>
        <n v="124.726"/>
        <n v="76.215000000000003"/>
        <n v="112.90900000000001"/>
        <n v="273.12900000000002"/>
        <n v="274.53500000000003"/>
        <n v="4.8609999999999998"/>
        <n v="261.96800000000002"/>
        <n v="183"/>
        <n v="296.50799999999998"/>
        <n v="249.072"/>
        <n v="224.40199999999999"/>
        <n v="42.923000000000002"/>
        <n v="186.96799999999999"/>
        <n v="165.91200000000001"/>
        <n v="173.327"/>
        <n v="128.16499999999999"/>
        <n v="230.31399999999999"/>
        <n v="295.673"/>
        <n v="144.01300000000001"/>
        <n v="1.669"/>
        <n v="216.85400000000001"/>
        <n v="55.786000000000001"/>
        <n v="182.155"/>
        <n v="20.323"/>
        <n v="230.50200000000001"/>
        <n v="257.24900000000002"/>
        <n v="6.0209999999999999"/>
        <n v="113.41500000000001"/>
        <n v="270.85500000000002"/>
        <n v="7.9039999999999999"/>
        <n v="64.033000000000001"/>
        <n v="231.65899999999999"/>
        <n v="120.035"/>
        <n v="220.85900000000001"/>
        <n v="186.16800000000001"/>
        <n v="221.666"/>
        <n v="231.85300000000001"/>
        <n v="265.23700000000002"/>
        <n v="287.06200000000001"/>
        <n v="193.708"/>
        <n v="189.87799999999999"/>
        <n v="140.46600000000001"/>
        <n v="124.501"/>
        <n v="260.22800000000001"/>
        <n v="92.51"/>
        <n v="93.707999999999998"/>
        <n v="97.819000000000003"/>
        <n v="235.60300000000001"/>
        <n v="36.302999999999997"/>
        <n v="27.452999999999999"/>
        <n v="199.52099999999999"/>
        <n v="156.83699999999999"/>
        <n v="222.78700000000001"/>
        <n v="38.057000000000002"/>
        <n v="189.06"/>
        <n v="94.655000000000001"/>
        <n v="277.16899999999998"/>
        <n v="269.28899999999999"/>
        <n v="101.206"/>
        <n v="186.869"/>
        <n v="73.23"/>
        <n v="155.00200000000001"/>
        <n v="108.13800000000001"/>
        <n v="207.09700000000001"/>
        <n v="212.376"/>
        <n v="62.04"/>
        <n v="108.66800000000001"/>
        <n v="198.768"/>
        <n v="56.814999999999998"/>
        <n v="216.74100000000001"/>
        <n v="112.789"/>
        <n v="219.47800000000001"/>
        <n v="167.64400000000001"/>
        <n v="185.102"/>
        <n v="244.53299999999999"/>
        <n v="237.46899999999999"/>
        <n v="233.30799999999999"/>
        <n v="160.27500000000001"/>
        <n v="77.087999999999994"/>
        <n v="5.6079999999999997"/>
        <n v="45.667000000000002"/>
        <n v="55.546999999999997"/>
        <n v="234.90700000000001"/>
        <n v="57.56"/>
        <n v="214.601"/>
        <n v="159.48699999999999"/>
        <n v="184.286"/>
        <n v="280.14100000000002"/>
        <n v="121.26600000000001"/>
        <n v="3.6789999999999998"/>
        <n v="40.308"/>
        <n v="206.096"/>
        <n v="170.91399999999999"/>
        <n v="5.6950000000000003"/>
        <n v="226.81200000000001"/>
        <n v="58.499000000000002"/>
        <n v="23.382000000000001"/>
        <n v="276.37900000000002"/>
        <n v="193.29499999999999"/>
        <n v="133.43799999999999"/>
        <n v="158.53899999999999"/>
        <n v="6.7640000000000002"/>
        <n v="221.96799999999999"/>
        <n v="113.831"/>
        <n v="61.835999999999999"/>
        <n v="294.06700000000001"/>
        <n v="255.03299999999999"/>
        <n v="16.292000000000002"/>
        <n v="283.08300000000003"/>
        <n v="243.77199999999999"/>
        <n v="18.8"/>
        <n v="56.44"/>
        <n v="127.521"/>
        <n v="121.327"/>
        <n v="49.648000000000003"/>
        <n v="291.90800000000002"/>
        <n v="294.61399999999998"/>
        <n v="256.16000000000003"/>
        <n v="169.57300000000001"/>
        <n v="57.207000000000001"/>
        <n v="62.156999999999996"/>
        <n v="134.28800000000001"/>
        <n v="153.14400000000001"/>
        <n v="93.778000000000006"/>
        <n v="130.01599999999999"/>
        <n v="124.288"/>
        <n v="168.20400000000001"/>
        <n v="110.57299999999999"/>
        <n v="120.73"/>
        <n v="64.186000000000007"/>
        <n v="267.10399999999998"/>
        <n v="18.780999999999999"/>
        <n v="237.67699999999999"/>
        <n v="257.50599999999997"/>
        <n v="31.126000000000001"/>
        <n v="238.21700000000001"/>
        <n v="280.02699999999999"/>
        <n v="29.782"/>
        <n v="148.05099999999999"/>
        <n v="295.89"/>
        <n v="261.161"/>
        <n v="66.266000000000005"/>
        <n v="5.6000000000000001E-2"/>
        <n v="293.601"/>
        <n v="132.773"/>
        <n v="187.453"/>
        <n v="181.51"/>
        <n v="80.635999999999996"/>
        <n v="66.483000000000004"/>
        <n v="20.504999999999999"/>
        <n v="33.524999999999999"/>
        <n v="211.47399999999999"/>
        <n v="96.007999999999996"/>
        <n v="44.347999999999999"/>
        <n v="202.25899999999999"/>
        <n v="269.41699999999997"/>
        <n v="206.64099999999999"/>
        <n v="134.607"/>
        <n v="214.096"/>
        <n v="107.157"/>
        <n v="0.90800000000000003"/>
        <n v="252.29900000000001"/>
        <n v="201.22499999999999"/>
        <n v="108.352"/>
        <n v="95.966999999999999"/>
        <n v="35.079000000000001"/>
        <n v="212.62799999999999"/>
        <n v="111.889"/>
        <n v="262.06299999999999"/>
        <n v="46.104999999999997"/>
        <n v="132.95699999999999"/>
        <n v="1.0489999999999999"/>
        <n v="53.280999999999999"/>
        <n v="66.697000000000003"/>
        <n v="36.533999999999999"/>
        <n v="93.034000000000006"/>
        <n v="58.097000000000001"/>
        <n v="184.88499999999999"/>
        <n v="287.18099999999998"/>
        <n v="27.277999999999999"/>
        <n v="139.34399999999999"/>
        <n v="73.277000000000001"/>
        <n v="4.694"/>
        <n v="58.15"/>
        <n v="67.47"/>
        <n v="21.556000000000001"/>
        <n v="195.54300000000001"/>
        <n v="49.085999999999999"/>
        <n v="149.97900000000001"/>
        <n v="248.399"/>
        <n v="179.559"/>
        <n v="99.468000000000004"/>
        <n v="295.53100000000001"/>
        <n v="68.602000000000004"/>
        <n v="2.46"/>
        <n v="72.355999999999995"/>
        <n v="259.92500000000001"/>
        <n v="16.190999999999999"/>
        <n v="84.631"/>
        <n v="245.702"/>
        <n v="272.673"/>
        <n v="32.174999999999997"/>
        <n v="279.81900000000002"/>
        <n v="157.048"/>
        <n v="194.18799999999999"/>
        <n v="62.820999999999998"/>
        <n v="12.204000000000001"/>
        <n v="269.53800000000001"/>
        <n v="246.464"/>
        <n v="33.593000000000004"/>
        <n v="208.26"/>
        <n v="115.06399999999999"/>
        <n v="53.365000000000002"/>
        <n v="240.64400000000001"/>
        <n v="220.511"/>
        <n v="206.971"/>
        <n v="103.7"/>
        <n v="68.247"/>
        <n v="182.631"/>
        <n v="156.27000000000001"/>
        <n v="153.56"/>
        <n v="169.58699999999999"/>
        <n v="290.04199999999997"/>
        <n v="181.142"/>
        <n v="62.613"/>
        <n v="96.706999999999994"/>
        <n v="47.003"/>
        <n v="48.478000000000002"/>
        <n v="59.03"/>
        <n v="184.13300000000001"/>
        <n v="145.92099999999999"/>
        <n v="246.16"/>
        <n v="267.589"/>
        <n v="149.11199999999999"/>
        <n v="262.39"/>
        <n v="31.152999999999999"/>
        <n v="267.35599999999999"/>
        <n v="134.411"/>
        <n v="56.238"/>
        <n v="296.75099999999998"/>
        <n v="52.055"/>
        <n v="104.509"/>
        <n v="135.46700000000001"/>
        <n v="127.378"/>
        <n v="87.686999999999998"/>
        <n v="102.652"/>
        <n v="55.773000000000003"/>
        <n v="202.66800000000001"/>
        <n v="27.584"/>
        <n v="244.90100000000001"/>
        <n v="265.48200000000003"/>
        <n v="62.600999999999999"/>
        <n v="136.559"/>
        <n v="36.281999999999996"/>
        <n v="226.137"/>
        <n v="95.798000000000002"/>
        <n v="130.96299999999999"/>
        <n v="159.876"/>
        <n v="140.98699999999999"/>
        <n v="273.30200000000002"/>
        <n v="205.22900000000001"/>
        <n v="10.547000000000001"/>
        <n v="264.60300000000001"/>
        <n v="63.146000000000001"/>
        <n v="107.761"/>
        <n v="82.97"/>
        <n v="191.88900000000001"/>
        <n v="169.31899999999999"/>
        <n v="15.419"/>
        <n v="35.576999999999998"/>
        <n v="2.9209999999999998"/>
        <n v="144.535"/>
        <n v="156.54599999999999"/>
        <n v="125.53400000000001"/>
        <n v="256.87200000000001"/>
        <n v="72.828000000000003"/>
        <n v="123.649"/>
        <n v="55.152000000000001"/>
        <n v="220.07300000000001"/>
        <n v="223.393"/>
        <n v="86.569000000000003"/>
        <n v="156.84399999999999"/>
        <n v="159.56200000000001"/>
        <n v="122.53700000000001"/>
        <n v="53.805999999999997"/>
        <n v="75.992000000000004"/>
        <n v="284.464"/>
        <n v="258.85199999999998"/>
        <n v="173.21700000000001"/>
        <n v="194.76"/>
        <n v="20.754000000000001"/>
        <n v="69.837000000000003"/>
        <n v="138.279"/>
        <n v="218.81100000000001"/>
        <n v="114.78"/>
        <n v="87.081000000000003"/>
        <n v="286.16000000000003"/>
        <n v="112.099"/>
        <n v="151.17400000000001"/>
        <n v="264.06799999999998"/>
        <n v="85.015000000000001"/>
        <n v="104.98699999999999"/>
        <n v="54.332999999999998"/>
        <n v="215.53"/>
        <n v="177.17099999999999"/>
        <n v="188.41800000000001"/>
        <n v="126.372"/>
        <n v="206.553"/>
        <n v="69.766999999999996"/>
        <n v="104.33199999999999"/>
        <n v="143.279"/>
        <n v="6.3360000000000003"/>
        <n v="206.238"/>
        <n v="279.39999999999998"/>
        <n v="230.517"/>
        <n v="180.88900000000001"/>
        <n v="295.863"/>
        <n v="45.704000000000001"/>
        <n v="292.15699999999998"/>
        <n v="226.88399999999999"/>
        <n v="167.84800000000001"/>
        <n v="272.20400000000001"/>
        <n v="219.18199999999999"/>
        <n v="78.563000000000002"/>
        <n v="135.102"/>
        <n v="89.778999999999996"/>
        <n v="164.36099999999999"/>
        <n v="99.703999999999994"/>
        <n v="261.75700000000001"/>
        <n v="110.23399999999999"/>
        <n v="36.491"/>
        <n v="226.62100000000001"/>
        <n v="20.448"/>
        <n v="49.293999999999997"/>
        <n v="283.58999999999997"/>
        <n v="216.46100000000001"/>
        <n v="85.614999999999995"/>
        <n v="17.100999999999999"/>
        <n v="290.16000000000003"/>
        <n v="150.00399999999999"/>
        <n v="90.480999999999995"/>
        <n v="52.802"/>
        <n v="269.69299999999998"/>
        <n v="210.005"/>
        <n v="156.434"/>
        <n v="47.841999999999999"/>
        <n v="46.539000000000001"/>
        <n v="246.28100000000001"/>
        <n v="186.27199999999999"/>
        <n v="115.042"/>
        <n v="127.922"/>
        <n v="92.447000000000003"/>
        <n v="158.69300000000001"/>
        <n v="12.823"/>
        <n v="29.986000000000001"/>
        <n v="121.682"/>
        <n v="64.325000000000003"/>
        <n v="250.476"/>
        <n v="57.771000000000001"/>
        <n v="54.972999999999999"/>
        <n v="145.762"/>
        <n v="57.887999999999998"/>
        <n v="10.956"/>
        <n v="86.838999999999999"/>
        <n v="167.60499999999999"/>
        <n v="101.131"/>
        <n v="187.97300000000001"/>
        <n v="11.519"/>
        <n v="162.18700000000001"/>
        <n v="1.8320000000000001"/>
        <n v="113.922"/>
        <n v="105.474"/>
        <n v="69.715000000000003"/>
        <n v="73.366"/>
        <n v="37.57"/>
        <n v="137.68700000000001"/>
        <n v="38.311"/>
        <n v="103.187"/>
        <n v="285.57799999999997"/>
        <n v="86.879000000000005"/>
        <n v="15.739000000000001"/>
        <n v="66.201999999999998"/>
        <n v="98.58"/>
        <n v="224.49100000000001"/>
        <n v="79.599000000000004"/>
        <n v="164.721"/>
        <n v="231.43600000000001"/>
        <n v="116.77"/>
        <n v="179.69300000000001"/>
        <n v="261.05099999999999"/>
        <n v="114.3"/>
        <n v="191.012"/>
        <n v="171.79599999999999"/>
        <n v="162.77600000000001"/>
        <n v="241.94200000000001"/>
        <n v="2.5259999999999998"/>
        <n v="268.71800000000002"/>
        <n v="270.87700000000001"/>
        <n v="36.051000000000002"/>
        <n v="15.909000000000001"/>
        <n v="77.337999999999994"/>
        <n v="290.27699999999999"/>
        <n v="182.643"/>
        <n v="79.061999999999998"/>
        <n v="181.98"/>
        <n v="51.457999999999998"/>
        <n v="222.15899999999999"/>
        <n v="287.44200000000001"/>
        <n v="231.946"/>
        <n v="153.26300000000001"/>
        <n v="164.16399999999999"/>
        <n v="89.406999999999996"/>
        <n v="206.32900000000001"/>
        <n v="62.512999999999998"/>
        <n v="145.476"/>
        <n v="35.198"/>
        <n v="225.29499999999999"/>
        <n v="264.32299999999998"/>
        <n v="2.0190000000000001"/>
        <n v="81.454999999999998"/>
        <n v="216.31100000000001"/>
        <n v="149.77600000000001"/>
        <n v="149.102"/>
        <n v="3.42"/>
        <n v="178.72499999999999"/>
        <n v="16.739999999999998"/>
        <n v="105.789"/>
        <n v="19.465"/>
        <n v="4.1310000000000002"/>
        <n v="10.651999999999999"/>
        <n v="218.11500000000001"/>
        <n v="245.28899999999999"/>
        <n v="89.341999999999999"/>
        <n v="281.315"/>
        <n v="217.20099999999999"/>
        <n v="259.82"/>
        <n v="186.76400000000001"/>
        <n v="58.540999999999997"/>
        <n v="9.4700000000000006"/>
        <n v="192.416"/>
        <n v="44.308"/>
        <n v="135.66900000000001"/>
        <n v="102.84"/>
        <n v="161.86000000000001"/>
        <n v="49.476999999999997"/>
        <n v="108.261"/>
        <n v="102.46599999999999"/>
        <n v="295.21499999999997"/>
        <n v="70.56"/>
        <n v="255.392"/>
        <n v="261.27800000000002"/>
        <n v="166.471"/>
        <n v="244.41300000000001"/>
        <n v="188.511"/>
        <n v="2.3690000000000002"/>
        <n v="228.62899999999999"/>
        <n v="262.67200000000003"/>
        <n v="108.806"/>
        <n v="161.386"/>
        <n v="102.979"/>
        <n v="281.892"/>
        <n v="35.109000000000002"/>
        <n v="13.919"/>
        <n v="211.864"/>
        <n v="70.441000000000003"/>
        <n v="66.896000000000001"/>
        <n v="103.431"/>
        <n v="47.02"/>
        <n v="205.33799999999999"/>
        <n v="284.30500000000001"/>
        <n v="27.738"/>
        <n v="134.99700000000001"/>
        <n v="57.152999999999999"/>
        <n v="214.02"/>
        <n v="61.009"/>
        <n v="172.624"/>
        <n v="271.94099999999997"/>
        <n v="71.941999999999993"/>
        <n v="118.065"/>
        <n v="276.10899999999998"/>
        <n v="275.87700000000001"/>
        <n v="157.99799999999999"/>
        <n v="159.85499999999999"/>
        <n v="83.36"/>
        <n v="167.46600000000001"/>
        <n v="195.86799999999999"/>
        <n v="290.43099999999998"/>
        <n v="82.103999999999999"/>
        <n v="161.50800000000001"/>
        <n v="221.404"/>
        <n v="265.33199999999999"/>
        <n v="91.204999999999998"/>
        <n v="232.321"/>
        <n v="137.83699999999999"/>
        <n v="219.779"/>
        <n v="141.87899999999999"/>
        <n v="10.204000000000001"/>
        <n v="223.67400000000001"/>
        <n v="189.01599999999999"/>
        <n v="102.90300000000001"/>
        <n v="299.22500000000002"/>
        <n v="256.68700000000001"/>
        <n v="34.985999999999997"/>
        <n v="50.304000000000002"/>
        <n v="39.985999999999997"/>
        <n v="91.593999999999994"/>
        <n v="66.150999999999996"/>
        <n v="290.358"/>
        <n v="173.62"/>
        <n v="141.75299999999999"/>
        <n v="138.05600000000001"/>
        <n v="158.65100000000001"/>
        <n v="234.34700000000001"/>
        <n v="186.005"/>
        <n v="162.553"/>
        <n v="0.94399999999999995"/>
        <n v="93.992999999999995"/>
        <n v="271.25799999999998"/>
        <n v="214.738"/>
        <n v="208.92"/>
        <n v="256.80500000000001"/>
        <n v="294.74"/>
        <n v="104.087"/>
        <n v="269.05099999999999"/>
        <n v="255.035"/>
        <n v="159.18600000000001"/>
        <n v="287.15300000000002"/>
        <n v="166.797"/>
        <n v="281.14"/>
        <n v="290.911"/>
        <n v="278.49099999999999"/>
        <n v="102.063"/>
        <n v="24.102"/>
        <n v="4.2629999999999999"/>
        <n v="67.438000000000002"/>
        <n v="96.358999999999995"/>
        <n v="130.251"/>
        <n v="171.91499999999999"/>
        <n v="27.69"/>
        <n v="2.9940000000000002"/>
        <n v="103.533"/>
        <n v="67.546000000000006"/>
        <n v="26.466999999999999"/>
        <n v="246.59"/>
        <n v="131.12"/>
        <n v="168.05"/>
        <n v="73.414000000000001"/>
        <n v="180.29400000000001"/>
        <n v="48.115000000000002"/>
        <n v="40.646999999999998"/>
        <n v="54.606999999999999"/>
        <n v="21.995999999999999"/>
        <n v="83.697000000000003"/>
        <n v="67.763999999999996"/>
        <n v="239.19"/>
        <n v="8.8879999999999999"/>
        <n v="219.738"/>
        <n v="221.43199999999999"/>
        <n v="279.47699999999998"/>
        <n v="36.354999999999997"/>
        <n v="230.48699999999999"/>
        <n v="129.68600000000001"/>
        <n v="162.21700000000001"/>
        <n v="249.602"/>
        <n v="249.434"/>
        <n v="180.92599999999999"/>
        <n v="67.664000000000001"/>
        <n v="86.153000000000006"/>
        <n v="93.616"/>
        <n v="297.42899999999997"/>
        <n v="256.34899999999999"/>
        <n v="46.996000000000002"/>
        <n v="128.34399999999999"/>
        <n v="229.685"/>
        <n v="128.01900000000001"/>
        <n v="135.024"/>
        <n v="183.273"/>
        <n v="120.45399999999999"/>
        <n v="124.444"/>
        <n v="153.86799999999999"/>
        <n v="162.81800000000001"/>
        <n v="1.4999999999999999E-2"/>
        <n v="157.029"/>
        <n v="81.540999999999997"/>
        <n v="21.292000000000002"/>
        <n v="162.94800000000001"/>
        <n v="191.79900000000001"/>
        <n v="47.045999999999999"/>
        <n v="14.817"/>
        <n v="9.7590000000000003"/>
        <n v="179.50399999999999"/>
        <n v="268.55599999999998"/>
        <n v="282.64800000000002"/>
        <n v="270.65100000000001"/>
        <n v="21.05"/>
        <n v="100.15300000000001"/>
        <n v="275.73099999999999"/>
        <n v="231.32900000000001"/>
        <n v="57.731999999999999"/>
        <n v="51.920999999999999"/>
        <n v="117.73399999999999"/>
        <n v="137.91200000000001"/>
        <n v="31.44"/>
        <n v="35.183"/>
        <n v="133.46100000000001"/>
        <n v="114.515"/>
        <n v="220.53299999999999"/>
        <n v="115.503"/>
        <n v="39.023000000000003"/>
        <n v="181.101"/>
        <n v="218.03100000000001"/>
        <n v="76.054000000000002"/>
        <n v="61.741999999999997"/>
        <n v="45.215000000000003"/>
        <n v="159.245"/>
        <n v="241.44300000000001"/>
        <n v="103.59099999999999"/>
        <n v="249.04499999999999"/>
        <n v="46.228999999999999"/>
        <n v="62.582999999999998"/>
        <n v="255.93100000000001"/>
        <n v="159.99600000000001"/>
        <n v="126.011"/>
        <n v="292.24799999999999"/>
        <n v="240.66"/>
        <n v="299.738"/>
        <n v="265.80799999999999"/>
        <n v="272.67200000000003"/>
        <n v="159.262"/>
        <n v="197.10499999999999"/>
        <n v="128.404"/>
        <n v="201.66399999999999"/>
        <n v="295.04300000000001"/>
        <n v="17.241"/>
        <n v="63.472000000000001"/>
        <n v="205.32"/>
        <n v="31.346"/>
        <n v="81.195999999999998"/>
        <n v="208.196"/>
        <n v="149.01400000000001"/>
        <n v="298.517"/>
        <n v="120.623"/>
        <n v="2.016"/>
        <n v="7.274"/>
        <n v="15.747999999999999"/>
        <n v="11.826000000000001"/>
        <n v="129.28800000000001"/>
        <n v="201.08099999999999"/>
        <n v="251.054"/>
        <n v="172.50700000000001"/>
        <n v="206.089"/>
        <n v="223.023"/>
        <n v="192.94900000000001"/>
        <n v="69.072000000000003"/>
        <n v="67.308999999999997"/>
        <n v="160.96600000000001"/>
        <n v="185.63900000000001"/>
        <n v="35.326000000000001"/>
        <n v="186.131"/>
        <n v="267.22300000000001"/>
        <n v="87.34"/>
        <n v="167.364"/>
        <n v="118.19199999999999"/>
        <n v="251.749"/>
        <n v="51.817999999999998"/>
        <n v="13.429"/>
        <n v="57.747999999999998"/>
        <n v="48.807000000000002"/>
        <n v="269.28399999999999"/>
        <n v="238.161"/>
        <n v="290.66899999999998"/>
        <n v="282.63499999999999"/>
        <n v="199.88800000000001"/>
        <n v="166.05199999999999"/>
        <n v="226.59700000000001"/>
        <n v="8.0779999999999994"/>
        <n v="91.653999999999996"/>
        <n v="129.101"/>
        <n v="16.997"/>
        <n v="131.94"/>
        <n v="212.65"/>
        <n v="283.39"/>
        <n v="151.63300000000001"/>
        <n v="34.512"/>
        <n v="225.226"/>
        <n v="208.46700000000001"/>
        <n v="72.144000000000005"/>
        <n v="173.55699999999999"/>
        <n v="117.363"/>
        <n v="201.48400000000001"/>
        <n v="181.67500000000001"/>
        <n v="152.11000000000001"/>
        <n v="93.542000000000002"/>
        <n v="276.46899999999999"/>
        <n v="166.964"/>
        <n v="149.06800000000001"/>
        <n v="205.35499999999999"/>
        <n v="116.73699999999999"/>
        <n v="262.96800000000002"/>
        <n v="240.417"/>
        <n v="117.718"/>
        <n v="273.661"/>
        <n v="152.755"/>
        <n v="207.791"/>
        <n v="249.12"/>
        <n v="254.322"/>
        <n v="209.48500000000001"/>
        <n v="272.12599999999998"/>
        <n v="145.71100000000001"/>
        <n v="70.209999999999994"/>
        <n v="69.852000000000004"/>
        <n v="255.13900000000001"/>
        <n v="9.6950000000000003"/>
        <n v="48.582000000000001"/>
        <n v="293.238"/>
        <n v="191.70699999999999"/>
        <n v="284.33100000000002"/>
        <n v="128.721"/>
        <n v="106.68300000000001"/>
        <n v="263.358"/>
        <n v="286.084"/>
        <n v="44.405999999999999"/>
        <n v="147.04900000000001"/>
        <n v="235.994"/>
        <n v="187.31299999999999"/>
        <n v="204.57300000000001"/>
        <n v="206.20500000000001"/>
        <n v="60.481000000000002"/>
        <n v="238.084"/>
        <n v="289.88400000000001"/>
        <n v="274.02499999999998"/>
        <n v="299.14"/>
        <n v="163.249"/>
        <n v="122.196"/>
        <n v="37.177"/>
        <n v="66.126000000000005"/>
        <n v="26.119"/>
        <n v="117.744"/>
        <n v="116.89400000000001"/>
        <n v="158.98699999999999"/>
        <n v="44.988999999999997"/>
        <n v="284.25"/>
        <n v="279.27499999999998"/>
        <n v="6.5529999999999999"/>
        <n v="17.881"/>
        <n v="1.379"/>
        <n v="69.305999999999997"/>
        <n v="243.82499999999999"/>
        <n v="104.512"/>
        <n v="278.49400000000003"/>
        <n v="99.599000000000004"/>
        <n v="81.397000000000006"/>
        <n v="17.768999999999998"/>
        <n v="178.321"/>
        <n v="101.584"/>
        <n v="133.858"/>
        <n v="231.60900000000001"/>
        <n v="126.52500000000001"/>
        <n v="19.588999999999999"/>
        <n v="265.02600000000001"/>
        <n v="180.39400000000001"/>
        <n v="129.23599999999999"/>
        <n v="271.88900000000001"/>
        <n v="15.861000000000001"/>
        <n v="91.706999999999994"/>
        <n v="255.04300000000001"/>
        <n v="133.90899999999999"/>
        <n v="54.38"/>
        <n v="105.02500000000001"/>
        <n v="180.90299999999999"/>
        <n v="220.42099999999999"/>
        <n v="244.49700000000001"/>
        <n v="160.59200000000001"/>
        <n v="44.396999999999998"/>
        <n v="277.13200000000001"/>
        <n v="158.79499999999999"/>
        <n v="33.799999999999997"/>
        <n v="158.50200000000001"/>
        <n v="199.548"/>
        <n v="257.65300000000002"/>
        <n v="52.283999999999999"/>
        <n v="56.231999999999999"/>
        <n v="44.42"/>
        <n v="299.85399999999998"/>
        <n v="92.034999999999997"/>
        <n v="293.42700000000002"/>
        <n v="197.24100000000001"/>
        <n v="193.529"/>
        <n v="249.863"/>
        <n v="25.968"/>
        <n v="62.508000000000003"/>
        <n v="235.863"/>
        <n v="194.292"/>
        <n v="85.366"/>
        <n v="5.7380000000000004"/>
        <n v="3.0979999999999999"/>
        <n v="95.424000000000007"/>
        <n v="204.70500000000001"/>
        <n v="139.32499999999999"/>
        <n v="125.349"/>
        <n v="50.969000000000001"/>
        <n v="90.744"/>
        <n v="201.495"/>
        <n v="117.286"/>
        <n v="75.028000000000006"/>
        <n v="297.565"/>
        <n v="38.575000000000003"/>
        <n v="3.1920000000000002"/>
        <n v="111.116"/>
        <n v="81.311000000000007"/>
        <n v="80.781000000000006"/>
        <n v="36.527000000000001"/>
        <n v="52.180999999999997"/>
        <n v="91.471999999999994"/>
        <n v="81.218999999999994"/>
        <n v="119.783"/>
        <n v="161.554"/>
        <n v="179.3"/>
        <n v="83.265000000000001"/>
        <n v="50.125999999999998"/>
        <n v="282.68900000000002"/>
        <n v="55.113999999999997"/>
        <n v="206.422"/>
        <n v="188.87299999999999"/>
        <n v="276.03399999999999"/>
        <n v="121.28400000000001"/>
        <n v="194.46899999999999"/>
        <n v="142.29"/>
        <n v="88.241"/>
        <n v="296.86599999999999"/>
        <n v="182.61500000000001"/>
        <n v="30.920999999999999"/>
        <n v="161.68600000000001"/>
        <n v="192.261"/>
        <n v="17.600999999999999"/>
        <n v="93.331999999999994"/>
        <n v="202.61500000000001"/>
        <n v="235.572"/>
        <n v="290.14400000000001"/>
        <n v="130.43899999999999"/>
        <n v="239.691"/>
        <n v="119.277"/>
        <n v="292.52699999999999"/>
        <n v="142.857"/>
        <n v="40.909999999999997"/>
        <n v="170.1"/>
        <n v="155.92699999999999"/>
        <n v="286.42500000000001"/>
        <n v="4.8410000000000002"/>
        <n v="97.203999999999994"/>
        <n v="60.155000000000001"/>
        <n v="259.589"/>
        <n v="261.14"/>
        <n v="148.51499999999999"/>
        <n v="132.994"/>
        <n v="294.12"/>
        <n v="143.06299999999999"/>
        <n v="104.405"/>
        <n v="53.744"/>
        <n v="2.4729999999999999"/>
        <n v="139.18"/>
        <n v="28.715"/>
        <n v="244.82599999999999"/>
        <n v="253.85599999999999"/>
        <n v="239.41900000000001"/>
        <n v="252.50800000000001"/>
        <n v="299.46100000000001"/>
        <n v="164.434"/>
        <n v="54.603999999999999"/>
        <n v="4.8890000000000002"/>
        <n v="220.62899999999999"/>
        <n v="294.11500000000001"/>
        <n v="50.551000000000002"/>
        <n v="134.273"/>
        <n v="237.23"/>
        <n v="236.13900000000001"/>
        <n v="108.95699999999999"/>
        <n v="89.882000000000005"/>
        <n v="210.32300000000001"/>
        <n v="267.82499999999999"/>
        <n v="101.982"/>
        <n v="46.87"/>
        <n v="213.328"/>
        <n v="159.22399999999999"/>
        <n v="50.061"/>
        <n v="188.691"/>
        <n v="58.234999999999999"/>
        <n v="90.072999999999993"/>
        <n v="11.217000000000001"/>
        <n v="295.88499999999999"/>
        <n v="192.386"/>
        <n v="263.55200000000002"/>
        <n v="42.902999999999999"/>
        <n v="215.28"/>
        <n v="107.042"/>
        <n v="243.72499999999999"/>
        <n v="132.29"/>
        <n v="181.64400000000001"/>
        <n v="109.268"/>
        <n v="30.105"/>
        <n v="69.634"/>
        <n v="138.691"/>
        <n v="18.225999999999999"/>
        <n v="25.321999999999999"/>
        <n v="167.28399999999999"/>
        <n v="94.834999999999994"/>
        <n v="255.02699999999999"/>
        <n v="73.078999999999994"/>
        <n v="23.946000000000002"/>
        <n v="162.81200000000001"/>
        <n v="7.2530000000000001"/>
        <n v="79.311000000000007"/>
        <n v="294.95699999999999"/>
        <n v="67.593000000000004"/>
        <n v="149.48500000000001"/>
        <n v="226.833"/>
        <n v="38.484999999999999"/>
        <n v="199.304"/>
        <n v="278.245"/>
        <n v="8.8309999999999995"/>
        <n v="5.0039999999999996"/>
        <n v="37.17"/>
        <n v="43.555"/>
        <n v="118.11499999999999"/>
        <n v="178.47499999999999"/>
        <n v="298.50900000000001"/>
        <n v="207.13200000000001"/>
        <n v="63.470999999999997"/>
        <n v="57.286999999999999"/>
        <n v="116.47499999999999"/>
        <n v="50.151000000000003"/>
        <n v="67.384"/>
        <n v="33.540999999999997"/>
        <n v="72.846999999999994"/>
        <n v="218.17099999999999"/>
        <n v="211.81100000000001"/>
        <n v="213.739"/>
        <n v="167.81299999999999"/>
        <n v="99.918999999999997"/>
        <n v="216.74600000000001"/>
        <n v="194.02"/>
        <n v="61.768000000000001"/>
        <n v="43.262"/>
        <n v="20.605"/>
        <n v="78.59"/>
        <n v="290.375"/>
        <n v="79.397000000000006"/>
        <n v="77.123000000000005"/>
        <n v="275.65899999999999"/>
        <n v="278.74400000000003"/>
        <n v="158.964"/>
        <n v="168.767"/>
        <n v="135.501"/>
        <n v="135.678"/>
        <n v="114.38"/>
        <n v="171.20599999999999"/>
        <n v="156.547"/>
        <n v="152.80199999999999"/>
        <n v="152.185"/>
        <n v="151.083"/>
        <n v="55.746000000000002"/>
        <n v="173.92500000000001"/>
        <n v="298.96199999999999"/>
        <n v="168.393"/>
        <n v="283.45299999999997"/>
        <n v="290.32"/>
        <n v="68.879000000000005"/>
        <n v="67.591999999999999"/>
        <n v="220.084"/>
        <n v="197.494"/>
        <n v="270.72800000000001"/>
        <n v="124.55500000000001"/>
        <n v="18.829999999999998"/>
        <n v="216.89699999999999"/>
        <n v="252.23400000000001"/>
        <n v="265.73500000000001"/>
        <n v="93.878"/>
        <n v="125.407"/>
        <n v="116.869"/>
        <n v="257.71600000000001"/>
        <n v="283.53899999999999"/>
        <n v="16.738"/>
        <n v="133.703"/>
        <n v="148.977"/>
        <n v="19.056000000000001"/>
        <n v="240.74600000000001"/>
        <n v="115.316"/>
        <n v="166.51900000000001"/>
        <n v="54.417999999999999"/>
        <n v="299.334"/>
        <n v="26.013999999999999"/>
        <n v="204.071"/>
        <n v="238.989"/>
        <n v="181.35"/>
        <n v="263.92399999999998"/>
        <n v="190.33"/>
        <n v="42.192"/>
        <n v="43.923000000000002"/>
        <n v="89.195999999999998"/>
        <n v="2.395"/>
        <n v="228.45599999999999"/>
        <n v="71.028000000000006"/>
        <n v="242.46299999999999"/>
        <n v="141.05600000000001"/>
        <n v="203.4"/>
        <n v="255.315"/>
        <n v="289.06799999999998"/>
        <n v="294.721"/>
        <n v="138.78299999999999"/>
        <n v="85.548000000000002"/>
        <n v="257.28800000000001"/>
        <n v="125.093"/>
        <n v="235.83500000000001"/>
        <n v="206.084"/>
        <n v="270.39800000000002"/>
        <n v="229.02699999999999"/>
        <n v="208.072"/>
        <n v="248.029"/>
        <n v="209.047"/>
        <n v="130.50899999999999"/>
        <n v="237.78399999999999"/>
        <n v="295.10700000000003"/>
        <n v="3.2730000000000001"/>
        <n v="15.33"/>
        <n v="152.566"/>
        <n v="76.421999999999997"/>
        <n v="3.2120000000000002"/>
        <n v="232.131"/>
        <n v="87.593999999999994"/>
        <n v="132.15199999999999"/>
        <n v="294.81900000000002"/>
        <n v="22.007000000000001"/>
        <n v="113.80500000000001"/>
        <n v="95.814999999999998"/>
        <n v="262.78300000000002"/>
        <n v="78.037999999999997"/>
        <n v="265.88"/>
        <n v="253.506"/>
        <n v="16.472999999999999"/>
        <n v="128.77099999999999"/>
        <n v="125.801"/>
        <n v="86.623000000000005"/>
        <n v="225.09700000000001"/>
        <n v="298.964"/>
        <n v="215.93299999999999"/>
        <n v="196.87899999999999"/>
        <n v="280.55799999999999"/>
        <n v="24.22"/>
        <n v="60.530999999999999"/>
        <n v="173.49700000000001"/>
        <n v="9.3870000000000005"/>
        <n v="245.75200000000001"/>
        <n v="76.814999999999998"/>
        <n v="44.783000000000001"/>
        <n v="170.881"/>
        <n v="185.399"/>
        <n v="124.494"/>
        <n v="115.81399999999999"/>
        <n v="250.13900000000001"/>
        <n v="141.929"/>
        <n v="173.333"/>
        <n v="246.50899999999999"/>
        <n v="13.58"/>
        <n v="18.239999999999998"/>
        <n v="254.351"/>
        <n v="254.27099999999999"/>
        <n v="80.974000000000004"/>
        <n v="73.400999999999996"/>
        <n v="213.16499999999999"/>
        <n v="164.34"/>
        <n v="265.79000000000002"/>
        <n v="186.44300000000001"/>
        <n v="248.12299999999999"/>
        <n v="89.46"/>
        <n v="51.048000000000002"/>
        <n v="206.518"/>
        <n v="132.85"/>
        <n v="211.91200000000001"/>
        <n v="266.89100000000002"/>
        <n v="4.4999999999999998E-2"/>
        <n v="7.758"/>
        <n v="255.39699999999999"/>
        <n v="154.50899999999999"/>
        <n v="150.65700000000001"/>
        <n v="140.92599999999999"/>
        <n v="183.148"/>
        <n v="148.42099999999999"/>
        <n v="227.3"/>
        <n v="152.41999999999999"/>
        <n v="165.36799999999999"/>
        <n v="19.454999999999998"/>
        <n v="209.89599999999999"/>
        <n v="231.89699999999999"/>
        <n v="88.552000000000007"/>
        <n v="40.484000000000002"/>
        <n v="134.476"/>
        <n v="168.33199999999999"/>
        <n v="100.64700000000001"/>
        <n v="65.641999999999996"/>
        <n v="211.803"/>
        <n v="128.82400000000001"/>
        <n v="248.91399999999999"/>
        <n v="291.74900000000002"/>
        <n v="110.879"/>
        <n v="120.827"/>
        <n v="267.72399999999999"/>
        <n v="267.54399999999998"/>
        <n v="170.715"/>
        <n v="227.25700000000001"/>
        <n v="127.319"/>
        <n v="106.96"/>
        <n v="39.015000000000001"/>
        <n v="203.87700000000001"/>
        <n v="145.10900000000001"/>
        <n v="88.754000000000005"/>
        <n v="221.77500000000001"/>
        <n v="203.22499999999999"/>
        <n v="152.60599999999999"/>
        <n v="222.06700000000001"/>
        <n v="56.878999999999998"/>
        <n v="119.89400000000001"/>
        <n v="65.838999999999999"/>
        <n v="29.756"/>
        <n v="143.755"/>
        <n v="180.55699999999999"/>
        <n v="229.303"/>
        <n v="149.78700000000001"/>
        <n v="92.942999999999998"/>
        <n v="218.18799999999999"/>
        <n v="148.18799999999999"/>
        <n v="36.744"/>
        <n v="124.697"/>
        <n v="116.072"/>
        <n v="236.02799999999999"/>
        <n v="169.12299999999999"/>
        <n v="7.1760000000000002"/>
        <n v="252.36500000000001"/>
        <n v="149.74799999999999"/>
        <n v="45.177"/>
        <n v="110.623"/>
        <n v="0.997"/>
        <n v="120.179"/>
        <n v="247.43899999999999"/>
        <n v="120.40300000000001"/>
        <n v="95.287000000000006"/>
        <n v="119.574"/>
        <n v="256.46300000000002"/>
        <n v="121.509"/>
        <n v="248.505"/>
        <n v="192.589"/>
        <n v="289.53100000000001"/>
        <n v="4.09"/>
        <n v="3.7429999999999999"/>
        <n v="30.923999999999999"/>
        <n v="141.268"/>
        <n v="105.312"/>
        <n v="216.249"/>
        <n v="224.09"/>
        <n v="229.602"/>
        <n v="103.976"/>
        <n v="155.18299999999999"/>
        <n v="113.566"/>
        <n v="257.44299999999998"/>
        <n v="119.968"/>
        <n v="61.6"/>
        <n v="50.021999999999998"/>
        <n v="134.27099999999999"/>
        <n v="123.32299999999999"/>
        <n v="186.11"/>
        <n v="120.27800000000001"/>
        <n v="270.041"/>
        <n v="64.540999999999997"/>
        <n v="106.968"/>
        <n v="14.891999999999999"/>
        <n v="24.815000000000001"/>
        <n v="278.411"/>
        <n v="280.41199999999998"/>
        <n v="114.46299999999999"/>
        <n v="190.732"/>
        <n v="196.59899999999999"/>
        <n v="194.45099999999999"/>
        <n v="172.34299999999999"/>
        <n v="138.30699999999999"/>
        <n v="88.757000000000005"/>
        <n v="296.75299999999999"/>
        <n v="254.2"/>
        <n v="23.645"/>
        <n v="195.63"/>
        <n v="154.47300000000001"/>
        <n v="269.91500000000002"/>
        <n v="151.46"/>
        <n v="83.251000000000005"/>
        <n v="57.042000000000002"/>
        <n v="196.94499999999999"/>
        <n v="47.024000000000001"/>
        <n v="154.52199999999999"/>
        <n v="56.965000000000003"/>
        <n v="272.20100000000002"/>
        <n v="224.321"/>
        <n v="271.12700000000001"/>
        <n v="19.995000000000001"/>
        <n v="114.587"/>
        <n v="233.07599999999999"/>
        <n v="222.7"/>
        <n v="38.886000000000003"/>
        <n v="95.149000000000001"/>
        <n v="94.02"/>
        <n v="2.673"/>
        <n v="23.466000000000001"/>
        <n v="237.626"/>
        <n v="50.405999999999999"/>
        <n v="69.284000000000006"/>
        <n v="235.71799999999999"/>
        <n v="13.664999999999999"/>
        <n v="20.640999999999998"/>
        <n v="35.796999999999997"/>
        <n v="215.83799999999999"/>
        <n v="102.339"/>
        <n v="113.431"/>
        <n v="232.27500000000001"/>
        <n v="283.31700000000001"/>
        <n v="144.29400000000001"/>
        <n v="181.136"/>
        <n v="168.08199999999999"/>
        <n v="253.30099999999999"/>
        <n v="18.094999999999999"/>
        <n v="123.554"/>
        <n v="234.989"/>
        <n v="89.022999999999996"/>
        <n v="107.181"/>
        <n v="222.31"/>
        <n v="282.74400000000003"/>
        <n v="264.61"/>
        <n v="176.16900000000001"/>
        <n v="53.276000000000003"/>
        <n v="269.072"/>
        <n v="205.71899999999999"/>
        <n v="171.96"/>
        <n v="226.09700000000001"/>
        <n v="174.904"/>
        <n v="116.196"/>
        <n v="9.4039999999999999"/>
        <n v="209.19"/>
        <n v="113.187"/>
        <n v="27.684000000000001"/>
        <n v="68.590999999999994"/>
        <n v="208.79400000000001"/>
        <n v="264.82600000000002"/>
        <n v="111.18600000000001"/>
        <n v="243.18100000000001"/>
        <n v="21.832000000000001"/>
        <n v="296.78399999999999"/>
        <n v="40.491"/>
        <n v="63.042999999999999"/>
        <n v="128.56800000000001"/>
        <n v="72.724999999999994"/>
        <n v="128.131"/>
        <n v="45.52"/>
        <n v="109.869"/>
        <n v="64.441999999999993"/>
        <n v="261.02499999999998"/>
        <n v="152.84200000000001"/>
        <n v="178.57"/>
        <n v="123.447"/>
        <n v="61.476999999999997"/>
        <n v="0.24399999999999999"/>
        <n v="177.56100000000001"/>
        <n v="290.53399999999999"/>
        <n v="10.247"/>
        <n v="200.12299999999999"/>
        <n v="190.791"/>
        <n v="207.358"/>
        <n v="291.72699999999998"/>
        <n v="139.148"/>
        <n v="146.12299999999999"/>
        <n v="28.67"/>
        <n v="10.236000000000001"/>
        <n v="35.567999999999998"/>
        <n v="107.327"/>
        <n v="255.745"/>
        <n v="278.49599999999998"/>
        <n v="125.721"/>
        <n v="259.291"/>
        <n v="156.22800000000001"/>
        <n v="55.904000000000003"/>
        <n v="278.25200000000001"/>
        <n v="264.99700000000001"/>
        <n v="266.32"/>
        <n v="100.459"/>
        <n v="185.922"/>
        <n v="137.90100000000001"/>
        <n v="123.22499999999999"/>
        <n v="235.84700000000001"/>
        <n v="221.738"/>
        <n v="110.893"/>
        <n v="242.726"/>
        <n v="196.91399999999999"/>
        <n v="181.88"/>
        <n v="6.6109999999999998"/>
        <n v="247.524"/>
        <n v="295.18700000000001"/>
        <n v="136.34299999999999"/>
        <n v="190.191"/>
        <n v="142.64500000000001"/>
        <n v="152.48099999999999"/>
        <n v="286.608"/>
        <n v="249.22"/>
        <n v="118.523"/>
        <n v="20.661999999999999"/>
        <n v="280.37200000000001"/>
        <n v="60.720999999999997"/>
        <n v="138.458"/>
        <n v="269.00599999999997"/>
        <n v="40.107999999999997"/>
        <n v="91.787999999999997"/>
        <n v="244.43700000000001"/>
        <n v="237.011"/>
        <n v="158.273"/>
        <n v="49.966000000000001"/>
        <n v="185.846"/>
        <n v="272.52999999999997"/>
        <n v="77.227999999999994"/>
        <n v="146.297"/>
        <n v="43.021000000000001"/>
        <n v="149.333"/>
        <n v="252.64599999999999"/>
        <n v="86.754999999999995"/>
        <n v="66.33"/>
        <n v="178.43799999999999"/>
        <n v="45.313000000000002"/>
        <n v="234.72900000000001"/>
        <n v="232.78299999999999"/>
        <n v="289.17599999999999"/>
        <n v="148.43"/>
        <n v="28.364999999999998"/>
        <n v="275.33300000000003"/>
        <n v="7.2480000000000002"/>
        <n v="4.3689999999999998"/>
        <n v="290.74900000000002"/>
        <n v="171.95500000000001"/>
        <n v="33.055"/>
        <n v="199.803"/>
        <n v="269.59399999999999"/>
        <n v="133.99700000000001"/>
        <n v="50.271999999999998"/>
        <n v="5.31"/>
        <n v="31.817"/>
        <n v="215.88800000000001"/>
        <n v="82.641000000000005"/>
        <n v="215.155"/>
        <n v="207.38200000000001"/>
        <n v="15.457000000000001"/>
        <n v="42.311"/>
        <n v="151.958"/>
        <n v="123.57299999999999"/>
        <n v="298.32499999999999"/>
        <n v="164.334"/>
        <n v="263.27199999999999"/>
        <n v="79.522000000000006"/>
        <n v="163.39400000000001"/>
        <n v="48.929000000000002"/>
        <n v="81.695999999999998"/>
        <n v="271.952"/>
        <n v="95.147999999999996"/>
        <n v="283.86900000000003"/>
        <n v="220.02600000000001"/>
        <n v="83.575999999999993"/>
        <n v="20.556999999999999"/>
        <n v="21.824999999999999"/>
        <n v="271.142"/>
        <n v="36.08"/>
        <n v="258.815"/>
        <n v="188.869"/>
        <n v="146.874"/>
        <n v="42.406999999999996"/>
        <n v="120.283"/>
        <n v="13.337999999999999"/>
        <n v="76.289000000000001"/>
        <n v="149.96700000000001"/>
        <n v="178.982"/>
        <n v="109.367"/>
        <n v="117.486"/>
        <n v="214.209"/>
        <n v="256.05500000000001"/>
        <n v="136.42099999999999"/>
        <n v="153.535"/>
        <n v="74.935000000000002"/>
        <n v="189.864"/>
        <n v="275.83"/>
        <n v="63.527999999999999"/>
        <n v="99.811000000000007"/>
        <n v="284.93099999999998"/>
        <n v="188.499"/>
        <n v="260.14100000000002"/>
        <n v="104.887"/>
        <n v="61.085999999999999"/>
        <n v="255.494"/>
        <n v="63.308"/>
        <n v="277.94099999999997"/>
        <n v="267.44600000000003"/>
        <n v="38.058999999999997"/>
        <n v="131.97999999999999"/>
        <n v="191.32400000000001"/>
        <n v="143.94900000000001"/>
        <n v="276.38299999999998"/>
        <n v="27.312999999999999"/>
        <n v="42.103000000000002"/>
        <n v="179.48"/>
        <n v="88.771000000000001"/>
        <n v="126.22799999999999"/>
        <n v="91.665000000000006"/>
        <n v="272.678"/>
        <n v="279.33300000000003"/>
        <n v="86.066999999999993"/>
        <n v="273.11099999999999"/>
        <n v="213.06299999999999"/>
        <n v="270.80399999999997"/>
        <n v="129.90899999999999"/>
        <n v="140.68799999999999"/>
        <n v="75.975999999999999"/>
        <n v="233.208"/>
        <n v="179.81"/>
        <n v="275.25099999999998"/>
        <n v="192.476"/>
        <n v="94.182000000000002"/>
        <n v="243.15299999999999"/>
        <n v="278.09800000000001"/>
        <n v="279.08699999999999"/>
        <n v="40.725000000000001"/>
        <n v="10.11"/>
        <n v="278.60599999999999"/>
        <n v="185.15299999999999"/>
        <n v="66.566999999999993"/>
        <n v="182.29599999999999"/>
        <n v="113.39400000000001"/>
        <n v="148.94"/>
        <n v="22.222000000000001"/>
        <n v="79.793999999999997"/>
        <n v="63.923999999999999"/>
        <n v="99.853999999999999"/>
        <n v="260.03800000000001"/>
        <n v="243.815"/>
        <n v="233.12700000000001"/>
        <n v="141.29499999999999"/>
        <n v="179.238"/>
        <n v="39.369"/>
        <n v="274.80500000000001"/>
        <n v="146.66300000000001"/>
        <n v="186.30699999999999"/>
        <n v="270.11399999999998"/>
        <n v="47.921999999999997"/>
        <n v="292.899"/>
        <n v="120.926"/>
        <n v="19.416"/>
        <n v="13.672000000000001"/>
        <n v="128.14500000000001"/>
        <n v="178.06800000000001"/>
        <n v="6.4000000000000001E-2"/>
        <n v="68.834999999999994"/>
        <n v="201.45699999999999"/>
        <n v="247.79499999999999"/>
        <n v="116.916"/>
        <n v="195.346"/>
        <n v="273.01"/>
        <n v="3.8889999999999998"/>
        <n v="118.194"/>
        <n v="124.714"/>
        <n v="31.335000000000001"/>
        <n v="50.546999999999997"/>
        <n v="157.23400000000001"/>
        <n v="220.52099999999999"/>
        <n v="155.75899999999999"/>
        <n v="273.13900000000001"/>
        <n v="2.6309999999999998"/>
        <n v="137.03899999999999"/>
        <n v="64.471000000000004"/>
        <n v="299.26"/>
        <n v="133.01400000000001"/>
        <n v="47.664000000000001"/>
        <n v="159.14099999999999"/>
        <n v="87.341999999999999"/>
        <n v="14.407"/>
        <n v="113.926"/>
        <n v="213.053"/>
        <n v="17.878"/>
        <n v="83.1"/>
        <n v="223.059"/>
        <n v="43.167999999999999"/>
        <n v="250.39599999999999"/>
        <n v="250.48099999999999"/>
        <n v="28.004000000000001"/>
        <n v="282.61500000000001"/>
        <n v="91.82"/>
        <n v="191.239"/>
        <n v="102.229"/>
        <n v="14.568"/>
        <n v="9.4659999999999993"/>
        <n v="222.12899999999999"/>
        <n v="57.323999999999998"/>
        <n v="146.53899999999999"/>
        <n v="75.954999999999998"/>
        <n v="147.74799999999999"/>
        <n v="94.790999999999997"/>
        <n v="162.58600000000001"/>
        <n v="22.65"/>
        <n v="77.700999999999993"/>
        <n v="272.827"/>
        <n v="229.16399999999999"/>
        <n v="80.977999999999994"/>
      </sharedItems>
      <fieldGroup base="8">
        <rangePr autoStart="0" autoEnd="0" startNum="0" endNum="300" groupInterval="15"/>
        <groupItems count="22">
          <s v="&lt;0"/>
          <s v="0-15"/>
          <s v="15-30"/>
          <s v="30-45"/>
          <s v="45-60"/>
          <s v="60-75"/>
          <s v="75-90"/>
          <s v="90-105"/>
          <s v="105-120"/>
          <s v="120-135"/>
          <s v="135-150"/>
          <s v="150-165"/>
          <s v="165-180"/>
          <s v="180-195"/>
          <s v="195-210"/>
          <s v="210-225"/>
          <s v="225-240"/>
          <s v="240-255"/>
          <s v="255-270"/>
          <s v="270-285"/>
          <s v="285-300"/>
          <s v="&gt;300"/>
        </groupItems>
      </fieldGroup>
    </cacheField>
    <cacheField name="Mileage" numFmtId="3">
      <sharedItems containsSemiMixedTypes="0" containsString="0" containsNumber="1" containsInteger="1" minValue="15" maxValue="299967" count="2490">
        <n v="114832"/>
        <n v="143190"/>
        <n v="181601"/>
        <n v="68682"/>
        <n v="223009"/>
        <n v="246553"/>
        <n v="135486"/>
        <n v="83030"/>
        <n v="120360"/>
        <n v="135009"/>
        <n v="298875"/>
        <n v="169737"/>
        <n v="114360"/>
        <n v="263894"/>
        <n v="65018"/>
        <n v="240904"/>
        <n v="136817"/>
        <n v="192803"/>
        <n v="86984"/>
        <n v="290595"/>
        <n v="192608"/>
        <n v="12150"/>
        <n v="275550"/>
        <n v="150853"/>
        <n v="188489"/>
        <n v="18325"/>
        <n v="199756"/>
        <n v="204541"/>
        <n v="17669"/>
        <n v="207836"/>
        <n v="132915"/>
        <n v="196681"/>
        <n v="50812"/>
        <n v="278203"/>
        <n v="252862"/>
        <n v="171840"/>
        <n v="25395"/>
        <n v="282346"/>
        <n v="229707"/>
        <n v="247181"/>
        <n v="204120"/>
        <n v="224839"/>
        <n v="219882"/>
        <n v="103235"/>
        <n v="45510"/>
        <n v="87945"/>
        <n v="242802"/>
        <n v="250168"/>
        <n v="2881"/>
        <n v="111860"/>
        <n v="166415"/>
        <n v="139728"/>
        <n v="267885"/>
        <n v="147733"/>
        <n v="290834"/>
        <n v="294977"/>
        <n v="102566"/>
        <n v="71240"/>
        <n v="106898"/>
        <n v="209304"/>
        <n v="80522"/>
        <n v="145512"/>
        <n v="119107"/>
        <n v="22462"/>
        <n v="279965"/>
        <n v="92889"/>
        <n v="88952"/>
        <n v="193596"/>
        <n v="177505"/>
        <n v="221576"/>
        <n v="219393"/>
        <n v="275455"/>
        <n v="254084"/>
        <n v="129466"/>
        <n v="30531"/>
        <n v="14588"/>
        <n v="143452"/>
        <n v="173717"/>
        <n v="161929"/>
        <n v="21711"/>
        <n v="136169"/>
        <n v="159465"/>
        <n v="284220"/>
        <n v="160389"/>
        <n v="58480"/>
        <n v="269188"/>
        <n v="250309"/>
        <n v="55486"/>
        <n v="55162"/>
        <n v="210359"/>
        <n v="29882"/>
        <n v="54078"/>
        <n v="238680"/>
        <n v="108730"/>
        <n v="174898"/>
        <n v="98938"/>
        <n v="118319"/>
        <n v="32543"/>
        <n v="124279"/>
        <n v="29362"/>
        <n v="158818"/>
        <n v="242721"/>
        <n v="165229"/>
        <n v="142394"/>
        <n v="69812"/>
        <n v="296161"/>
        <n v="228208"/>
        <n v="279773"/>
        <n v="128614"/>
        <n v="96950"/>
        <n v="174942"/>
        <n v="64829"/>
        <n v="245602"/>
        <n v="10588"/>
        <n v="168217"/>
        <n v="272743"/>
        <n v="208502"/>
        <n v="134011"/>
        <n v="252856"/>
        <n v="284293"/>
        <n v="197639"/>
        <n v="141280"/>
        <n v="197170"/>
        <n v="180564"/>
        <n v="20951"/>
        <n v="179992"/>
        <n v="46766"/>
        <n v="159423"/>
        <n v="87122"/>
        <n v="271452"/>
        <n v="83211"/>
        <n v="126534"/>
        <n v="8720"/>
        <n v="79993"/>
        <n v="219973"/>
        <n v="25905"/>
        <n v="204580"/>
        <n v="50385"/>
        <n v="30653"/>
        <n v="91865"/>
        <n v="125813"/>
        <n v="145871"/>
        <n v="191175"/>
        <n v="248535"/>
        <n v="15052"/>
        <n v="137116"/>
        <n v="150943"/>
        <n v="220375"/>
        <n v="21381"/>
        <n v="148346"/>
        <n v="243234"/>
        <n v="256017"/>
        <n v="235020"/>
        <n v="49892"/>
        <n v="181593"/>
        <n v="214992"/>
        <n v="280064"/>
        <n v="278846"/>
        <n v="256216"/>
        <n v="264038"/>
        <n v="293129"/>
        <n v="159359"/>
        <n v="258771"/>
        <n v="125702"/>
        <n v="73527"/>
        <n v="146511"/>
        <n v="225692"/>
        <n v="158731"/>
        <n v="287120"/>
        <n v="235311"/>
        <n v="198937"/>
        <n v="199378"/>
        <n v="56697"/>
        <n v="70382"/>
        <n v="278795"/>
        <n v="180116"/>
        <n v="14633"/>
        <n v="79164"/>
        <n v="262713"/>
        <n v="123425"/>
        <n v="250220"/>
        <n v="295182"/>
        <n v="180160"/>
        <n v="204249"/>
        <n v="205538"/>
        <n v="197865"/>
        <n v="201466"/>
        <n v="187223"/>
        <n v="111174"/>
        <n v="137980"/>
        <n v="68447"/>
        <n v="205599"/>
        <n v="226301"/>
        <n v="279778"/>
        <n v="286705"/>
        <n v="55063"/>
        <n v="288065"/>
        <n v="19340"/>
        <n v="62781"/>
        <n v="277045"/>
        <n v="10638"/>
        <n v="217986"/>
        <n v="221668"/>
        <n v="294786"/>
        <n v="25378"/>
        <n v="118171"/>
        <n v="214801"/>
        <n v="64377"/>
        <n v="260339"/>
        <n v="54691"/>
        <n v="91782"/>
        <n v="259896"/>
        <n v="78343"/>
        <n v="121399"/>
        <n v="31357"/>
        <n v="294458"/>
        <n v="70283"/>
        <n v="59567"/>
        <n v="237778"/>
        <n v="141758"/>
        <n v="61606"/>
        <n v="281035"/>
        <n v="101732"/>
        <n v="191791"/>
        <n v="292021"/>
        <n v="249465"/>
        <n v="224589"/>
        <n v="14026"/>
        <n v="282566"/>
        <n v="295625"/>
        <n v="109384"/>
        <n v="252771"/>
        <n v="58031"/>
        <n v="68232"/>
        <n v="143084"/>
        <n v="236503"/>
        <n v="292104"/>
        <n v="87695"/>
        <n v="130066"/>
        <n v="138982"/>
        <n v="264837"/>
        <n v="115313"/>
        <n v="28810"/>
        <n v="20092"/>
        <n v="58105"/>
        <n v="161577"/>
        <n v="204300"/>
        <n v="290699"/>
        <n v="71934"/>
        <n v="72788"/>
        <n v="280083"/>
        <n v="155223"/>
        <n v="128068"/>
        <n v="36"/>
        <n v="39051"/>
        <n v="80738"/>
        <n v="60071"/>
        <n v="130613"/>
        <n v="73601"/>
        <n v="29873"/>
        <n v="167720"/>
        <n v="71468"/>
        <n v="288614"/>
        <n v="196201"/>
        <n v="8328"/>
        <n v="137405"/>
        <n v="251519"/>
        <n v="121173"/>
        <n v="46638"/>
        <n v="273412"/>
        <n v="201675"/>
        <n v="113920"/>
        <n v="171813"/>
        <n v="7887"/>
        <n v="228978"/>
        <n v="24918"/>
        <n v="297641"/>
        <n v="192081"/>
        <n v="274073"/>
        <n v="102201"/>
        <n v="210171"/>
        <n v="290690"/>
        <n v="209496"/>
        <n v="168410"/>
        <n v="82494"/>
        <n v="215859"/>
        <n v="233853"/>
        <n v="128279"/>
        <n v="81991"/>
        <n v="290157"/>
        <n v="52132"/>
        <n v="255069"/>
        <n v="159156"/>
        <n v="152215"/>
        <n v="91627"/>
        <n v="122772"/>
        <n v="229415"/>
        <n v="141294"/>
        <n v="259013"/>
        <n v="16116"/>
        <n v="182124"/>
        <n v="51369"/>
        <n v="179889"/>
        <n v="233982"/>
        <n v="214275"/>
        <n v="205383"/>
        <n v="291799"/>
        <n v="188874"/>
        <n v="47632"/>
        <n v="211284"/>
        <n v="161848"/>
        <n v="191082"/>
        <n v="213807"/>
        <n v="196523"/>
        <n v="179884"/>
        <n v="281039"/>
        <n v="235892"/>
        <n v="213408"/>
        <n v="242718"/>
        <n v="192879"/>
        <n v="23086"/>
        <n v="85637"/>
        <n v="158279"/>
        <n v="151969"/>
        <n v="63083"/>
        <n v="95028"/>
        <n v="97551"/>
        <n v="138355"/>
        <n v="94024"/>
        <n v="262399"/>
        <n v="207627"/>
        <n v="15487"/>
        <n v="19346"/>
        <n v="297194"/>
        <n v="270888"/>
        <n v="61596"/>
        <n v="214469"/>
        <n v="177175"/>
        <n v="153048"/>
        <n v="6277"/>
        <n v="133332"/>
        <n v="240515"/>
        <n v="260577"/>
        <n v="196955"/>
        <n v="286885"/>
        <n v="299355"/>
        <n v="240464"/>
        <n v="258445"/>
        <n v="269013"/>
        <n v="94515"/>
        <n v="150494"/>
        <n v="166685"/>
        <n v="188088"/>
        <n v="60110"/>
        <n v="219601"/>
        <n v="208994"/>
        <n v="296177"/>
        <n v="260705"/>
        <n v="12938"/>
        <n v="130842"/>
        <n v="264418"/>
        <n v="150033"/>
        <n v="20044"/>
        <n v="99372"/>
        <n v="276850"/>
        <n v="137046"/>
        <n v="21213"/>
        <n v="1950"/>
        <n v="254043"/>
        <n v="216085"/>
        <n v="272555"/>
        <n v="148843"/>
        <n v="297197"/>
        <n v="248966"/>
        <n v="138117"/>
        <n v="29714"/>
        <n v="165458"/>
        <n v="270706"/>
        <n v="12026"/>
        <n v="106147"/>
        <n v="31589"/>
        <n v="108199"/>
        <n v="288988"/>
        <n v="208574"/>
        <n v="214340"/>
        <n v="54708"/>
        <n v="70825"/>
        <n v="51574"/>
        <n v="232409"/>
        <n v="186381"/>
        <n v="64230"/>
        <n v="254451"/>
        <n v="247174"/>
        <n v="219700"/>
        <n v="287249"/>
        <n v="246514"/>
        <n v="264491"/>
        <n v="226094"/>
        <n v="148182"/>
        <n v="193242"/>
        <n v="182873"/>
        <n v="124926"/>
        <n v="81147"/>
        <n v="19199"/>
        <n v="183208"/>
        <n v="220868"/>
        <n v="120787"/>
        <n v="114427"/>
        <n v="148063"/>
        <n v="153625"/>
        <n v="220782"/>
        <n v="87493"/>
        <n v="274915"/>
        <n v="125607"/>
        <n v="246834"/>
        <n v="79876"/>
        <n v="167071"/>
        <n v="202959"/>
        <n v="243722"/>
        <n v="44440"/>
        <n v="31655"/>
        <n v="43039"/>
        <n v="72219"/>
        <n v="186061"/>
        <n v="273388"/>
        <n v="94594"/>
        <n v="170623"/>
        <n v="194302"/>
        <n v="290515"/>
        <n v="159950"/>
        <n v="167229"/>
        <n v="5914"/>
        <n v="214772"/>
        <n v="289324"/>
        <n v="227561"/>
        <n v="187435"/>
        <n v="95213"/>
        <n v="37805"/>
        <n v="126599"/>
        <n v="153775"/>
        <n v="190093"/>
        <n v="74176"/>
        <n v="94799"/>
        <n v="98385"/>
        <n v="235654"/>
        <n v="88919"/>
        <n v="81462"/>
        <n v="179340"/>
        <n v="165320"/>
        <n v="31159"/>
        <n v="42039"/>
        <n v="232974"/>
        <n v="47800"/>
        <n v="94626"/>
        <n v="118368"/>
        <n v="174735"/>
        <n v="80903"/>
        <n v="118998"/>
        <n v="241324"/>
        <n v="233229"/>
        <n v="61748"/>
        <n v="41190"/>
        <n v="40318"/>
        <n v="168090"/>
        <n v="124078"/>
        <n v="39759"/>
        <n v="278642"/>
        <n v="25989"/>
        <n v="156640"/>
        <n v="161171"/>
        <n v="285626"/>
        <n v="292192"/>
        <n v="35814"/>
        <n v="190766"/>
        <n v="60204"/>
        <n v="32844"/>
        <n v="248827"/>
        <n v="245256"/>
        <n v="21518"/>
        <n v="23052"/>
        <n v="256346"/>
        <n v="69803"/>
        <n v="71524"/>
        <n v="224582"/>
        <n v="67021"/>
        <n v="211321"/>
        <n v="282187"/>
        <n v="2419"/>
        <n v="187964"/>
        <n v="121831"/>
        <n v="244688"/>
        <n v="101799"/>
        <n v="194941"/>
        <n v="176282"/>
        <n v="108611"/>
        <n v="137559"/>
        <n v="62112"/>
        <n v="239040"/>
        <n v="278504"/>
        <n v="233451"/>
        <n v="221490"/>
        <n v="265161"/>
        <n v="191196"/>
        <n v="247418"/>
        <n v="221370"/>
        <n v="189340"/>
        <n v="66320"/>
        <n v="235067"/>
        <n v="212373"/>
        <n v="293271"/>
        <n v="180786"/>
        <n v="294065"/>
        <n v="266890"/>
        <n v="65350"/>
        <n v="181417"/>
        <n v="240678"/>
        <n v="22063"/>
        <n v="117116"/>
        <n v="177043"/>
        <n v="134670"/>
        <n v="10564"/>
        <n v="242124"/>
        <n v="227506"/>
        <n v="86134"/>
        <n v="105940"/>
        <n v="62085"/>
        <n v="17862"/>
        <n v="272409"/>
        <n v="140777"/>
        <n v="186351"/>
        <n v="62471"/>
        <n v="91080"/>
        <n v="108007"/>
        <n v="46104"/>
        <n v="40934"/>
        <n v="254606"/>
        <n v="6050"/>
        <n v="175024"/>
        <n v="270628"/>
        <n v="184750"/>
        <n v="31323"/>
        <n v="86332"/>
        <n v="255540"/>
        <n v="254547"/>
        <n v="272459"/>
        <n v="157591"/>
        <n v="271251"/>
        <n v="55781"/>
        <n v="266013"/>
        <n v="7971"/>
        <n v="254927"/>
        <n v="287795"/>
        <n v="23446"/>
        <n v="257419"/>
        <n v="169180"/>
        <n v="3823"/>
        <n v="144526"/>
        <n v="135004"/>
        <n v="205162"/>
        <n v="67965"/>
        <n v="272654"/>
        <n v="141609"/>
        <n v="105935"/>
        <n v="233705"/>
        <n v="253978"/>
        <n v="144854"/>
        <n v="78004"/>
        <n v="22072"/>
        <n v="81015"/>
        <n v="225075"/>
        <n v="220010"/>
        <n v="72746"/>
        <n v="176774"/>
        <n v="128259"/>
        <n v="30916"/>
        <n v="27268"/>
        <n v="175050"/>
        <n v="243966"/>
        <n v="23259"/>
        <n v="79400"/>
        <n v="296437"/>
        <n v="111581"/>
        <n v="7043"/>
        <n v="181502"/>
        <n v="107009"/>
        <n v="209137"/>
        <n v="161940"/>
        <n v="288453"/>
        <n v="285428"/>
        <n v="113259"/>
        <n v="100804"/>
        <n v="69000"/>
        <n v="84179"/>
        <n v="291409"/>
        <n v="260226"/>
        <n v="23880"/>
        <n v="201264"/>
        <n v="172438"/>
        <n v="245352"/>
        <n v="67396"/>
        <n v="279250"/>
        <n v="56731"/>
        <n v="75010"/>
        <n v="249091"/>
        <n v="294743"/>
        <n v="71326"/>
        <n v="248876"/>
        <n v="9004"/>
        <n v="115018"/>
        <n v="25792"/>
        <n v="54645"/>
        <n v="7232"/>
        <n v="54766"/>
        <n v="120601"/>
        <n v="81588"/>
        <n v="179614"/>
        <n v="5913"/>
        <n v="112406"/>
        <n v="113693"/>
        <n v="93449"/>
        <n v="10567"/>
        <n v="38379"/>
        <n v="206040"/>
        <n v="262463"/>
        <n v="90005"/>
        <n v="223098"/>
        <n v="4791"/>
        <n v="131401"/>
        <n v="205459"/>
        <n v="61032"/>
        <n v="175150"/>
        <n v="21300"/>
        <n v="55609"/>
        <n v="191634"/>
        <n v="90045"/>
        <n v="267847"/>
        <n v="223717"/>
        <n v="219162"/>
        <n v="27676"/>
        <n v="220412"/>
        <n v="176512"/>
        <n v="167995"/>
        <n v="291946"/>
        <n v="124786"/>
        <n v="68147"/>
        <n v="22075"/>
        <n v="205788"/>
        <n v="9304"/>
        <n v="129851"/>
        <n v="59622"/>
        <n v="108654"/>
        <n v="249109"/>
        <n v="286172"/>
        <n v="39328"/>
        <n v="289445"/>
        <n v="218348"/>
        <n v="36845"/>
        <n v="76394"/>
        <n v="175231"/>
        <n v="80722"/>
        <n v="287374"/>
        <n v="92554"/>
        <n v="49262"/>
        <n v="41722"/>
        <n v="171231"/>
        <n v="240740"/>
        <n v="87052"/>
        <n v="100808"/>
        <n v="255416"/>
        <n v="262128"/>
        <n v="221281"/>
        <n v="246052"/>
        <n v="104697"/>
        <n v="231572"/>
        <n v="232842"/>
        <n v="96299"/>
        <n v="165746"/>
        <n v="149177"/>
        <n v="160811"/>
        <n v="163041"/>
        <n v="14497"/>
        <n v="254204"/>
        <n v="257471"/>
        <n v="92019"/>
        <n v="190326"/>
        <n v="109017"/>
        <n v="218220"/>
        <n v="105153"/>
        <n v="33826"/>
        <n v="110034"/>
        <n v="84242"/>
        <n v="50100"/>
        <n v="221171"/>
        <n v="12809"/>
        <n v="64450"/>
        <n v="111126"/>
        <n v="264237"/>
        <n v="44498"/>
        <n v="116251"/>
        <n v="40985"/>
        <n v="294153"/>
        <n v="17718"/>
        <n v="278849"/>
        <n v="62598"/>
        <n v="274383"/>
        <n v="46665"/>
        <n v="294418"/>
        <n v="146075"/>
        <n v="161938"/>
        <n v="153060"/>
        <n v="221516"/>
        <n v="136746"/>
        <n v="201610"/>
        <n v="66446"/>
        <n v="29072"/>
        <n v="33717"/>
        <n v="218417"/>
        <n v="157723"/>
        <n v="109525"/>
        <n v="213092"/>
        <n v="4646"/>
        <n v="175403"/>
        <n v="284329"/>
        <n v="229728"/>
        <n v="52107"/>
        <n v="244865"/>
        <n v="279707"/>
        <n v="70729"/>
        <n v="277845"/>
        <n v="200144"/>
        <n v="215494"/>
        <n v="252615"/>
        <n v="128331"/>
        <n v="160482"/>
        <n v="99280"/>
        <n v="189787"/>
        <n v="38665"/>
        <n v="278101"/>
        <n v="259285"/>
        <n v="163947"/>
        <n v="113828"/>
        <n v="132698"/>
        <n v="90815"/>
        <n v="194894"/>
        <n v="203485"/>
        <n v="164714"/>
        <n v="32356"/>
        <n v="265953"/>
        <n v="297019"/>
        <n v="241121"/>
        <n v="271609"/>
        <n v="197167"/>
        <n v="196322"/>
        <n v="15250"/>
        <n v="46023"/>
        <n v="101350"/>
        <n v="177696"/>
        <n v="16427"/>
        <n v="210084"/>
        <n v="134511"/>
        <n v="218403"/>
        <n v="78672"/>
        <n v="17300"/>
        <n v="19659"/>
        <n v="162475"/>
        <n v="245259"/>
        <n v="10360"/>
        <n v="283568"/>
        <n v="98035"/>
        <n v="48791"/>
        <n v="199867"/>
        <n v="274444"/>
        <n v="33370"/>
        <n v="200903"/>
        <n v="27209"/>
        <n v="283071"/>
        <n v="34579"/>
        <n v="271176"/>
        <n v="93254"/>
        <n v="113528"/>
        <n v="223274"/>
        <n v="238292"/>
        <n v="181026"/>
        <n v="248342"/>
        <n v="219437"/>
        <n v="278076"/>
        <n v="287858"/>
        <n v="57803"/>
        <n v="133624"/>
        <n v="56627"/>
        <n v="177059"/>
        <n v="45380"/>
        <n v="160322"/>
        <n v="199416"/>
        <n v="146367"/>
        <n v="272667"/>
        <n v="259125"/>
        <n v="13769"/>
        <n v="112035"/>
        <n v="175717"/>
        <n v="221815"/>
        <n v="231832"/>
        <n v="156629"/>
        <n v="234799"/>
        <n v="168157"/>
        <n v="144542"/>
        <n v="118643"/>
        <n v="210154"/>
        <n v="137877"/>
        <n v="213396"/>
        <n v="225956"/>
        <n v="181844"/>
        <n v="101422"/>
        <n v="268774"/>
        <n v="145931"/>
        <n v="117556"/>
        <n v="228495"/>
        <n v="254809"/>
        <n v="205384"/>
        <n v="15021"/>
        <n v="200935"/>
        <n v="204222"/>
        <n v="64361"/>
        <n v="272499"/>
        <n v="98841"/>
        <n v="180076"/>
        <n v="246300"/>
        <n v="160786"/>
        <n v="17198"/>
        <n v="258466"/>
        <n v="18740"/>
        <n v="265954"/>
        <n v="258308"/>
        <n v="99855"/>
        <n v="210192"/>
        <n v="288927"/>
        <n v="121701"/>
        <n v="271615"/>
        <n v="110771"/>
        <n v="6163"/>
        <n v="16065"/>
        <n v="241262"/>
        <n v="248924"/>
        <n v="179420"/>
        <n v="281298"/>
        <n v="20229"/>
        <n v="250470"/>
        <n v="158069"/>
        <n v="21101"/>
        <n v="40391"/>
        <n v="206935"/>
        <n v="72723"/>
        <n v="226293"/>
        <n v="190477"/>
        <n v="166020"/>
        <n v="290604"/>
        <n v="197190"/>
        <n v="179354"/>
        <n v="91725"/>
        <n v="212139"/>
        <n v="85779"/>
        <n v="3060"/>
        <n v="125806"/>
        <n v="275875"/>
        <n v="115871"/>
        <n v="20719"/>
        <n v="49116"/>
        <n v="26325"/>
        <n v="14551"/>
        <n v="286422"/>
        <n v="15141"/>
        <n v="295759"/>
        <n v="122058"/>
        <n v="193823"/>
        <n v="112684"/>
        <n v="289596"/>
        <n v="50391"/>
        <n v="120288"/>
        <n v="206132"/>
        <n v="113535"/>
        <n v="142770"/>
        <n v="239947"/>
        <n v="86711"/>
        <n v="264509"/>
        <n v="228625"/>
        <n v="43372"/>
        <n v="44134"/>
        <n v="299967"/>
        <n v="71158"/>
        <n v="237159"/>
        <n v="133021"/>
        <n v="49396"/>
        <n v="31912"/>
        <n v="56947"/>
        <n v="44387"/>
        <n v="278652"/>
        <n v="109249"/>
        <n v="1919"/>
        <n v="140689"/>
        <n v="33298"/>
        <n v="237225"/>
        <n v="233725"/>
        <n v="276600"/>
        <n v="109599"/>
        <n v="83721"/>
        <n v="286384"/>
        <n v="271372"/>
        <n v="283830"/>
        <n v="11920"/>
        <n v="7432"/>
        <n v="110507"/>
        <n v="224647"/>
        <n v="164982"/>
        <n v="121764"/>
        <n v="161298"/>
        <n v="112557"/>
        <n v="18013"/>
        <n v="21446"/>
        <n v="201447"/>
        <n v="102261"/>
        <n v="262701"/>
        <n v="168461"/>
        <n v="178772"/>
        <n v="130878"/>
        <n v="99143"/>
        <n v="24578"/>
        <n v="74779"/>
        <n v="140668"/>
        <n v="72534"/>
        <n v="272273"/>
        <n v="197118"/>
        <n v="273740"/>
        <n v="65355"/>
        <n v="12974"/>
        <n v="197745"/>
        <n v="251366"/>
        <n v="74442"/>
        <n v="152890"/>
        <n v="55598"/>
        <n v="133726"/>
        <n v="33758"/>
        <n v="286348"/>
        <n v="127309"/>
        <n v="166000"/>
        <n v="184681"/>
        <n v="30552"/>
        <n v="147278"/>
        <n v="34831"/>
        <n v="43563"/>
        <n v="18361"/>
        <n v="74469"/>
        <n v="25816"/>
        <n v="257422"/>
        <n v="146691"/>
        <n v="234295"/>
        <n v="92479"/>
        <n v="26819"/>
        <n v="8798"/>
        <n v="156215"/>
        <n v="243942"/>
        <n v="230259"/>
        <n v="129544"/>
        <n v="152254"/>
        <n v="253800"/>
        <n v="9415"/>
        <n v="87638"/>
        <n v="18452"/>
        <n v="195457"/>
        <n v="110205"/>
        <n v="18170"/>
        <n v="16259"/>
        <n v="284243"/>
        <n v="140721"/>
        <n v="129394"/>
        <n v="172109"/>
        <n v="273949"/>
        <n v="254599"/>
        <n v="43147"/>
        <n v="74280"/>
        <n v="177125"/>
        <n v="97841"/>
        <n v="124726"/>
        <n v="76215"/>
        <n v="112909"/>
        <n v="273129"/>
        <n v="274535"/>
        <n v="4861"/>
        <n v="261968"/>
        <n v="183000"/>
        <n v="296508"/>
        <n v="249072"/>
        <n v="224402"/>
        <n v="42923"/>
        <n v="186968"/>
        <n v="165912"/>
        <n v="173327"/>
        <n v="128165"/>
        <n v="230314"/>
        <n v="295673"/>
        <n v="144013"/>
        <n v="1669"/>
        <n v="216854"/>
        <n v="55786"/>
        <n v="182155"/>
        <n v="20323"/>
        <n v="230502"/>
        <n v="257249"/>
        <n v="6021"/>
        <n v="113415"/>
        <n v="270855"/>
        <n v="7904"/>
        <n v="64033"/>
        <n v="231659"/>
        <n v="120035"/>
        <n v="220859"/>
        <n v="186168"/>
        <n v="221666"/>
        <n v="231853"/>
        <n v="265237"/>
        <n v="287062"/>
        <n v="193708"/>
        <n v="189878"/>
        <n v="140466"/>
        <n v="124501"/>
        <n v="260228"/>
        <n v="92510"/>
        <n v="93708"/>
        <n v="97819"/>
        <n v="235603"/>
        <n v="36303"/>
        <n v="27453"/>
        <n v="199521"/>
        <n v="156837"/>
        <n v="222787"/>
        <n v="38057"/>
        <n v="189060"/>
        <n v="94655"/>
        <n v="277169"/>
        <n v="269289"/>
        <n v="101206"/>
        <n v="186869"/>
        <n v="73230"/>
        <n v="155002"/>
        <n v="108138"/>
        <n v="207097"/>
        <n v="212376"/>
        <n v="62040"/>
        <n v="108668"/>
        <n v="198768"/>
        <n v="56815"/>
        <n v="216741"/>
        <n v="112789"/>
        <n v="219478"/>
        <n v="167644"/>
        <n v="185102"/>
        <n v="244533"/>
        <n v="237469"/>
        <n v="233308"/>
        <n v="160275"/>
        <n v="77088"/>
        <n v="5608"/>
        <n v="45667"/>
        <n v="55547"/>
        <n v="234907"/>
        <n v="57560"/>
        <n v="214601"/>
        <n v="159487"/>
        <n v="184286"/>
        <n v="280141"/>
        <n v="121266"/>
        <n v="3679"/>
        <n v="40308"/>
        <n v="206096"/>
        <n v="170914"/>
        <n v="5695"/>
        <n v="226812"/>
        <n v="58499"/>
        <n v="23382"/>
        <n v="276379"/>
        <n v="193295"/>
        <n v="133438"/>
        <n v="158539"/>
        <n v="6764"/>
        <n v="221968"/>
        <n v="113831"/>
        <n v="61836"/>
        <n v="294067"/>
        <n v="255033"/>
        <n v="16292"/>
        <n v="283083"/>
        <n v="243772"/>
        <n v="18800"/>
        <n v="56440"/>
        <n v="127521"/>
        <n v="121327"/>
        <n v="49648"/>
        <n v="291908"/>
        <n v="294614"/>
        <n v="256160"/>
        <n v="169573"/>
        <n v="57207"/>
        <n v="62157"/>
        <n v="134288"/>
        <n v="153144"/>
        <n v="93778"/>
        <n v="130016"/>
        <n v="124288"/>
        <n v="168204"/>
        <n v="110573"/>
        <n v="120730"/>
        <n v="64186"/>
        <n v="267104"/>
        <n v="18781"/>
        <n v="237677"/>
        <n v="257506"/>
        <n v="31126"/>
        <n v="238217"/>
        <n v="280027"/>
        <n v="29782"/>
        <n v="148051"/>
        <n v="295890"/>
        <n v="261161"/>
        <n v="66266"/>
        <n v="56"/>
        <n v="293601"/>
        <n v="132773"/>
        <n v="187453"/>
        <n v="181510"/>
        <n v="80636"/>
        <n v="66483"/>
        <n v="20505"/>
        <n v="33525"/>
        <n v="211474"/>
        <n v="96008"/>
        <n v="44348"/>
        <n v="202259"/>
        <n v="269417"/>
        <n v="206641"/>
        <n v="134607"/>
        <n v="214096"/>
        <n v="107157"/>
        <n v="908"/>
        <n v="252299"/>
        <n v="201225"/>
        <n v="108352"/>
        <n v="95967"/>
        <n v="35079"/>
        <n v="212628"/>
        <n v="111889"/>
        <n v="262063"/>
        <n v="46105"/>
        <n v="132957"/>
        <n v="1049"/>
        <n v="53281"/>
        <n v="66697"/>
        <n v="36534"/>
        <n v="93034"/>
        <n v="58097"/>
        <n v="184885"/>
        <n v="287181"/>
        <n v="27278"/>
        <n v="139344"/>
        <n v="73277"/>
        <n v="4694"/>
        <n v="58150"/>
        <n v="67470"/>
        <n v="21556"/>
        <n v="195543"/>
        <n v="49086"/>
        <n v="149979"/>
        <n v="248399"/>
        <n v="179559"/>
        <n v="99468"/>
        <n v="295531"/>
        <n v="68602"/>
        <n v="2460"/>
        <n v="72356"/>
        <n v="259925"/>
        <n v="16191"/>
        <n v="84631"/>
        <n v="245702"/>
        <n v="272673"/>
        <n v="32175"/>
        <n v="279819"/>
        <n v="157048"/>
        <n v="194188"/>
        <n v="62821"/>
        <n v="12204"/>
        <n v="269538"/>
        <n v="246464"/>
        <n v="33593"/>
        <n v="208260"/>
        <n v="115064"/>
        <n v="53365"/>
        <n v="240644"/>
        <n v="220511"/>
        <n v="206971"/>
        <n v="103700"/>
        <n v="68247"/>
        <n v="182631"/>
        <n v="156270"/>
        <n v="153560"/>
        <n v="169587"/>
        <n v="290042"/>
        <n v="181142"/>
        <n v="62613"/>
        <n v="96707"/>
        <n v="47003"/>
        <n v="48478"/>
        <n v="59030"/>
        <n v="184133"/>
        <n v="145921"/>
        <n v="246160"/>
        <n v="267589"/>
        <n v="149112"/>
        <n v="262390"/>
        <n v="31153"/>
        <n v="267356"/>
        <n v="134411"/>
        <n v="56238"/>
        <n v="296751"/>
        <n v="52055"/>
        <n v="104509"/>
        <n v="135467"/>
        <n v="127378"/>
        <n v="87687"/>
        <n v="102652"/>
        <n v="55773"/>
        <n v="202668"/>
        <n v="27584"/>
        <n v="244901"/>
        <n v="265482"/>
        <n v="62601"/>
        <n v="136559"/>
        <n v="36282"/>
        <n v="226137"/>
        <n v="95798"/>
        <n v="130963"/>
        <n v="159876"/>
        <n v="140987"/>
        <n v="273302"/>
        <n v="205229"/>
        <n v="10547"/>
        <n v="264603"/>
        <n v="63146"/>
        <n v="107761"/>
        <n v="82970"/>
        <n v="191889"/>
        <n v="169319"/>
        <n v="15419"/>
        <n v="35577"/>
        <n v="2921"/>
        <n v="144535"/>
        <n v="156546"/>
        <n v="125534"/>
        <n v="256872"/>
        <n v="72828"/>
        <n v="123649"/>
        <n v="55152"/>
        <n v="220073"/>
        <n v="223393"/>
        <n v="86569"/>
        <n v="156844"/>
        <n v="159562"/>
        <n v="122537"/>
        <n v="53806"/>
        <n v="75992"/>
        <n v="284464"/>
        <n v="258852"/>
        <n v="173217"/>
        <n v="194760"/>
        <n v="20754"/>
        <n v="69837"/>
        <n v="138279"/>
        <n v="218811"/>
        <n v="114780"/>
        <n v="87081"/>
        <n v="286160"/>
        <n v="112099"/>
        <n v="151174"/>
        <n v="264068"/>
        <n v="85015"/>
        <n v="104987"/>
        <n v="54333"/>
        <n v="215530"/>
        <n v="177171"/>
        <n v="188418"/>
        <n v="126372"/>
        <n v="206553"/>
        <n v="69767"/>
        <n v="104332"/>
        <n v="143279"/>
        <n v="6336"/>
        <n v="206238"/>
        <n v="279400"/>
        <n v="230517"/>
        <n v="180889"/>
        <n v="295863"/>
        <n v="45704"/>
        <n v="292157"/>
        <n v="226884"/>
        <n v="167848"/>
        <n v="272204"/>
        <n v="219182"/>
        <n v="78563"/>
        <n v="135102"/>
        <n v="89779"/>
        <n v="164361"/>
        <n v="99704"/>
        <n v="261757"/>
        <n v="110234"/>
        <n v="36491"/>
        <n v="226621"/>
        <n v="20448"/>
        <n v="49294"/>
        <n v="283590"/>
        <n v="216461"/>
        <n v="85615"/>
        <n v="17101"/>
        <n v="290160"/>
        <n v="150004"/>
        <n v="90481"/>
        <n v="52802"/>
        <n v="269693"/>
        <n v="210005"/>
        <n v="156434"/>
        <n v="47842"/>
        <n v="46539"/>
        <n v="246281"/>
        <n v="186272"/>
        <n v="115042"/>
        <n v="127922"/>
        <n v="92447"/>
        <n v="158693"/>
        <n v="12823"/>
        <n v="29986"/>
        <n v="121682"/>
        <n v="64325"/>
        <n v="250476"/>
        <n v="57771"/>
        <n v="54973"/>
        <n v="145762"/>
        <n v="57888"/>
        <n v="10956"/>
        <n v="86839"/>
        <n v="167605"/>
        <n v="101131"/>
        <n v="187973"/>
        <n v="11519"/>
        <n v="162187"/>
        <n v="1832"/>
        <n v="113922"/>
        <n v="105474"/>
        <n v="69715"/>
        <n v="73366"/>
        <n v="37570"/>
        <n v="137687"/>
        <n v="38311"/>
        <n v="103187"/>
        <n v="285578"/>
        <n v="86879"/>
        <n v="15739"/>
        <n v="66202"/>
        <n v="98580"/>
        <n v="224491"/>
        <n v="79599"/>
        <n v="164721"/>
        <n v="231436"/>
        <n v="116770"/>
        <n v="179693"/>
        <n v="261051"/>
        <n v="114300"/>
        <n v="191012"/>
        <n v="171796"/>
        <n v="162776"/>
        <n v="241942"/>
        <n v="2526"/>
        <n v="268718"/>
        <n v="270877"/>
        <n v="36051"/>
        <n v="15909"/>
        <n v="77338"/>
        <n v="290277"/>
        <n v="182643"/>
        <n v="79062"/>
        <n v="181980"/>
        <n v="51458"/>
        <n v="222159"/>
        <n v="287442"/>
        <n v="231946"/>
        <n v="153263"/>
        <n v="164164"/>
        <n v="89407"/>
        <n v="206329"/>
        <n v="62513"/>
        <n v="145476"/>
        <n v="35198"/>
        <n v="225295"/>
        <n v="264323"/>
        <n v="2019"/>
        <n v="81455"/>
        <n v="216311"/>
        <n v="149776"/>
        <n v="149102"/>
        <n v="3420"/>
        <n v="178725"/>
        <n v="16740"/>
        <n v="105789"/>
        <n v="19465"/>
        <n v="4131"/>
        <n v="10652"/>
        <n v="218115"/>
        <n v="245289"/>
        <n v="89342"/>
        <n v="281315"/>
        <n v="217201"/>
        <n v="259820"/>
        <n v="186764"/>
        <n v="58541"/>
        <n v="9470"/>
        <n v="192416"/>
        <n v="44308"/>
        <n v="135669"/>
        <n v="102840"/>
        <n v="161860"/>
        <n v="49477"/>
        <n v="108261"/>
        <n v="102466"/>
        <n v="295215"/>
        <n v="70560"/>
        <n v="255392"/>
        <n v="261278"/>
        <n v="166471"/>
        <n v="244413"/>
        <n v="188511"/>
        <n v="2369"/>
        <n v="228629"/>
        <n v="262672"/>
        <n v="108806"/>
        <n v="161386"/>
        <n v="102979"/>
        <n v="281892"/>
        <n v="35109"/>
        <n v="13919"/>
        <n v="211864"/>
        <n v="70441"/>
        <n v="66896"/>
        <n v="103431"/>
        <n v="47020"/>
        <n v="205338"/>
        <n v="284305"/>
        <n v="27738"/>
        <n v="134997"/>
        <n v="57153"/>
        <n v="214020"/>
        <n v="61009"/>
        <n v="172624"/>
        <n v="271941"/>
        <n v="71942"/>
        <n v="118065"/>
        <n v="276109"/>
        <n v="275877"/>
        <n v="157998"/>
        <n v="159855"/>
        <n v="83360"/>
        <n v="167466"/>
        <n v="195868"/>
        <n v="290431"/>
        <n v="82104"/>
        <n v="161508"/>
        <n v="221404"/>
        <n v="265332"/>
        <n v="91205"/>
        <n v="232321"/>
        <n v="137837"/>
        <n v="219779"/>
        <n v="141879"/>
        <n v="10204"/>
        <n v="223674"/>
        <n v="189016"/>
        <n v="102903"/>
        <n v="299225"/>
        <n v="256687"/>
        <n v="34986"/>
        <n v="50304"/>
        <n v="39986"/>
        <n v="91594"/>
        <n v="66151"/>
        <n v="290358"/>
        <n v="173620"/>
        <n v="141753"/>
        <n v="138056"/>
        <n v="158651"/>
        <n v="234347"/>
        <n v="186005"/>
        <n v="162553"/>
        <n v="944"/>
        <n v="93993"/>
        <n v="271258"/>
        <n v="214738"/>
        <n v="208920"/>
        <n v="256805"/>
        <n v="294740"/>
        <n v="104087"/>
        <n v="269051"/>
        <n v="255035"/>
        <n v="159186"/>
        <n v="287153"/>
        <n v="166797"/>
        <n v="281140"/>
        <n v="290911"/>
        <n v="278491"/>
        <n v="102063"/>
        <n v="24102"/>
        <n v="4263"/>
        <n v="67438"/>
        <n v="96359"/>
        <n v="130251"/>
        <n v="171915"/>
        <n v="27690"/>
        <n v="2994"/>
        <n v="103533"/>
        <n v="67546"/>
        <n v="26467"/>
        <n v="246590"/>
        <n v="131120"/>
        <n v="168050"/>
        <n v="73414"/>
        <n v="180294"/>
        <n v="48115"/>
        <n v="40647"/>
        <n v="54607"/>
        <n v="21996"/>
        <n v="83697"/>
        <n v="67764"/>
        <n v="239190"/>
        <n v="8888"/>
        <n v="219738"/>
        <n v="221432"/>
        <n v="279477"/>
        <n v="36355"/>
        <n v="230487"/>
        <n v="129686"/>
        <n v="162217"/>
        <n v="249602"/>
        <n v="249434"/>
        <n v="180926"/>
        <n v="67664"/>
        <n v="86153"/>
        <n v="93616"/>
        <n v="297429"/>
        <n v="256349"/>
        <n v="46996"/>
        <n v="128344"/>
        <n v="229685"/>
        <n v="128019"/>
        <n v="135024"/>
        <n v="183273"/>
        <n v="120454"/>
        <n v="124444"/>
        <n v="153868"/>
        <n v="162818"/>
        <n v="15"/>
        <n v="157029"/>
        <n v="81541"/>
        <n v="21292"/>
        <n v="162948"/>
        <n v="191799"/>
        <n v="47046"/>
        <n v="14817"/>
        <n v="9759"/>
        <n v="179504"/>
        <n v="268556"/>
        <n v="282648"/>
        <n v="270651"/>
        <n v="21050"/>
        <n v="100153"/>
        <n v="275731"/>
        <n v="231329"/>
        <n v="57732"/>
        <n v="51921"/>
        <n v="117734"/>
        <n v="137912"/>
        <n v="31440"/>
        <n v="35183"/>
        <n v="133461"/>
        <n v="114515"/>
        <n v="220533"/>
        <n v="115503"/>
        <n v="39023"/>
        <n v="181101"/>
        <n v="218031"/>
        <n v="76054"/>
        <n v="61742"/>
        <n v="45215"/>
        <n v="159245"/>
        <n v="241443"/>
        <n v="103591"/>
        <n v="249045"/>
        <n v="46229"/>
        <n v="62583"/>
        <n v="255931"/>
        <n v="159996"/>
        <n v="126011"/>
        <n v="292248"/>
        <n v="240660"/>
        <n v="299738"/>
        <n v="265808"/>
        <n v="272672"/>
        <n v="159262"/>
        <n v="197105"/>
        <n v="128404"/>
        <n v="201664"/>
        <n v="295043"/>
        <n v="17241"/>
        <n v="63472"/>
        <n v="205320"/>
        <n v="31346"/>
        <n v="81196"/>
        <n v="208196"/>
        <n v="149014"/>
        <n v="298517"/>
        <n v="120623"/>
        <n v="2016"/>
        <n v="7274"/>
        <n v="15748"/>
        <n v="11826"/>
        <n v="129288"/>
        <n v="201081"/>
        <n v="251054"/>
        <n v="172507"/>
        <n v="206089"/>
        <n v="223023"/>
        <n v="192949"/>
        <n v="69072"/>
        <n v="67309"/>
        <n v="160966"/>
        <n v="185639"/>
        <n v="35326"/>
        <n v="186131"/>
        <n v="267223"/>
        <n v="87340"/>
        <n v="167364"/>
        <n v="118192"/>
        <n v="251749"/>
        <n v="51818"/>
        <n v="13429"/>
        <n v="57748"/>
        <n v="48807"/>
        <n v="269284"/>
        <n v="238161"/>
        <n v="290669"/>
        <n v="282635"/>
        <n v="199888"/>
        <n v="166052"/>
        <n v="226597"/>
        <n v="8078"/>
        <n v="91654"/>
        <n v="129101"/>
        <n v="16997"/>
        <n v="131940"/>
        <n v="212650"/>
        <n v="283390"/>
        <n v="151633"/>
        <n v="34512"/>
        <n v="225226"/>
        <n v="208467"/>
        <n v="72144"/>
        <n v="173557"/>
        <n v="117363"/>
        <n v="201484"/>
        <n v="181675"/>
        <n v="152110"/>
        <n v="93542"/>
        <n v="276469"/>
        <n v="166964"/>
        <n v="149068"/>
        <n v="205355"/>
        <n v="116737"/>
        <n v="262968"/>
        <n v="240417"/>
        <n v="117718"/>
        <n v="273661"/>
        <n v="152755"/>
        <n v="207791"/>
        <n v="249120"/>
        <n v="254322"/>
        <n v="209485"/>
        <n v="272126"/>
        <n v="145711"/>
        <n v="70210"/>
        <n v="69852"/>
        <n v="255139"/>
        <n v="9695"/>
        <n v="48582"/>
        <n v="293238"/>
        <n v="191707"/>
        <n v="284331"/>
        <n v="128721"/>
        <n v="106683"/>
        <n v="263358"/>
        <n v="286084"/>
        <n v="44406"/>
        <n v="147049"/>
        <n v="235994"/>
        <n v="187313"/>
        <n v="204573"/>
        <n v="206205"/>
        <n v="60481"/>
        <n v="238084"/>
        <n v="289884"/>
        <n v="274025"/>
        <n v="299140"/>
        <n v="163249"/>
        <n v="122196"/>
        <n v="37177"/>
        <n v="66126"/>
        <n v="26119"/>
        <n v="117744"/>
        <n v="116894"/>
        <n v="158987"/>
        <n v="44989"/>
        <n v="284250"/>
        <n v="279275"/>
        <n v="6553"/>
        <n v="17881"/>
        <n v="1379"/>
        <n v="69306"/>
        <n v="243825"/>
        <n v="104512"/>
        <n v="278494"/>
        <n v="99599"/>
        <n v="81397"/>
        <n v="17769"/>
        <n v="178321"/>
        <n v="101584"/>
        <n v="133858"/>
        <n v="231609"/>
        <n v="126525"/>
        <n v="19589"/>
        <n v="265026"/>
        <n v="180394"/>
        <n v="129236"/>
        <n v="271889"/>
        <n v="15861"/>
        <n v="91707"/>
        <n v="255043"/>
        <n v="133909"/>
        <n v="54380"/>
        <n v="105025"/>
        <n v="180903"/>
        <n v="220421"/>
        <n v="244497"/>
        <n v="160592"/>
        <n v="44397"/>
        <n v="277132"/>
        <n v="158795"/>
        <n v="33800"/>
        <n v="158502"/>
        <n v="199548"/>
        <n v="257653"/>
        <n v="52284"/>
        <n v="56232"/>
        <n v="44420"/>
        <n v="299854"/>
        <n v="92035"/>
        <n v="293427"/>
        <n v="197241"/>
        <n v="193529"/>
        <n v="249863"/>
        <n v="25968"/>
        <n v="62508"/>
        <n v="235863"/>
        <n v="194292"/>
        <n v="85366"/>
        <n v="5738"/>
        <n v="3098"/>
        <n v="95424"/>
        <n v="204705"/>
        <n v="139325"/>
        <n v="125349"/>
        <n v="50969"/>
        <n v="90744"/>
        <n v="201495"/>
        <n v="117286"/>
        <n v="75028"/>
        <n v="297565"/>
        <n v="38575"/>
        <n v="3192"/>
        <n v="111116"/>
        <n v="81311"/>
        <n v="80781"/>
        <n v="36527"/>
        <n v="52181"/>
        <n v="91472"/>
        <n v="81219"/>
        <n v="119783"/>
        <n v="161554"/>
        <n v="179300"/>
        <n v="83265"/>
        <n v="50126"/>
        <n v="282689"/>
        <n v="55114"/>
        <n v="206422"/>
        <n v="188873"/>
        <n v="276034"/>
        <n v="121284"/>
        <n v="194469"/>
        <n v="142290"/>
        <n v="88241"/>
        <n v="296866"/>
        <n v="182615"/>
        <n v="30921"/>
        <n v="161686"/>
        <n v="192261"/>
        <n v="17601"/>
        <n v="93332"/>
        <n v="202615"/>
        <n v="235572"/>
        <n v="290144"/>
        <n v="130439"/>
        <n v="239691"/>
        <n v="119277"/>
        <n v="292527"/>
        <n v="142857"/>
        <n v="40910"/>
        <n v="170100"/>
        <n v="155927"/>
        <n v="286425"/>
        <n v="4841"/>
        <n v="97204"/>
        <n v="60155"/>
        <n v="259589"/>
        <n v="261140"/>
        <n v="148515"/>
        <n v="132994"/>
        <n v="294120"/>
        <n v="143063"/>
        <n v="104405"/>
        <n v="53744"/>
        <n v="2473"/>
        <n v="139180"/>
        <n v="28715"/>
        <n v="244826"/>
        <n v="253856"/>
        <n v="239419"/>
        <n v="252508"/>
        <n v="299461"/>
        <n v="164434"/>
        <n v="54604"/>
        <n v="4889"/>
        <n v="220629"/>
        <n v="294115"/>
        <n v="50551"/>
        <n v="134273"/>
        <n v="237230"/>
        <n v="236139"/>
        <n v="108957"/>
        <n v="89882"/>
        <n v="210323"/>
        <n v="267825"/>
        <n v="101982"/>
        <n v="46870"/>
        <n v="213328"/>
        <n v="159224"/>
        <n v="50061"/>
        <n v="188691"/>
        <n v="58235"/>
        <n v="90073"/>
        <n v="11217"/>
        <n v="295885"/>
        <n v="192386"/>
        <n v="263552"/>
        <n v="42903"/>
        <n v="215280"/>
        <n v="107042"/>
        <n v="243725"/>
        <n v="132290"/>
        <n v="181644"/>
        <n v="109268"/>
        <n v="30105"/>
        <n v="69634"/>
        <n v="138691"/>
        <n v="18226"/>
        <n v="25322"/>
        <n v="167284"/>
        <n v="94835"/>
        <n v="255027"/>
        <n v="73079"/>
        <n v="23946"/>
        <n v="162812"/>
        <n v="7253"/>
        <n v="79311"/>
        <n v="294957"/>
        <n v="67593"/>
        <n v="149485"/>
        <n v="226833"/>
        <n v="38485"/>
        <n v="199304"/>
        <n v="278245"/>
        <n v="8831"/>
        <n v="5004"/>
        <n v="37170"/>
        <n v="43555"/>
        <n v="118115"/>
        <n v="178475"/>
        <n v="298509"/>
        <n v="207132"/>
        <n v="63471"/>
        <n v="57287"/>
        <n v="116475"/>
        <n v="50151"/>
        <n v="67384"/>
        <n v="33541"/>
        <n v="72847"/>
        <n v="218171"/>
        <n v="211811"/>
        <n v="213739"/>
        <n v="167813"/>
        <n v="99919"/>
        <n v="216746"/>
        <n v="194020"/>
        <n v="61768"/>
        <n v="43262"/>
        <n v="20605"/>
        <n v="78590"/>
        <n v="290375"/>
        <n v="79397"/>
        <n v="77123"/>
        <n v="275659"/>
        <n v="278744"/>
        <n v="158964"/>
        <n v="168767"/>
        <n v="135501"/>
        <n v="135678"/>
        <n v="114380"/>
        <n v="171206"/>
        <n v="156547"/>
        <n v="152802"/>
        <n v="152185"/>
        <n v="151083"/>
        <n v="55746"/>
        <n v="173925"/>
        <n v="298962"/>
        <n v="168393"/>
        <n v="283453"/>
        <n v="290320"/>
        <n v="68879"/>
        <n v="67592"/>
        <n v="220084"/>
        <n v="197494"/>
        <n v="270728"/>
        <n v="124555"/>
        <n v="18830"/>
        <n v="216897"/>
        <n v="252234"/>
        <n v="265735"/>
        <n v="93878"/>
        <n v="125407"/>
        <n v="116869"/>
        <n v="257716"/>
        <n v="283539"/>
        <n v="16738"/>
        <n v="133703"/>
        <n v="148977"/>
        <n v="19056"/>
        <n v="240746"/>
        <n v="115316"/>
        <n v="166519"/>
        <n v="54418"/>
        <n v="299334"/>
        <n v="26014"/>
        <n v="204071"/>
        <n v="238989"/>
        <n v="181350"/>
        <n v="263924"/>
        <n v="190330"/>
        <n v="42192"/>
        <n v="43923"/>
        <n v="89196"/>
        <n v="2395"/>
        <n v="228456"/>
        <n v="71028"/>
        <n v="242463"/>
        <n v="141056"/>
        <n v="203400"/>
        <n v="255315"/>
        <n v="289068"/>
        <n v="294721"/>
        <n v="138783"/>
        <n v="85548"/>
        <n v="257288"/>
        <n v="125093"/>
        <n v="235835"/>
        <n v="206084"/>
        <n v="270398"/>
        <n v="229027"/>
        <n v="208072"/>
        <n v="248029"/>
        <n v="209047"/>
        <n v="130509"/>
        <n v="237784"/>
        <n v="295107"/>
        <n v="3273"/>
        <n v="15330"/>
        <n v="152566"/>
        <n v="76422"/>
        <n v="3212"/>
        <n v="232131"/>
        <n v="87594"/>
        <n v="132152"/>
        <n v="294819"/>
        <n v="22007"/>
        <n v="113805"/>
        <n v="95815"/>
        <n v="262783"/>
        <n v="78038"/>
        <n v="265880"/>
        <n v="253506"/>
        <n v="16473"/>
        <n v="128771"/>
        <n v="125801"/>
        <n v="86623"/>
        <n v="225097"/>
        <n v="298964"/>
        <n v="215933"/>
        <n v="196879"/>
        <n v="280558"/>
        <n v="24220"/>
        <n v="60531"/>
        <n v="173497"/>
        <n v="9387"/>
        <n v="245752"/>
        <n v="76815"/>
        <n v="44783"/>
        <n v="170881"/>
        <n v="185399"/>
        <n v="124494"/>
        <n v="115814"/>
        <n v="250139"/>
        <n v="141929"/>
        <n v="173333"/>
        <n v="246509"/>
        <n v="13580"/>
        <n v="18240"/>
        <n v="254351"/>
        <n v="254271"/>
        <n v="80974"/>
        <n v="73401"/>
        <n v="213165"/>
        <n v="164340"/>
        <n v="265790"/>
        <n v="186443"/>
        <n v="248123"/>
        <n v="89460"/>
        <n v="51048"/>
        <n v="206518"/>
        <n v="132850"/>
        <n v="211912"/>
        <n v="266891"/>
        <n v="45"/>
        <n v="7758"/>
        <n v="255397"/>
        <n v="154509"/>
        <n v="150657"/>
        <n v="140926"/>
        <n v="183148"/>
        <n v="148421"/>
        <n v="227300"/>
        <n v="152420"/>
        <n v="165368"/>
        <n v="19455"/>
        <n v="209896"/>
        <n v="231897"/>
        <n v="88552"/>
        <n v="40484"/>
        <n v="134476"/>
        <n v="168332"/>
        <n v="100647"/>
        <n v="65642"/>
        <n v="211803"/>
        <n v="128824"/>
        <n v="248914"/>
        <n v="291749"/>
        <n v="110879"/>
        <n v="120827"/>
        <n v="267724"/>
        <n v="267544"/>
        <n v="170715"/>
        <n v="227257"/>
        <n v="127319"/>
        <n v="106960"/>
        <n v="39015"/>
        <n v="203877"/>
        <n v="145109"/>
        <n v="88754"/>
        <n v="221775"/>
        <n v="203225"/>
        <n v="152606"/>
        <n v="222067"/>
        <n v="56879"/>
        <n v="119894"/>
        <n v="65839"/>
        <n v="29756"/>
        <n v="143755"/>
        <n v="180557"/>
        <n v="229303"/>
        <n v="149787"/>
        <n v="92943"/>
        <n v="218188"/>
        <n v="148188"/>
        <n v="36744"/>
        <n v="124697"/>
        <n v="116072"/>
        <n v="236028"/>
        <n v="169123"/>
        <n v="7176"/>
        <n v="252365"/>
        <n v="149748"/>
        <n v="45177"/>
        <n v="110623"/>
        <n v="997"/>
        <n v="120179"/>
        <n v="247439"/>
        <n v="120403"/>
        <n v="95287"/>
        <n v="119574"/>
        <n v="256463"/>
        <n v="121509"/>
        <n v="248505"/>
        <n v="192589"/>
        <n v="289531"/>
        <n v="4090"/>
        <n v="3743"/>
        <n v="30924"/>
        <n v="141268"/>
        <n v="105312"/>
        <n v="216249"/>
        <n v="224090"/>
        <n v="229602"/>
        <n v="103976"/>
        <n v="155183"/>
        <n v="113566"/>
        <n v="257443"/>
        <n v="119968"/>
        <n v="61600"/>
        <n v="50022"/>
        <n v="134271"/>
        <n v="123323"/>
        <n v="186110"/>
        <n v="120278"/>
        <n v="270041"/>
        <n v="64541"/>
        <n v="106968"/>
        <n v="14892"/>
        <n v="24815"/>
        <n v="278411"/>
        <n v="280412"/>
        <n v="114463"/>
        <n v="190732"/>
        <n v="196599"/>
        <n v="194451"/>
        <n v="172343"/>
        <n v="138307"/>
        <n v="88757"/>
        <n v="296753"/>
        <n v="254200"/>
        <n v="23645"/>
        <n v="195630"/>
        <n v="154473"/>
        <n v="269915"/>
        <n v="151460"/>
        <n v="83251"/>
        <n v="57042"/>
        <n v="196945"/>
        <n v="47024"/>
        <n v="154522"/>
        <n v="56965"/>
        <n v="272201"/>
        <n v="224321"/>
        <n v="271127"/>
        <n v="19995"/>
        <n v="114587"/>
        <n v="233076"/>
        <n v="222700"/>
        <n v="38886"/>
        <n v="95149"/>
        <n v="94020"/>
        <n v="2673"/>
        <n v="23466"/>
        <n v="237626"/>
        <n v="50406"/>
        <n v="69284"/>
        <n v="235718"/>
        <n v="13665"/>
        <n v="20641"/>
        <n v="35797"/>
        <n v="215838"/>
        <n v="102339"/>
        <n v="113431"/>
        <n v="232275"/>
        <n v="283317"/>
        <n v="144294"/>
        <n v="181136"/>
        <n v="168082"/>
        <n v="253301"/>
        <n v="18095"/>
        <n v="123554"/>
        <n v="234989"/>
        <n v="89023"/>
        <n v="107181"/>
        <n v="222310"/>
        <n v="282744"/>
        <n v="264610"/>
        <n v="176169"/>
        <n v="53276"/>
        <n v="269072"/>
        <n v="205719"/>
        <n v="171960"/>
        <n v="226097"/>
        <n v="174904"/>
        <n v="116196"/>
        <n v="9404"/>
        <n v="209190"/>
        <n v="113187"/>
        <n v="27684"/>
        <n v="68591"/>
        <n v="208794"/>
        <n v="264826"/>
        <n v="111186"/>
        <n v="243181"/>
        <n v="21832"/>
        <n v="296784"/>
        <n v="40491"/>
        <n v="63043"/>
        <n v="128568"/>
        <n v="72725"/>
        <n v="128131"/>
        <n v="45520"/>
        <n v="109869"/>
        <n v="64442"/>
        <n v="261025"/>
        <n v="152842"/>
        <n v="178570"/>
        <n v="123447"/>
        <n v="61477"/>
        <n v="244"/>
        <n v="177561"/>
        <n v="290534"/>
        <n v="10247"/>
        <n v="200123"/>
        <n v="190791"/>
        <n v="207358"/>
        <n v="291727"/>
        <n v="139148"/>
        <n v="146123"/>
        <n v="28670"/>
        <n v="10236"/>
        <n v="35568"/>
        <n v="107327"/>
        <n v="255745"/>
        <n v="278496"/>
        <n v="125721"/>
        <n v="259291"/>
        <n v="156228"/>
        <n v="55904"/>
        <n v="278252"/>
        <n v="264997"/>
        <n v="266320"/>
        <n v="100459"/>
        <n v="185922"/>
        <n v="137901"/>
        <n v="123225"/>
        <n v="235847"/>
        <n v="221738"/>
        <n v="110893"/>
        <n v="242726"/>
        <n v="196914"/>
        <n v="181880"/>
        <n v="6611"/>
        <n v="247524"/>
        <n v="295187"/>
        <n v="136343"/>
        <n v="190191"/>
        <n v="142645"/>
        <n v="152481"/>
        <n v="286608"/>
        <n v="249220"/>
        <n v="118523"/>
        <n v="20662"/>
        <n v="280372"/>
        <n v="60721"/>
        <n v="138458"/>
        <n v="269006"/>
        <n v="40108"/>
        <n v="91788"/>
        <n v="244437"/>
        <n v="237011"/>
        <n v="158273"/>
        <n v="49966"/>
        <n v="185846"/>
        <n v="272530"/>
        <n v="77228"/>
        <n v="146297"/>
        <n v="43021"/>
        <n v="149333"/>
        <n v="252646"/>
        <n v="86755"/>
        <n v="66330"/>
        <n v="178438"/>
        <n v="45313"/>
        <n v="234729"/>
        <n v="232783"/>
        <n v="289176"/>
        <n v="148430"/>
        <n v="28365"/>
        <n v="275333"/>
        <n v="7248"/>
        <n v="4369"/>
        <n v="290749"/>
        <n v="171955"/>
        <n v="33055"/>
        <n v="199803"/>
        <n v="269594"/>
        <n v="133997"/>
        <n v="50272"/>
        <n v="5310"/>
        <n v="31817"/>
        <n v="215888"/>
        <n v="82641"/>
        <n v="215155"/>
        <n v="207382"/>
        <n v="15457"/>
        <n v="42311"/>
        <n v="151958"/>
        <n v="123573"/>
        <n v="298325"/>
        <n v="164334"/>
        <n v="263272"/>
        <n v="79522"/>
        <n v="163394"/>
        <n v="48929"/>
        <n v="81696"/>
        <n v="271952"/>
        <n v="95148"/>
        <n v="283869"/>
        <n v="220026"/>
        <n v="83576"/>
        <n v="20557"/>
        <n v="21825"/>
        <n v="271142"/>
        <n v="36080"/>
        <n v="258815"/>
        <n v="188869"/>
        <n v="146874"/>
        <n v="42407"/>
        <n v="120283"/>
        <n v="13338"/>
        <n v="76289"/>
        <n v="149967"/>
        <n v="178982"/>
        <n v="109367"/>
        <n v="117486"/>
        <n v="214209"/>
        <n v="256055"/>
        <n v="136421"/>
        <n v="153535"/>
        <n v="74935"/>
        <n v="189864"/>
        <n v="275830"/>
        <n v="63528"/>
        <n v="99811"/>
        <n v="284931"/>
        <n v="188499"/>
        <n v="260141"/>
        <n v="104887"/>
        <n v="61086"/>
        <n v="255494"/>
        <n v="63308"/>
        <n v="277941"/>
        <n v="267446"/>
        <n v="38059"/>
        <n v="131980"/>
        <n v="191324"/>
        <n v="143949"/>
        <n v="276383"/>
        <n v="27313"/>
        <n v="42103"/>
        <n v="179480"/>
        <n v="88771"/>
        <n v="126228"/>
        <n v="91665"/>
        <n v="272678"/>
        <n v="279333"/>
        <n v="86067"/>
        <n v="273111"/>
        <n v="213063"/>
        <n v="270804"/>
        <n v="129909"/>
        <n v="140688"/>
        <n v="75976"/>
        <n v="233208"/>
        <n v="179810"/>
        <n v="275251"/>
        <n v="192476"/>
        <n v="94182"/>
        <n v="243153"/>
        <n v="278098"/>
        <n v="279087"/>
        <n v="40725"/>
        <n v="10110"/>
        <n v="278606"/>
        <n v="185153"/>
        <n v="66567"/>
        <n v="182296"/>
        <n v="113394"/>
        <n v="148940"/>
        <n v="22222"/>
        <n v="79794"/>
        <n v="63924"/>
        <n v="99854"/>
        <n v="260038"/>
        <n v="243815"/>
        <n v="233127"/>
        <n v="141295"/>
        <n v="179238"/>
        <n v="39369"/>
        <n v="274805"/>
        <n v="146663"/>
        <n v="186307"/>
        <n v="270114"/>
        <n v="47922"/>
        <n v="292899"/>
        <n v="120926"/>
        <n v="19416"/>
        <n v="13672"/>
        <n v="128145"/>
        <n v="178068"/>
        <n v="64"/>
        <n v="68835"/>
        <n v="201457"/>
        <n v="247795"/>
        <n v="116916"/>
        <n v="195346"/>
        <n v="273010"/>
        <n v="3889"/>
        <n v="118194"/>
        <n v="124714"/>
        <n v="31335"/>
        <n v="50547"/>
        <n v="157234"/>
        <n v="220521"/>
        <n v="155759"/>
        <n v="273139"/>
        <n v="2631"/>
        <n v="137039"/>
        <n v="64471"/>
        <n v="299260"/>
        <n v="133014"/>
        <n v="47664"/>
        <n v="159141"/>
        <n v="87342"/>
        <n v="14407"/>
        <n v="113926"/>
        <n v="213053"/>
        <n v="17878"/>
        <n v="83100"/>
        <n v="223059"/>
        <n v="43168"/>
        <n v="250396"/>
        <n v="250481"/>
        <n v="28004"/>
        <n v="282615"/>
        <n v="91820"/>
        <n v="191239"/>
        <n v="102229"/>
        <n v="14568"/>
        <n v="9466"/>
        <n v="222129"/>
        <n v="57324"/>
        <n v="146539"/>
        <n v="75955"/>
        <n v="147748"/>
        <n v="94791"/>
        <n v="162586"/>
        <n v="22650"/>
        <n v="77701"/>
        <n v="272827"/>
        <n v="229164"/>
        <n v="80978"/>
      </sharedItems>
      <fieldGroup base="9">
        <rangePr autoStart="0" autoEnd="0" startNum="0" endNum="300000" groupInterval="50000"/>
        <groupItems count="8">
          <s v="&lt;0"/>
          <s v="0-49999"/>
          <s v="50000-99999"/>
          <s v="100000-149999"/>
          <s v="150000-199999"/>
          <s v="200000-249999"/>
          <s v="250000-300000"/>
          <s v="&gt;300000"/>
        </groupItems>
      </fieldGroup>
    </cacheField>
    <cacheField name="Condition" numFmtId="0">
      <sharedItems count="3">
        <s v="New"/>
        <s v="Used"/>
        <s v="Like New"/>
      </sharedItems>
    </cacheField>
    <cacheField name="Price (USD)" numFmtId="3">
      <sharedItems containsSemiMixedTypes="0" containsString="0" containsNumber="1" minValue="553.53" maxValue="99982.59" count="2499">
        <n v="26613.919999999998"/>
        <n v="14679.61"/>
        <n v="44402.61"/>
        <n v="86374.33"/>
        <n v="7357.71"/>
        <n v="88969.76"/>
        <n v="63498.75"/>
        <n v="17381.189999999999"/>
        <n v="15905.62"/>
        <n v="9560.2199999999993"/>
        <n v="5887.26"/>
        <n v="28074.19"/>
        <n v="74766.45"/>
        <n v="70193.740000000005"/>
        <n v="35220.519999999997"/>
        <n v="21796.16"/>
        <n v="14728.03"/>
        <n v="75044.95"/>
        <n v="47791.89"/>
        <n v="35735.339999999997"/>
        <n v="86382.04"/>
        <n v="61393.26"/>
        <n v="54210.22"/>
        <n v="75621.02"/>
        <n v="8248.0400000000009"/>
        <n v="70176.95"/>
        <n v="4680.0600000000004"/>
        <n v="41033.39"/>
        <n v="78308.17"/>
        <n v="54201.18"/>
        <n v="71916.679999999993"/>
        <n v="89587.88"/>
        <n v="92009.61"/>
        <n v="31382.99"/>
        <n v="22849.55"/>
        <n v="2982.23"/>
        <n v="76380.320000000007"/>
        <n v="40155.51"/>
        <n v="21471.98"/>
        <n v="14346.62"/>
        <n v="36094.75"/>
        <n v="17932.96"/>
        <n v="19855.490000000002"/>
        <n v="69968.98"/>
        <n v="6874.55"/>
        <n v="16167.56"/>
        <n v="85214.720000000001"/>
        <n v="85266.84"/>
        <n v="36278.129999999997"/>
        <n v="13355.54"/>
        <n v="71972.179999999993"/>
        <n v="39212.51"/>
        <n v="9319.14"/>
        <n v="19993.560000000001"/>
        <n v="18035.41"/>
        <n v="60966.05"/>
        <n v="90321.17"/>
        <n v="80341.84"/>
        <n v="56919.02"/>
        <n v="45104.74"/>
        <n v="63774.29"/>
        <n v="47162.21"/>
        <n v="28379.42"/>
        <n v="69523.759999999995"/>
        <n v="87958.17"/>
        <n v="40422.68"/>
        <n v="84946.15"/>
        <n v="45952.79"/>
        <n v="43126.91"/>
        <n v="7690.81"/>
        <n v="7105.15"/>
        <n v="81712.740000000005"/>
        <n v="68037.91"/>
        <n v="19379.29"/>
        <n v="14812.88"/>
        <n v="59421.58"/>
        <n v="43144.04"/>
        <n v="45764.29"/>
        <n v="96941.02"/>
        <n v="73772.649999999994"/>
        <n v="44119.839999999997"/>
        <n v="6814.43"/>
        <n v="8239.09"/>
        <n v="70056.350000000006"/>
        <n v="84585.18"/>
        <n v="72231.75"/>
        <n v="43559.34"/>
        <n v="795.79"/>
        <n v="96903.15"/>
        <n v="98701.93"/>
        <n v="57189.63"/>
        <n v="11713.74"/>
        <n v="56392.39"/>
        <n v="89772.15"/>
        <n v="69598.62"/>
        <n v="73398.98"/>
        <n v="13072.13"/>
        <n v="15118.61"/>
        <n v="17098.13"/>
        <n v="9091.58"/>
        <n v="54955.72"/>
        <n v="80199.63"/>
        <n v="15952.67"/>
        <n v="93126.06"/>
        <n v="8300.85"/>
        <n v="26352.59"/>
        <n v="88047.31"/>
        <n v="30027.06"/>
        <n v="24507.29"/>
        <n v="30103.17"/>
        <n v="91445.73"/>
        <n v="91981.24"/>
        <n v="3625.46"/>
        <n v="72016.25"/>
        <n v="6919.58"/>
        <n v="81623.45"/>
        <n v="3316.84"/>
        <n v="53463.16"/>
        <n v="68429.03"/>
        <n v="749.44"/>
        <n v="40790.18"/>
        <n v="71109.39"/>
        <n v="28996.53"/>
        <n v="95981.89"/>
        <n v="7865.33"/>
        <n v="96018.28"/>
        <n v="25592.57"/>
        <n v="9638.09"/>
        <n v="32785.03"/>
        <n v="79696.820000000007"/>
        <n v="76481.990000000005"/>
        <n v="24839.84"/>
        <n v="23695.06"/>
        <n v="66045.09"/>
        <n v="48517.86"/>
        <n v="80267.55"/>
        <n v="7292.61"/>
        <n v="62989.13"/>
        <n v="74413.84"/>
        <n v="99371.68"/>
        <n v="69484.259999999995"/>
        <n v="27025.29"/>
        <n v="15277.69"/>
        <n v="65887.09"/>
        <n v="54702.39"/>
        <n v="9041.8799999999992"/>
        <n v="74027.759999999995"/>
        <n v="53425.53"/>
        <n v="4334.1000000000004"/>
        <n v="4341.5600000000004"/>
        <n v="26498.91"/>
        <n v="6645.97"/>
        <n v="59616.51"/>
        <n v="2517.94"/>
        <n v="24791.06"/>
        <n v="16911.22"/>
        <n v="23011.57"/>
        <n v="8019.97"/>
        <n v="69051.990000000005"/>
        <n v="43132.73"/>
        <n v="58344.84"/>
        <n v="65510.97"/>
        <n v="97386.03"/>
        <n v="11485.26"/>
        <n v="44702.18"/>
        <n v="2836.03"/>
        <n v="50287.63"/>
        <n v="92444.87"/>
        <n v="73778.509999999995"/>
        <n v="67885.210000000006"/>
        <n v="46918.36"/>
        <n v="68755.69"/>
        <n v="8075.66"/>
        <n v="60692.67"/>
        <n v="57608.77"/>
        <n v="37930.839999999997"/>
        <n v="24143.84"/>
        <n v="81717.78"/>
        <n v="1011.69"/>
        <n v="11618.92"/>
        <n v="46849.57"/>
        <n v="28992.68"/>
        <n v="75817.98"/>
        <n v="65248.06"/>
        <n v="78390.81"/>
        <n v="3584.45"/>
        <n v="7534.93"/>
        <n v="86918.81"/>
        <n v="37801.08"/>
        <n v="3729.01"/>
        <n v="90495.38"/>
        <n v="9730.07"/>
        <n v="38267.99"/>
        <n v="16273.89"/>
        <n v="7753.16"/>
        <n v="15722.59"/>
        <n v="45968.35"/>
        <n v="70260.83"/>
        <n v="32481.83"/>
        <n v="85719.15"/>
        <n v="46573.48"/>
        <n v="96981.66"/>
        <n v="95644.79"/>
        <n v="78461.240000000005"/>
        <n v="93578.52"/>
        <n v="72174.13"/>
        <n v="9008.0400000000009"/>
        <n v="2746.5"/>
        <n v="37814.92"/>
        <n v="76528.36"/>
        <n v="45333.32"/>
        <n v="84546.11"/>
        <n v="88375.69"/>
        <n v="3347.43"/>
        <n v="83227.83"/>
        <n v="19655.11"/>
        <n v="36748.69"/>
        <n v="54206.67"/>
        <n v="26512.16"/>
        <n v="60030.44"/>
        <n v="59976.03"/>
        <n v="24655.78"/>
        <n v="80585.929999999993"/>
        <n v="65006.23"/>
        <n v="35187.25"/>
        <n v="27057.55"/>
        <n v="88481.26"/>
        <n v="84395.51"/>
        <n v="26827.26"/>
        <n v="838.25"/>
        <n v="8143.06"/>
        <n v="63473.31"/>
        <n v="14583.79"/>
        <n v="60799.03"/>
        <n v="47957.36"/>
        <n v="78582.28"/>
        <n v="24863.06"/>
        <n v="48049.89"/>
        <n v="19843.189999999999"/>
        <n v="95965.09"/>
        <n v="78980.12"/>
        <n v="74988.63"/>
        <n v="70569.63"/>
        <n v="45216.959999999999"/>
        <n v="92711.83"/>
        <n v="11927.12"/>
        <n v="81309.61"/>
        <n v="25447.11"/>
        <n v="35782.660000000003"/>
        <n v="54345.82"/>
        <n v="79352.23"/>
        <n v="84660.82"/>
        <n v="60454.559999999998"/>
        <n v="43288.37"/>
        <n v="94917.73"/>
        <n v="28419.52"/>
        <n v="81293.98"/>
        <n v="63144.71"/>
        <n v="40805.03"/>
        <n v="5129.96"/>
        <n v="47426.93"/>
        <n v="3128.84"/>
        <n v="14912.93"/>
        <n v="12140.06"/>
        <n v="38018.04"/>
        <n v="63401.95"/>
        <n v="84564.33"/>
        <n v="22438.51"/>
        <n v="45341.18"/>
        <n v="42235.83"/>
        <n v="53772.43"/>
        <n v="81910.789999999994"/>
        <n v="5759.63"/>
        <n v="85432.22"/>
        <n v="54262.42"/>
        <n v="6236.55"/>
        <n v="46551.41"/>
        <n v="83194.080000000002"/>
        <n v="92763.58"/>
        <n v="65718.75"/>
        <n v="82974.33"/>
        <n v="10605.32"/>
        <n v="91080.62"/>
        <n v="22947.88"/>
        <n v="29369.439999999999"/>
        <n v="10066.36"/>
        <n v="96713.01"/>
        <n v="85941.03"/>
        <n v="91752.54"/>
        <n v="85485.54"/>
        <n v="5055.54"/>
        <n v="92787.78"/>
        <n v="97099.92"/>
        <n v="52743.86"/>
        <n v="21684.35"/>
        <n v="67569.14"/>
        <n v="97666.64"/>
        <n v="87853.95"/>
        <n v="86872.44"/>
        <n v="93712.71"/>
        <n v="89925.46"/>
        <n v="78746.759999999995"/>
        <n v="73235.92"/>
        <n v="30152.880000000001"/>
        <n v="6402.73"/>
        <n v="54541.42"/>
        <n v="86884.69"/>
        <n v="51712.69"/>
        <n v="17135.560000000001"/>
        <n v="5472.39"/>
        <n v="69397.95"/>
        <n v="5724.13"/>
        <n v="36441.480000000003"/>
        <n v="21052.35"/>
        <n v="49337.96"/>
        <n v="14527.21"/>
        <n v="36930.31"/>
        <n v="41025.129999999997"/>
        <n v="49233.78"/>
        <n v="49328.97"/>
        <n v="29415.54"/>
        <n v="85770.04"/>
        <n v="38776.629999999997"/>
        <n v="26810.79"/>
        <n v="21701.94"/>
        <n v="35644.949999999997"/>
        <n v="11417.52"/>
        <n v="8126.21"/>
        <n v="62488.51"/>
        <n v="63818.98"/>
        <n v="55310.879999999997"/>
        <n v="77417.09"/>
        <n v="871.93"/>
        <n v="93917.45"/>
        <n v="14031.19"/>
        <n v="69032.179999999993"/>
        <n v="17672.68"/>
        <n v="88591.02"/>
        <n v="53517.760000000002"/>
        <n v="12817.89"/>
        <n v="63588.79"/>
        <n v="5865.44"/>
        <n v="78722.11"/>
        <n v="66805.570000000007"/>
        <n v="25199.35"/>
        <n v="40601.339999999997"/>
        <n v="5741.64"/>
        <n v="70899.960000000006"/>
        <n v="35653.47"/>
        <n v="59300.95"/>
        <n v="95889.12"/>
        <n v="33449.339999999997"/>
        <n v="9907.26"/>
        <n v="6510.92"/>
        <n v="27998.42"/>
        <n v="4649.3900000000003"/>
        <n v="75343.05"/>
        <n v="4741.54"/>
        <n v="11508.22"/>
        <n v="21017.35"/>
        <n v="80173.289999999994"/>
        <n v="66595.44"/>
        <n v="59133.42"/>
        <n v="20924.09"/>
        <n v="84586.96"/>
        <n v="96270.31"/>
        <n v="8884.27"/>
        <n v="12413.03"/>
        <n v="89048.83"/>
        <n v="82477.460000000006"/>
        <n v="63703.77"/>
        <n v="94771.69"/>
        <n v="6641.09"/>
        <n v="2551.86"/>
        <n v="74221.02"/>
        <n v="66342.48"/>
        <n v="98645.75"/>
        <n v="25320.09"/>
        <n v="61799.07"/>
        <n v="79115.91"/>
        <n v="37203.39"/>
        <n v="41069.56"/>
        <n v="89350.67"/>
        <n v="43398.51"/>
        <n v="64349.62"/>
        <n v="89477.62"/>
        <n v="24933.53"/>
        <n v="98278.34"/>
        <n v="71685.59"/>
        <n v="52131.56"/>
        <n v="45937.45"/>
        <n v="95664.639999999999"/>
        <n v="24543.86"/>
        <n v="34609.910000000003"/>
        <n v="34240.31"/>
        <n v="3245.56"/>
        <n v="49511.11"/>
        <n v="98972.03"/>
        <n v="89434.74"/>
        <n v="36155.21"/>
        <n v="45172.66"/>
        <n v="68600.67"/>
        <n v="6629.41"/>
        <n v="8291.4599999999991"/>
        <n v="88580.82"/>
        <n v="86434.03"/>
        <n v="40630.17"/>
        <n v="48889.95"/>
        <n v="6176.89"/>
        <n v="42942.559999999998"/>
        <n v="48740.55"/>
        <n v="91162.559999999998"/>
        <n v="89928.83"/>
        <n v="96779.22"/>
        <n v="89084.97"/>
        <n v="5779.07"/>
        <n v="65938.78"/>
        <n v="11482.58"/>
        <n v="30896.46"/>
        <n v="59939.22"/>
        <n v="71558.31"/>
        <n v="67190.039999999994"/>
        <n v="9660.5400000000009"/>
        <n v="14842.37"/>
        <n v="17215.75"/>
        <n v="13684.37"/>
        <n v="21932.27"/>
        <n v="70406.34"/>
        <n v="83929.54"/>
        <n v="43837.32"/>
        <n v="70814.240000000005"/>
        <n v="24001.54"/>
        <n v="97461.61"/>
        <n v="38249.760000000002"/>
        <n v="85357.36"/>
        <n v="94809.81"/>
        <n v="87147.83"/>
        <n v="11371.43"/>
        <n v="66779.179999999993"/>
        <n v="16408.62"/>
        <n v="5537.99"/>
        <n v="9919.43"/>
        <n v="92034.17"/>
        <n v="91304.03"/>
        <n v="26453.32"/>
        <n v="56970.82"/>
        <n v="95727.679999999993"/>
        <n v="52187.08"/>
        <n v="42389.89"/>
        <n v="50908.63"/>
        <n v="8007.05"/>
        <n v="50341.38"/>
        <n v="79411.38"/>
        <n v="46011.26"/>
        <n v="28940.54"/>
        <n v="36014.910000000003"/>
        <n v="12393.23"/>
        <n v="52251.21"/>
        <n v="19070.54"/>
        <n v="82096.97"/>
        <n v="4495.6099999999997"/>
        <n v="77675.22"/>
        <n v="95673.74"/>
        <n v="85700.41"/>
        <n v="95389.05"/>
        <n v="58953.97"/>
        <n v="20705.82"/>
        <n v="93862.62"/>
        <n v="87507.92"/>
        <n v="87119.23"/>
        <n v="70861.070000000007"/>
        <n v="64367.040000000001"/>
        <n v="6398.77"/>
        <n v="76065.14"/>
        <n v="13695.84"/>
        <n v="29676.34"/>
        <n v="57391.58"/>
        <n v="4791.46"/>
        <n v="6498.57"/>
        <n v="83278.58"/>
        <n v="88486.09"/>
        <n v="69777.929999999993"/>
        <n v="56401.45"/>
        <n v="96270.09"/>
        <n v="16395.84"/>
        <n v="75101.460000000006"/>
        <n v="17194.259999999998"/>
        <n v="41275.26"/>
        <n v="60621.03"/>
        <n v="75023.33"/>
        <n v="5353.03"/>
        <n v="2975.68"/>
        <n v="56129.04"/>
        <n v="5562.3"/>
        <n v="65574.509999999995"/>
        <n v="33866.089999999997"/>
        <n v="56350.28"/>
        <n v="23029.74"/>
        <n v="22752.86"/>
        <n v="59773.58"/>
        <n v="7011.99"/>
        <n v="1643.8"/>
        <n v="16665.04"/>
        <n v="58703.76"/>
        <n v="3065.91"/>
        <n v="42277.91"/>
        <n v="4307.1099999999997"/>
        <n v="21962.52"/>
        <n v="5124.8900000000003"/>
        <n v="86049.42"/>
        <n v="72925.19"/>
        <n v="70601.16"/>
        <n v="56917.99"/>
        <n v="71592.12"/>
        <n v="9389.0400000000009"/>
        <n v="6823.9"/>
        <n v="30183.68"/>
        <n v="5920.32"/>
        <n v="47020.82"/>
        <n v="57859.82"/>
        <n v="5417.3"/>
        <n v="86583.65"/>
        <n v="66921.009999999995"/>
        <n v="22932.06"/>
        <n v="10986.59"/>
        <n v="45314.559999999998"/>
        <n v="6483.01"/>
        <n v="35238.25"/>
        <n v="39962.04"/>
        <n v="40680.94"/>
        <n v="98038.25"/>
        <n v="33870.58"/>
        <n v="30196.61"/>
        <n v="17291.189999999999"/>
        <n v="53545.84"/>
        <n v="19599.060000000001"/>
        <n v="6354.8"/>
        <n v="19740.18"/>
        <n v="59783.97"/>
        <n v="83495.58"/>
        <n v="9039.84"/>
        <n v="44875.96"/>
        <n v="48799.65"/>
        <n v="80151.850000000006"/>
        <n v="49451.99"/>
        <n v="5891.59"/>
        <n v="8016.44"/>
        <n v="58177.06"/>
        <n v="39038.44"/>
        <n v="13155.02"/>
        <n v="74341.98"/>
        <n v="87758.12"/>
        <n v="97156.13"/>
        <n v="93026.99"/>
        <n v="8075.47"/>
        <n v="66129.83"/>
        <n v="79238.710000000006"/>
        <n v="46047.95"/>
        <n v="61503.74"/>
        <n v="38126.480000000003"/>
        <n v="36037.379999999997"/>
        <n v="76885.72"/>
        <n v="48123.61"/>
        <n v="25155.32"/>
        <n v="24184.13"/>
        <n v="86621.37"/>
        <n v="69387.25"/>
        <n v="56874.38"/>
        <n v="43089.18"/>
        <n v="45927.65"/>
        <n v="10456.34"/>
        <n v="48216.46"/>
        <n v="80568.22"/>
        <n v="41858.720000000001"/>
        <n v="41440.22"/>
        <n v="6493.08"/>
        <n v="48494.35"/>
        <n v="7407.08"/>
        <n v="5918.32"/>
        <n v="53144.42"/>
        <n v="84800.81"/>
        <n v="60269.16"/>
        <n v="3572.56"/>
        <n v="54041.95"/>
        <n v="7147.21"/>
        <n v="13926.56"/>
        <n v="64002.04"/>
        <n v="9207.9500000000007"/>
        <n v="33417.379999999997"/>
        <n v="64529.38"/>
        <n v="8302.6299999999992"/>
        <n v="53621.61"/>
        <n v="73208.06"/>
        <n v="34545.980000000003"/>
        <n v="34075.550000000003"/>
        <n v="68420.479999999996"/>
        <n v="72013.84"/>
        <n v="94015.92"/>
        <n v="26359.66"/>
        <n v="49480.67"/>
        <n v="28798.78"/>
        <n v="12608.76"/>
        <n v="4330.6899999999996"/>
        <n v="40537.67"/>
        <n v="30691.24"/>
        <n v="33214.51"/>
        <n v="39239.120000000003"/>
        <n v="98939.58"/>
        <n v="79380.990000000005"/>
        <n v="11783.11"/>
        <n v="87879.25"/>
        <n v="65163.82"/>
        <n v="89606.41"/>
        <n v="37462.42"/>
        <n v="49129.29"/>
        <n v="90141.57"/>
        <n v="30894.45"/>
        <n v="91972.58"/>
        <n v="83707.47"/>
        <n v="9815.2999999999993"/>
        <n v="35804.47"/>
        <n v="27396.55"/>
        <n v="36432.36"/>
        <n v="95691.73"/>
        <n v="36641.96"/>
        <n v="58695.12"/>
        <n v="43349.53"/>
        <n v="42640.91"/>
        <n v="23370.97"/>
        <n v="56022.559999999998"/>
        <n v="8569.34"/>
        <n v="9701.08"/>
        <n v="89476.53"/>
        <n v="68219.929999999993"/>
        <n v="63590.12"/>
        <n v="64460.52"/>
        <n v="33145.629999999997"/>
        <n v="44438.73"/>
        <n v="80932.55"/>
        <n v="3410.62"/>
        <n v="49651.92"/>
        <n v="6865.07"/>
        <n v="74688.039999999994"/>
        <n v="44681.71"/>
        <n v="54909.08"/>
        <n v="15895.49"/>
        <n v="99212.85"/>
        <n v="33734.44"/>
        <n v="65324.02"/>
        <n v="60217.45"/>
        <n v="79583.759999999995"/>
        <n v="32914.51"/>
        <n v="7681.31"/>
        <n v="41337.660000000003"/>
        <n v="44060.29"/>
        <n v="68907.69"/>
        <n v="79507.149999999994"/>
        <n v="68352.33"/>
        <n v="90488.55"/>
        <n v="32090.11"/>
        <n v="90558.59"/>
        <n v="17432.03"/>
        <n v="67655.38"/>
        <n v="57024.91"/>
        <n v="51990.41"/>
        <n v="34536.639999999999"/>
        <n v="52854.61"/>
        <n v="20368.47"/>
        <n v="40085.49"/>
        <n v="14374.69"/>
        <n v="59325.43"/>
        <n v="14097.95"/>
        <n v="20232.740000000002"/>
        <n v="13119.35"/>
        <n v="41224.51"/>
        <n v="84986.05"/>
        <n v="91155.16"/>
        <n v="1182.95"/>
        <n v="65282.26"/>
        <n v="70016.62"/>
        <n v="55708.14"/>
        <n v="68363.56"/>
        <n v="27200.62"/>
        <n v="5151.62"/>
        <n v="42133.21"/>
        <n v="13522.26"/>
        <n v="64427.86"/>
        <n v="52045.440000000002"/>
        <n v="31141.53"/>
        <n v="5000.01"/>
        <n v="78653.31"/>
        <n v="81157.490000000005"/>
        <n v="66704.98"/>
        <n v="49436.04"/>
        <n v="59696.22"/>
        <n v="41576.46"/>
        <n v="17022.849999999999"/>
        <n v="41633.96"/>
        <n v="55381.61"/>
        <n v="61889.23"/>
        <n v="93901.09"/>
        <n v="78846.679999999993"/>
        <n v="19439.29"/>
        <n v="21547.31"/>
        <n v="1454.7"/>
        <n v="75127.259999999995"/>
        <n v="72081.62"/>
        <n v="98704.48"/>
        <n v="54592.22"/>
        <n v="83509.42"/>
        <n v="59761.79"/>
        <n v="88038.24"/>
        <n v="7349.7"/>
        <n v="66073.98"/>
        <n v="58686.65"/>
        <n v="7368.22"/>
        <n v="44867.12"/>
        <n v="14174.78"/>
        <n v="8798.68"/>
        <n v="50507.25"/>
        <n v="6193.27"/>
        <n v="12490.66"/>
        <n v="32255.84"/>
        <n v="35593.06"/>
        <n v="58465.58"/>
        <n v="31455.83"/>
        <n v="14086.62"/>
        <n v="20661.39"/>
        <n v="21525.040000000001"/>
        <n v="85056.02"/>
        <n v="32010.37"/>
        <n v="72895.710000000006"/>
        <n v="58944.68"/>
        <n v="97818.68"/>
        <n v="30918.15"/>
        <n v="20045.439999999999"/>
        <n v="9943.59"/>
        <n v="27891.17"/>
        <n v="69986.73"/>
        <n v="13099.53"/>
        <n v="28246.68"/>
        <n v="86254.29"/>
        <n v="60380.53"/>
        <n v="11604.55"/>
        <n v="952.99"/>
        <n v="10806.67"/>
        <n v="94478.13"/>
        <n v="85737.79"/>
        <n v="8526.93"/>
        <n v="92800.59"/>
        <n v="52999.26"/>
        <n v="28497.74"/>
        <n v="43128.06"/>
        <n v="73292.09"/>
        <n v="88223.12"/>
        <n v="46333.64"/>
        <n v="55861.19"/>
        <n v="93519.38"/>
        <n v="15212.37"/>
        <n v="86918.43"/>
        <n v="20134.21"/>
        <n v="50966.83"/>
        <n v="2575.02"/>
        <n v="62280.02"/>
        <n v="58064.480000000003"/>
        <n v="4110.07"/>
        <n v="87013.83"/>
        <n v="67682.27"/>
        <n v="73514.490000000005"/>
        <n v="19312.68"/>
        <n v="88900.74"/>
        <n v="20868.82"/>
        <n v="26164.57"/>
        <n v="17165.240000000002"/>
        <n v="46834.12"/>
        <n v="89332.38"/>
        <n v="28982.51"/>
        <n v="40506.57"/>
        <n v="85376.31"/>
        <n v="63692.45"/>
        <n v="76403.56"/>
        <n v="2533"/>
        <n v="73066.539999999994"/>
        <n v="2662.3"/>
        <n v="98794.83"/>
        <n v="58189.18"/>
        <n v="71085.73"/>
        <n v="16248.15"/>
        <n v="28812.32"/>
        <n v="18275.36"/>
        <n v="42066.22"/>
        <n v="31992.91"/>
        <n v="74627.61"/>
        <n v="15327.35"/>
        <n v="76445.64"/>
        <n v="9341.9599999999991"/>
        <n v="24191.69"/>
        <n v="80236.67"/>
        <n v="75563.78"/>
        <n v="50250.98"/>
        <n v="9748.36"/>
        <n v="62939.91"/>
        <n v="43638.79"/>
        <n v="35070.17"/>
        <n v="65839.009999999995"/>
        <n v="46478.38"/>
        <n v="1378"/>
        <n v="92015.29"/>
        <n v="78956.84"/>
        <n v="10355.93"/>
        <n v="54881.07"/>
        <n v="12920.87"/>
        <n v="84542.54"/>
        <n v="63236.33"/>
        <n v="21382.67"/>
        <n v="6970.43"/>
        <n v="800.02"/>
        <n v="53199.72"/>
        <n v="74765.48"/>
        <n v="16479.84"/>
        <n v="26021.99"/>
        <n v="36089.69"/>
        <n v="25717.29"/>
        <n v="42176.97"/>
        <n v="58163.43"/>
        <n v="70068.990000000005"/>
        <n v="96558.64"/>
        <n v="93430.15"/>
        <n v="59162.06"/>
        <n v="74744.259999999995"/>
        <n v="95332.86"/>
        <n v="12929.83"/>
        <n v="553.53"/>
        <n v="7830.98"/>
        <n v="58518.19"/>
        <n v="77469.179999999993"/>
        <n v="39872.120000000003"/>
        <n v="56797.72"/>
        <n v="5405.48"/>
        <n v="14003.23"/>
        <n v="35550.89"/>
        <n v="6846.34"/>
        <n v="15517.04"/>
        <n v="82126.53"/>
        <n v="83794.28"/>
        <n v="8118.49"/>
        <n v="74047.77"/>
        <n v="80364.72"/>
        <n v="68743.320000000007"/>
        <n v="68634.17"/>
        <n v="68399.37"/>
        <n v="53834.07"/>
        <n v="39517.99"/>
        <n v="74368.55"/>
        <n v="33371.370000000003"/>
        <n v="5657.57"/>
        <n v="46168.78"/>
        <n v="31279.119999999999"/>
        <n v="97595.54"/>
        <n v="29581.41"/>
        <n v="34382.839999999997"/>
        <n v="20350.810000000001"/>
        <n v="83183.16"/>
        <n v="60725.99"/>
        <n v="63238.73"/>
        <n v="82953.33"/>
        <n v="37577.370000000003"/>
        <n v="23395.18"/>
        <n v="23848.51"/>
        <n v="74598.880000000005"/>
        <n v="63340.94"/>
        <n v="24602.19"/>
        <n v="18781.21"/>
        <n v="16465.29"/>
        <n v="64640.87"/>
        <n v="5011.2700000000004"/>
        <n v="6740.34"/>
        <n v="42007.55"/>
        <n v="70678.240000000005"/>
        <n v="71028.740000000005"/>
        <n v="45861.24"/>
        <n v="70651.990000000005"/>
        <n v="54504.14"/>
        <n v="97808.48"/>
        <n v="20433.72"/>
        <n v="62063.39"/>
        <n v="51667.68"/>
        <n v="2347.4299999999998"/>
        <n v="76249.09"/>
        <n v="31173.26"/>
        <n v="41262.43"/>
        <n v="4060.89"/>
        <n v="28199.42"/>
        <n v="45917.01"/>
        <n v="49967.86"/>
        <n v="75701.06"/>
        <n v="77681.509999999995"/>
        <n v="20062.82"/>
        <n v="61313.37"/>
        <n v="90138.79"/>
        <n v="15334.73"/>
        <n v="49926.83"/>
        <n v="76283.55"/>
        <n v="63091.68"/>
        <n v="14555.64"/>
        <n v="42677.58"/>
        <n v="53187.75"/>
        <n v="99605.33"/>
        <n v="21967.75"/>
        <n v="98330.26"/>
        <n v="40734.230000000003"/>
        <n v="24030.45"/>
        <n v="44340.36"/>
        <n v="63329.54"/>
        <n v="25282.25"/>
        <n v="32686.71"/>
        <n v="86181.92"/>
        <n v="9990.59"/>
        <n v="35226.410000000003"/>
        <n v="1914.14"/>
        <n v="80351.23"/>
        <n v="62043.29"/>
        <n v="14538.11"/>
        <n v="94943.29"/>
        <n v="12414.71"/>
        <n v="64408.86"/>
        <n v="45274.04"/>
        <n v="57879.27"/>
        <n v="25255.35"/>
        <n v="70370.490000000005"/>
        <n v="96173.37"/>
        <n v="48550.46"/>
        <n v="54681.04"/>
        <n v="27782.11"/>
        <n v="89727.46"/>
        <n v="97261.57"/>
        <n v="7969.82"/>
        <n v="56563.48"/>
        <n v="9589.57"/>
        <n v="19615.759999999998"/>
        <n v="50456.63"/>
        <n v="56072.54"/>
        <n v="51732.06"/>
        <n v="81229.740000000005"/>
        <n v="68688.27"/>
        <n v="17032.55"/>
        <n v="37912.870000000003"/>
        <n v="3721.23"/>
        <n v="58735.06"/>
        <n v="32688.55"/>
        <n v="16140.82"/>
        <n v="67099.850000000006"/>
        <n v="85848.51"/>
        <n v="93502.77"/>
        <n v="97394.95"/>
        <n v="7920.61"/>
        <n v="18271.73"/>
        <n v="86045.62"/>
        <n v="42996.21"/>
        <n v="74341.570000000007"/>
        <n v="55470.46"/>
        <n v="83717.58"/>
        <n v="45423.040000000001"/>
        <n v="10870.41"/>
        <n v="57898.25"/>
        <n v="2127.2600000000002"/>
        <n v="96724.18"/>
        <n v="55061.49"/>
        <n v="57588.09"/>
        <n v="91190.24"/>
        <n v="6433.56"/>
        <n v="33759.29"/>
        <n v="33128.99"/>
        <n v="52649.97"/>
        <n v="87327.78"/>
        <n v="80499.289999999994"/>
        <n v="96460.36"/>
        <n v="11829.18"/>
        <n v="30490.98"/>
        <n v="12619.73"/>
        <n v="76352.52"/>
        <n v="1837.92"/>
        <n v="1448.92"/>
        <n v="58358.86"/>
        <n v="44091.05"/>
        <n v="72934.63"/>
        <n v="51266.46"/>
        <n v="45406.79"/>
        <n v="45422.54"/>
        <n v="87828.26"/>
        <n v="42546.44"/>
        <n v="36672.730000000003"/>
        <n v="37160.83"/>
        <n v="23677.08"/>
        <n v="86765.440000000002"/>
        <n v="18929.93"/>
        <n v="91318.02"/>
        <n v="31929.43"/>
        <n v="90445.55"/>
        <n v="80127.960000000006"/>
        <n v="60288.81"/>
        <n v="68599.649999999994"/>
        <n v="35955.19"/>
        <n v="59551.72"/>
        <n v="32778.28"/>
        <n v="43215.92"/>
        <n v="77642.94"/>
        <n v="28173.59"/>
        <n v="84690.37"/>
        <n v="40708.870000000003"/>
        <n v="55556.15"/>
        <n v="94486.25"/>
        <n v="69719.28"/>
        <n v="66332.39"/>
        <n v="72602.73"/>
        <n v="92220.58"/>
        <n v="2860.88"/>
        <n v="63257.91"/>
        <n v="43037.42"/>
        <n v="6126.25"/>
        <n v="16903.59"/>
        <n v="35874.230000000003"/>
        <n v="5867.5"/>
        <n v="8874.01"/>
        <n v="80155.839999999997"/>
        <n v="5756.67"/>
        <n v="12017.69"/>
        <n v="3216.11"/>
        <n v="39837.32"/>
        <n v="64063.13"/>
        <n v="11167.74"/>
        <n v="55368.39"/>
        <n v="90639.13"/>
        <n v="72016.11"/>
        <n v="8072.23"/>
        <n v="69759.19"/>
        <n v="24625.97"/>
        <n v="15495.96"/>
        <n v="83801.61"/>
        <n v="71072.92"/>
        <n v="59630.85"/>
        <n v="22981.87"/>
        <n v="62317.77"/>
        <n v="7975.57"/>
        <n v="16289.72"/>
        <n v="34629.56"/>
        <n v="47155.14"/>
        <n v="16453.63"/>
        <n v="16394.32"/>
        <n v="7395.99"/>
        <n v="59123.34"/>
        <n v="55705.49"/>
        <n v="47981.279999999999"/>
        <n v="9777.16"/>
        <n v="9731.0300000000007"/>
        <n v="22159.58"/>
        <n v="66513.240000000005"/>
        <n v="17954.740000000002"/>
        <n v="60991.19"/>
        <n v="58937.32"/>
        <n v="97245.49"/>
        <n v="88921.72"/>
        <n v="94827.57"/>
        <n v="15792.23"/>
        <n v="8747.41"/>
        <n v="17263.61"/>
        <n v="65128.56"/>
        <n v="73407.429999999993"/>
        <n v="20281.080000000002"/>
        <n v="65102.64"/>
        <n v="9983.75"/>
        <n v="32860.28"/>
        <n v="92510.06"/>
        <n v="21314.46"/>
        <n v="11200.65"/>
        <n v="47149.43"/>
        <n v="85808.73"/>
        <n v="12283.88"/>
        <n v="38775.86"/>
        <n v="90478.61"/>
        <n v="16224.78"/>
        <n v="34513.51"/>
        <n v="78949.960000000006"/>
        <n v="56605.04"/>
        <n v="84071.65"/>
        <n v="15601.56"/>
        <n v="92452.65"/>
        <n v="93816.62"/>
        <n v="19754.740000000002"/>
        <n v="8218.17"/>
        <n v="99034.93"/>
        <n v="5081.3900000000003"/>
        <n v="59347.16"/>
        <n v="63510.95"/>
        <n v="8001.85"/>
        <n v="82138.86"/>
        <n v="2342.29"/>
        <n v="27480.49"/>
        <n v="88299.14"/>
        <n v="82854.17"/>
        <n v="63673.84"/>
        <n v="99496.42"/>
        <n v="74842.47"/>
        <n v="25504.49"/>
        <n v="85431.19"/>
        <n v="4439.96"/>
        <n v="843.45"/>
        <n v="35535.019999999997"/>
        <n v="77537.37"/>
        <n v="96219.59"/>
        <n v="31232.959999999999"/>
        <n v="28419.05"/>
        <n v="58543.58"/>
        <n v="82109.97"/>
        <n v="75919.94"/>
        <n v="5819.61"/>
        <n v="64982.02"/>
        <n v="2799.94"/>
        <n v="46094.559999999998"/>
        <n v="29259.73"/>
        <n v="89019.71"/>
        <n v="15692.68"/>
        <n v="69575.350000000006"/>
        <n v="2972.69"/>
        <n v="50179.85"/>
        <n v="33444.21"/>
        <n v="35708.31"/>
        <n v="29737.34"/>
        <n v="76515.33"/>
        <n v="39743.01"/>
        <n v="74003.92"/>
        <n v="48326.64"/>
        <n v="56988.37"/>
        <n v="56612.31"/>
        <n v="97705.95"/>
        <n v="39870.93"/>
        <n v="24729.99"/>
        <n v="91620.23"/>
        <n v="21609.73"/>
        <n v="84270.17"/>
        <n v="19270.419999999998"/>
        <n v="67578.81"/>
        <n v="19301.38"/>
        <n v="92693.15"/>
        <n v="58675.79"/>
        <n v="36281.01"/>
        <n v="18330.66"/>
        <n v="40263.26"/>
        <n v="7197.69"/>
        <n v="41570.33"/>
        <n v="28378.94"/>
        <n v="5985.39"/>
        <n v="44693.08"/>
        <n v="20751.59"/>
        <n v="19628.86"/>
        <n v="72208.89"/>
        <n v="97593.83"/>
        <n v="27143.94"/>
        <n v="78449.119999999995"/>
        <n v="13322.64"/>
        <n v="41249.71"/>
        <n v="53135.37"/>
        <n v="30530.959999999999"/>
        <n v="55309.95"/>
        <n v="88848.37"/>
        <n v="94721.61"/>
        <n v="14552.91"/>
        <n v="30825.360000000001"/>
        <n v="98017.72"/>
        <n v="30689.75"/>
        <n v="7080.72"/>
        <n v="2907.81"/>
        <n v="38854.730000000003"/>
        <n v="2317.15"/>
        <n v="86348.52"/>
        <n v="88851.63"/>
        <n v="33206.69"/>
        <n v="83241.03"/>
        <n v="39032.959999999999"/>
        <n v="14406.85"/>
        <n v="77017.259999999995"/>
        <n v="61662.39"/>
        <n v="31066.33"/>
        <n v="29034.98"/>
        <n v="97684.22"/>
        <n v="8693.76"/>
        <n v="81930.84"/>
        <n v="17161.68"/>
        <n v="76742.789999999994"/>
        <n v="25381.32"/>
        <n v="97851.95"/>
        <n v="9948.4699999999993"/>
        <n v="38453.160000000003"/>
        <n v="45721.54"/>
        <n v="83299.28"/>
        <n v="77791.17"/>
        <n v="40624.25"/>
        <n v="58728.23"/>
        <n v="84381.54"/>
        <n v="6728.96"/>
        <n v="81206.92"/>
        <n v="94955.12"/>
        <n v="8046.13"/>
        <n v="9330.19"/>
        <n v="37728.83"/>
        <n v="13338.11"/>
        <n v="50531.23"/>
        <n v="74227.520000000004"/>
        <n v="58855.43"/>
        <n v="23661.03"/>
        <n v="67207.070000000007"/>
        <n v="70061.179999999993"/>
        <n v="93582.37"/>
        <n v="18945.71"/>
        <n v="70771.94"/>
        <n v="91585.59"/>
        <n v="52648.59"/>
        <n v="39370.97"/>
        <n v="2122.12"/>
        <n v="87344.75"/>
        <n v="42453.41"/>
        <n v="92863.83"/>
        <n v="85537.04"/>
        <n v="40780.79"/>
        <n v="59521.86"/>
        <n v="7581.53"/>
        <n v="30006.03"/>
        <n v="72475.92"/>
        <n v="69401.539999999994"/>
        <n v="3857.01"/>
        <n v="81817.759999999995"/>
        <n v="27404.42"/>
        <n v="4882.07"/>
        <n v="49890.41"/>
        <n v="37377.589999999997"/>
        <n v="95693.28"/>
        <n v="71184.98"/>
        <n v="56223.94"/>
        <n v="53498.93"/>
        <n v="20133.13"/>
        <n v="40357.760000000002"/>
        <n v="68913.460000000006"/>
        <n v="92834.17"/>
        <n v="82564.09"/>
        <n v="33537.03"/>
        <n v="46225.88"/>
        <n v="12877.16"/>
        <n v="14706.37"/>
        <n v="49671.89"/>
        <n v="55370.84"/>
        <n v="30082.57"/>
        <n v="66064.36"/>
        <n v="71821.17"/>
        <n v="33416.03"/>
        <n v="77050.350000000006"/>
        <n v="24532.47"/>
        <n v="56703.88"/>
        <n v="8140.67"/>
        <n v="56015.86"/>
        <n v="91256.46"/>
        <n v="10557.62"/>
        <n v="60889.82"/>
        <n v="58366.77"/>
        <n v="67733.570000000007"/>
        <n v="84173.65"/>
        <n v="73956.039999999994"/>
        <n v="80076.86"/>
        <n v="32437.59"/>
        <n v="41812.25"/>
        <n v="64543.81"/>
        <n v="57578.84"/>
        <n v="96304.87"/>
        <n v="22749.279999999999"/>
        <n v="38371.449999999997"/>
        <n v="59411.75"/>
        <n v="87456.56"/>
        <n v="93288.11"/>
        <n v="36923.449999999997"/>
        <n v="1137.53"/>
        <n v="45053.87"/>
        <n v="42462.69"/>
        <n v="98716.27"/>
        <n v="45950.82"/>
        <n v="34043.68"/>
        <n v="39710.85"/>
        <n v="4270.8"/>
        <n v="83046.34"/>
        <n v="12696.41"/>
        <n v="35068.17"/>
        <n v="96800.26"/>
        <n v="19544.740000000002"/>
        <n v="75547.13"/>
        <n v="38857.379999999997"/>
        <n v="60269.62"/>
        <n v="14457.06"/>
        <n v="34109.11"/>
        <n v="52582.17"/>
        <n v="27011.56"/>
        <n v="56477.64"/>
        <n v="25877.13"/>
        <n v="66759.55"/>
        <n v="90913.66"/>
        <n v="13121.42"/>
        <n v="25578.52"/>
        <n v="85220.19"/>
        <n v="64997.58"/>
        <n v="12477.35"/>
        <n v="51203.26"/>
        <n v="24927.06"/>
        <n v="23914.16"/>
        <n v="94361.31"/>
        <n v="77346.45"/>
        <n v="71141.91"/>
        <n v="27698.240000000002"/>
        <n v="16264.48"/>
        <n v="8772.91"/>
        <n v="5558.56"/>
        <n v="41869.160000000003"/>
        <n v="31373.19"/>
        <n v="59185.74"/>
        <n v="2879.83"/>
        <n v="34564.51"/>
        <n v="85753.79"/>
        <n v="62302.94"/>
        <n v="18839.84"/>
        <n v="7401.48"/>
        <n v="24708.62"/>
        <n v="46135.47"/>
        <n v="66427.69"/>
        <n v="30833.31"/>
        <n v="41490.15"/>
        <n v="74744.210000000006"/>
        <n v="94101.54"/>
        <n v="55278.28"/>
        <n v="5947.24"/>
        <n v="37154.06"/>
        <n v="42870.26"/>
        <n v="37221.49"/>
        <n v="46445.54"/>
        <n v="65103.29"/>
        <n v="16507.16"/>
        <n v="3089.99"/>
        <n v="53226.57"/>
        <n v="34979.46"/>
        <n v="99153.11"/>
        <n v="45985.99"/>
        <n v="87630.92"/>
        <n v="90168.43"/>
        <n v="84420.66"/>
        <n v="9455.33"/>
        <n v="95035.94"/>
        <n v="17230.54"/>
        <n v="8268.34"/>
        <n v="44365.11"/>
        <n v="23490.23"/>
        <n v="22498.67"/>
        <n v="32342.86"/>
        <n v="28598.53"/>
        <n v="70055.56"/>
        <n v="22743.84"/>
        <n v="56596.24"/>
        <n v="98710.52"/>
        <n v="46076.33"/>
        <n v="65977.95"/>
        <n v="97090.31"/>
        <n v="1807.57"/>
        <n v="44767.67"/>
        <n v="85768.28"/>
        <n v="93569.04"/>
        <n v="62117.43"/>
        <n v="18624.96"/>
        <n v="9063.98"/>
        <n v="21572.42"/>
        <n v="3852.34"/>
        <n v="40673.26"/>
        <n v="4749.2700000000004"/>
        <n v="80065.75"/>
        <n v="81203.72"/>
        <n v="73367.23"/>
        <n v="7102.22"/>
        <n v="58660.28"/>
        <n v="76011.83"/>
        <n v="4723.9399999999996"/>
        <n v="94768.92"/>
        <n v="8326.2000000000007"/>
        <n v="65624.73"/>
        <n v="10930.39"/>
        <n v="66972.89"/>
        <n v="91600.06"/>
        <n v="41047.31"/>
        <n v="84622.59"/>
        <n v="34750.31"/>
        <n v="59159.81"/>
        <n v="66600.320000000007"/>
        <n v="69409.53"/>
        <n v="88842.18"/>
        <n v="27289.119999999999"/>
        <n v="29925.11"/>
        <n v="71883.89"/>
        <n v="21833.41"/>
        <n v="49105.69"/>
        <n v="6903.27"/>
        <n v="18393.04"/>
        <n v="69490.41"/>
        <n v="76008.850000000006"/>
        <n v="15955.31"/>
        <n v="26632.41"/>
        <n v="14395.92"/>
        <n v="46174.22"/>
        <n v="16981.03"/>
        <n v="46543.12"/>
        <n v="74549.33"/>
        <n v="69921.919999999998"/>
        <n v="31643.75"/>
        <n v="69007.44"/>
        <n v="93132.65"/>
        <n v="38014.82"/>
        <n v="36266.32"/>
        <n v="59286.67"/>
        <n v="28322.67"/>
        <n v="6690"/>
        <n v="84064.87"/>
        <n v="48635.26"/>
        <n v="6955.32"/>
        <n v="66929.119999999995"/>
        <n v="8673.23"/>
        <n v="22424.55"/>
        <n v="89885.35"/>
        <n v="94194.75"/>
        <n v="79141.77"/>
        <n v="92518.57"/>
        <n v="34084.120000000003"/>
        <n v="28532.54"/>
        <n v="41508.519999999997"/>
        <n v="10257.49"/>
        <n v="8193.7800000000007"/>
        <n v="98496.67"/>
        <n v="83282.78"/>
        <n v="57722.66"/>
        <n v="33051.79"/>
        <n v="2378.13"/>
        <n v="39585.97"/>
        <n v="68362.11"/>
        <n v="47470.85"/>
        <n v="93735.679999999993"/>
        <n v="86150.93"/>
        <n v="14728.06"/>
        <n v="1749.49"/>
        <n v="69242.720000000001"/>
        <n v="2692.3"/>
        <n v="80147.839999999997"/>
        <n v="61179.02"/>
        <n v="2683.39"/>
        <n v="50475.25"/>
        <n v="43577.25"/>
        <n v="87950.14"/>
        <n v="8055.44"/>
        <n v="90105.17"/>
        <n v="66947.850000000006"/>
        <n v="75066.13"/>
        <n v="5247.71"/>
        <n v="64682.75"/>
        <n v="60906.19"/>
        <n v="56034.53"/>
        <n v="79657.350000000006"/>
        <n v="57807.75"/>
        <n v="86424.23"/>
        <n v="27099.99"/>
        <n v="81568.350000000006"/>
        <n v="22034.71"/>
        <n v="82246.19"/>
        <n v="94344.03"/>
        <n v="36890.94"/>
        <n v="5533.92"/>
        <n v="67541.259999999995"/>
        <n v="12549.81"/>
        <n v="51937.67"/>
        <n v="39255.57"/>
        <n v="87883.28"/>
        <n v="88284.55"/>
        <n v="71574.06"/>
        <n v="67293.83"/>
        <n v="7470.04"/>
        <n v="39768.76"/>
        <n v="43429.33"/>
        <n v="57601.95"/>
        <n v="94112.67"/>
        <n v="73779.990000000005"/>
        <n v="57343.98"/>
        <n v="78189.240000000005"/>
        <n v="40234.58"/>
        <n v="74394.34"/>
        <n v="44014.239999999998"/>
        <n v="31567.83"/>
        <n v="62923.78"/>
        <n v="70253.37"/>
        <n v="48632.89"/>
        <n v="58722.57"/>
        <n v="70936.28"/>
        <n v="77932.45"/>
        <n v="90079.29"/>
        <n v="3868.17"/>
        <n v="95390.34"/>
        <n v="65541.58"/>
        <n v="79831.679999999993"/>
        <n v="71478.06"/>
        <n v="24529.31"/>
        <n v="11786.65"/>
        <n v="73997.210000000006"/>
        <n v="5355"/>
        <n v="71710.27"/>
        <n v="50300.07"/>
        <n v="34662.28"/>
        <n v="3207.67"/>
        <n v="74400.55"/>
        <n v="31294.11"/>
        <n v="7289.43"/>
        <n v="41476.21"/>
        <n v="78235.350000000006"/>
        <n v="18566.939999999999"/>
        <n v="24473.09"/>
        <n v="7016.16"/>
        <n v="58221.96"/>
        <n v="24368.44"/>
        <n v="90768.57"/>
        <n v="31214.69"/>
        <n v="45001.78"/>
        <n v="24217.35"/>
        <n v="41862.620000000003"/>
        <n v="51706.44"/>
        <n v="33048.47"/>
        <n v="7806.39"/>
        <n v="42423.63"/>
        <n v="74303.45"/>
        <n v="24671.86"/>
        <n v="40818.370000000003"/>
        <n v="5765.54"/>
        <n v="77070.570000000007"/>
        <n v="64459.23"/>
        <n v="82693.22"/>
        <n v="48283.02"/>
        <n v="80975.360000000001"/>
        <n v="66520.34"/>
        <n v="5343.23"/>
        <n v="29100.959999999999"/>
        <n v="51919.68"/>
        <n v="6377.53"/>
        <n v="11231.13"/>
        <n v="71982.59"/>
        <n v="56635.93"/>
        <n v="54949.03"/>
        <n v="32744.33"/>
        <n v="61508.19"/>
        <n v="7611.82"/>
        <n v="11146.53"/>
        <n v="74717.66"/>
        <n v="35579.68"/>
        <n v="37961.870000000003"/>
        <n v="24796.59"/>
        <n v="47333.97"/>
        <n v="9939.3799999999992"/>
        <n v="33534.51"/>
        <n v="55076.77"/>
        <n v="49235.03"/>
        <n v="99968.62"/>
        <n v="41932.639999999999"/>
        <n v="41764.910000000003"/>
        <n v="52840.27"/>
        <n v="2307.88"/>
        <n v="88248.92"/>
        <n v="59365.440000000002"/>
        <n v="23250.23"/>
        <n v="80376.95"/>
        <n v="8261.56"/>
        <n v="9834.36"/>
        <n v="87189.19"/>
        <n v="60065.75"/>
        <n v="15573.09"/>
        <n v="25450.91"/>
        <n v="31546.34"/>
        <n v="27898.02"/>
        <n v="5226.4399999999996"/>
        <n v="94733.24"/>
        <n v="4719.6400000000003"/>
        <n v="67848.63"/>
        <n v="7041.54"/>
        <n v="87800.17"/>
        <n v="8213.02"/>
        <n v="43411.360000000001"/>
        <n v="79549.84"/>
        <n v="82412.37"/>
        <n v="9309.66"/>
        <n v="71765.460000000006"/>
        <n v="28289.62"/>
        <n v="53038.25"/>
        <n v="807.28"/>
        <n v="66458.19"/>
        <n v="57658.05"/>
        <n v="68349.45"/>
        <n v="93363.35"/>
        <n v="70291.28"/>
        <n v="35442.74"/>
        <n v="23879.98"/>
        <n v="86190.44"/>
        <n v="23461.55"/>
        <n v="20352.91"/>
        <n v="24628.15"/>
        <n v="53339.88"/>
        <n v="16797.810000000001"/>
        <n v="94121.24"/>
        <n v="9679.41"/>
        <n v="97511.18"/>
        <n v="8716.86"/>
        <n v="94888.77"/>
        <n v="99754.42"/>
        <n v="94530.77"/>
        <n v="6873.92"/>
        <n v="71616.86"/>
        <n v="16614.03"/>
        <n v="88058.22"/>
        <n v="10665.76"/>
        <n v="3518.44"/>
        <n v="99159.41"/>
        <n v="45121.15"/>
        <n v="17459.84"/>
        <n v="97082.99"/>
        <n v="98493.27"/>
        <n v="22769.06"/>
        <n v="87156.36"/>
        <n v="42090.22"/>
        <n v="4123"/>
        <n v="29956.28"/>
        <n v="9247.48"/>
        <n v="30460.85"/>
        <n v="10108.81"/>
        <n v="92815.34"/>
        <n v="67863.460000000006"/>
        <n v="89229.15"/>
        <n v="73142.61"/>
        <n v="17472.25"/>
        <n v="94355.25"/>
        <n v="90489.84"/>
        <n v="38067.230000000003"/>
        <n v="15595.67"/>
        <n v="7189.47"/>
        <n v="74194.320000000007"/>
        <n v="90198.76"/>
        <n v="1000.23"/>
        <n v="18461.86"/>
        <n v="61833.64"/>
        <n v="6381.75"/>
        <n v="8192.92"/>
        <n v="42708.54"/>
        <n v="60495.360000000001"/>
        <n v="75101.58"/>
        <n v="35034.32"/>
        <n v="50970.83"/>
        <n v="82335.210000000006"/>
        <n v="95620.03"/>
        <n v="26879.89"/>
        <n v="29039.01"/>
        <n v="94282.73"/>
        <n v="42611.56"/>
        <n v="73243.09"/>
        <n v="6316.52"/>
        <n v="32130.83"/>
        <n v="67088.41"/>
        <n v="67278.759999999995"/>
        <n v="6128.21"/>
        <n v="14467.78"/>
        <n v="99541.32"/>
        <n v="43039.56"/>
        <n v="65633.84"/>
        <n v="89147.36"/>
        <n v="45212.41"/>
        <n v="78522.880000000005"/>
        <n v="97323.32"/>
        <n v="3909.88"/>
        <n v="43500.61"/>
        <n v="91029.73"/>
        <n v="20166.07"/>
        <n v="7716.51"/>
        <n v="91344.46"/>
        <n v="8305.1200000000008"/>
        <n v="97395.39"/>
        <n v="10532.59"/>
        <n v="19836.849999999999"/>
        <n v="15004.69"/>
        <n v="69924.53"/>
        <n v="62570.96"/>
        <n v="39136.839999999997"/>
        <n v="10455.23"/>
        <n v="65767.89"/>
        <n v="59161.45"/>
        <n v="15725.81"/>
        <n v="91346.42"/>
        <n v="23900.22"/>
        <n v="75633.37"/>
        <n v="89082.21"/>
        <n v="60050.12"/>
        <n v="28450.65"/>
        <n v="34378.61"/>
        <n v="89146.02"/>
        <n v="33334.43"/>
        <n v="7588.81"/>
        <n v="9906.57"/>
        <n v="99982.59"/>
        <n v="55680.58"/>
        <n v="8352.2800000000007"/>
        <n v="99073.74"/>
        <n v="40593.919999999998"/>
        <n v="28978.91"/>
        <n v="15852.17"/>
        <n v="18385.47"/>
        <n v="86087.85"/>
        <n v="60928.69"/>
        <n v="88002.37"/>
        <n v="79998.23"/>
        <n v="69005.740000000005"/>
        <n v="62884.66"/>
        <n v="959.22"/>
        <n v="87866.14"/>
        <n v="4469.5"/>
        <n v="58179.75"/>
        <n v="7085.58"/>
        <n v="93926.98"/>
        <n v="90760.34"/>
        <n v="56611.41"/>
        <n v="59844.61"/>
        <n v="71976.639999999999"/>
        <n v="30146.02"/>
        <n v="26081.98"/>
        <n v="14920.13"/>
        <n v="48135.89"/>
        <n v="51812.24"/>
        <n v="41227.01"/>
        <n v="22600.48"/>
        <n v="38755.050000000003"/>
        <n v="37067.94"/>
        <n v="52430.239999999998"/>
        <n v="69094.679999999993"/>
        <n v="96982.34"/>
        <n v="18695.509999999998"/>
        <n v="87936.63"/>
        <n v="31996.91"/>
        <n v="61180.41"/>
        <n v="56940.01"/>
        <n v="5791.01"/>
        <n v="73719.070000000007"/>
        <n v="41260.39"/>
        <n v="3531.45"/>
        <n v="86019.28"/>
        <n v="25909.03"/>
        <n v="22123.37"/>
        <n v="6482.71"/>
        <n v="25004.89"/>
        <n v="54260.49"/>
        <n v="56158.34"/>
        <n v="29169.95"/>
        <n v="11866.05"/>
        <n v="75740.88"/>
        <n v="77007.66"/>
        <n v="99794.46"/>
        <n v="90502.81"/>
        <n v="9297.59"/>
        <n v="80829.36"/>
        <n v="63472.77"/>
        <n v="17211.87"/>
        <n v="64119.76"/>
        <n v="10315.81"/>
        <n v="89103.42"/>
        <n v="50773.03"/>
        <n v="71259.92"/>
        <n v="9963.15"/>
        <n v="5575.36"/>
        <n v="33620.019999999997"/>
        <n v="32071.99"/>
        <n v="42017.31"/>
        <n v="5060.75"/>
        <n v="49332.78"/>
        <n v="51223.83"/>
        <n v="86997.440000000002"/>
        <n v="47609.93"/>
        <n v="39537.85"/>
        <n v="99500.97"/>
        <n v="59265.27"/>
        <n v="49898.25"/>
        <n v="5211.3900000000003"/>
        <n v="81872.22"/>
        <n v="37364.26"/>
        <n v="41970.239999999998"/>
        <n v="76807.97"/>
        <n v="11933.46"/>
        <n v="87191.07"/>
        <n v="45869.26"/>
        <n v="60222.83"/>
        <n v="76960.240000000005"/>
        <n v="30274.93"/>
        <n v="89579.85"/>
        <n v="98026.37"/>
        <n v="51956.06"/>
        <n v="94009.05"/>
        <n v="5107.22"/>
        <n v="89952.59"/>
        <n v="34549.31"/>
        <n v="34592.07"/>
        <n v="26668.44"/>
        <n v="35116.32"/>
        <n v="25281.040000000001"/>
        <n v="91057.57"/>
        <n v="90407.25"/>
        <n v="14710.07"/>
        <n v="18571.55"/>
        <n v="86891.77"/>
        <n v="42899.09"/>
        <n v="21080.81"/>
        <n v="53513.59"/>
        <n v="44583.46"/>
        <n v="25820.35"/>
        <n v="73471.460000000006"/>
        <n v="64972.480000000003"/>
        <n v="14467.85"/>
        <n v="92911.74"/>
        <n v="58054.65"/>
        <n v="28769.43"/>
        <n v="24597.72"/>
        <n v="17915.060000000001"/>
        <n v="45340.55"/>
        <n v="1787.64"/>
        <n v="44502.559999999998"/>
        <n v="19133.189999999999"/>
        <n v="67396.710000000006"/>
        <n v="79597.990000000005"/>
        <n v="57204.66"/>
        <n v="6960.54"/>
        <n v="94145.98"/>
        <n v="6564.53"/>
        <n v="39595.03"/>
        <n v="47700.62"/>
        <n v="8674.99"/>
        <n v="17418.43"/>
        <n v="35945.019999999997"/>
        <n v="59841.61"/>
        <n v="69257.009999999995"/>
        <n v="77532.41"/>
        <n v="35229.65"/>
        <n v="18856.62"/>
        <n v="95709.72"/>
        <n v="12257.26"/>
        <n v="14101.51"/>
        <n v="52019.54"/>
        <n v="82830.75"/>
        <n v="78577.89"/>
        <n v="94081.43"/>
        <n v="18452.240000000002"/>
        <n v="40694.089999999997"/>
        <n v="3180.35"/>
        <n v="86782.66"/>
        <n v="51393.69"/>
        <n v="7550.55"/>
        <n v="72256.62"/>
        <n v="41926.32"/>
        <n v="55458.94"/>
        <n v="89909.81"/>
        <n v="29390.09"/>
        <n v="27825.14"/>
        <n v="30003.29"/>
        <n v="37120.26"/>
        <n v="15198.63"/>
        <n v="71235.87"/>
        <n v="24702.880000000001"/>
        <n v="92983.85"/>
        <n v="2549.02"/>
        <n v="29285.99"/>
        <n v="33216.92"/>
        <n v="78011.12"/>
        <n v="45622.62"/>
        <n v="82836.789999999994"/>
        <n v="7956.11"/>
        <n v="93301.59"/>
        <n v="76877.39"/>
        <n v="9931.56"/>
        <n v="84541.72"/>
        <n v="9411.69"/>
        <n v="99400.47"/>
        <n v="16900.419999999998"/>
        <n v="63260.959999999999"/>
        <n v="23948.57"/>
        <n v="29938.42"/>
        <n v="75830.509999999995"/>
        <n v="97878.43"/>
        <n v="61511.27"/>
        <n v="85805.52"/>
        <n v="5843.96"/>
        <n v="8480.01"/>
        <n v="61688.81"/>
        <n v="41953.39"/>
        <n v="89526.99"/>
        <n v="33688.28"/>
        <n v="46044.85"/>
        <n v="55151.37"/>
        <n v="30938.69"/>
        <n v="91307.01"/>
        <n v="49130.69"/>
        <n v="45294.78"/>
        <n v="85726.54"/>
        <n v="34637.949999999997"/>
        <n v="82659.210000000006"/>
        <n v="16615.919999999998"/>
        <n v="22364.91"/>
        <n v="95329.96"/>
        <n v="85032.51"/>
        <n v="4185.04"/>
        <n v="65653.36"/>
        <n v="94582.17"/>
        <n v="2512.66"/>
        <n v="10605.99"/>
        <n v="56059.47"/>
        <n v="1854.67"/>
        <n v="22795.31"/>
        <n v="89696.22"/>
        <n v="5703.33"/>
        <n v="8259.7900000000009"/>
        <n v="54110.32"/>
        <n v="58132.97"/>
        <n v="68817.960000000006"/>
        <n v="45987.27"/>
        <n v="15983.13"/>
        <n v="14767.92"/>
        <n v="76664.41"/>
        <n v="25998.34"/>
        <n v="7669.66"/>
        <n v="98063.32"/>
        <n v="98137.19"/>
        <n v="40923.43"/>
        <n v="7424.77"/>
        <n v="74090.14"/>
        <n v="83946.15"/>
        <n v="1687.63"/>
        <n v="17868.57"/>
        <n v="83111.28"/>
        <n v="9258.1200000000008"/>
        <n v="80121.710000000006"/>
        <n v="24070.77"/>
        <n v="44094.52"/>
        <n v="62080.03"/>
        <n v="20227.88"/>
        <n v="25007.24"/>
        <n v="31874.18"/>
        <n v="53403.76"/>
        <n v="53526.46"/>
        <n v="82357.98"/>
        <n v="76535.97"/>
        <n v="91804.89"/>
        <n v="84125.66"/>
        <n v="29118.37"/>
        <n v="36473.19"/>
        <n v="52540.21"/>
        <n v="6355.76"/>
        <n v="90870.69"/>
        <n v="921.27"/>
        <n v="35631.919999999998"/>
        <n v="59071.61"/>
        <n v="54194.93"/>
        <n v="67173.69"/>
        <n v="55114.42"/>
        <n v="26755.14"/>
        <n v="24102.43"/>
        <n v="91188.47"/>
        <n v="30076.84"/>
        <n v="31692.84"/>
        <n v="44230.53"/>
        <n v="18246.64"/>
        <n v="53190.92"/>
        <n v="68178.02"/>
        <n v="79670.05"/>
        <n v="72588.149999999994"/>
        <n v="19025.419999999998"/>
        <n v="48326.38"/>
        <n v="8665.69"/>
        <n v="6690.81"/>
        <n v="46812.39"/>
        <n v="29031.25"/>
        <n v="69919.28"/>
        <n v="73802.87"/>
        <n v="90063.35"/>
        <n v="77264.84"/>
        <n v="9583.19"/>
        <n v="40304.19"/>
        <n v="30937.22"/>
        <n v="41682.58"/>
        <n v="20207.189999999999"/>
        <n v="14281.89"/>
        <n v="54493.53"/>
        <n v="73436.22"/>
        <n v="71681.539999999994"/>
        <n v="47839.71"/>
        <n v="5461.65"/>
        <n v="54051.23"/>
        <n v="70699.19"/>
        <n v="9552.89"/>
        <n v="72440.13"/>
        <n v="60309.09"/>
        <n v="23820.33"/>
        <n v="9660.59"/>
        <n v="15310.14"/>
        <n v="54845.68"/>
        <n v="77048.81"/>
        <n v="36792.44"/>
        <n v="41016.769999999997"/>
        <n v="93743.91"/>
        <n v="25236.240000000002"/>
        <n v="1485.62"/>
        <n v="37623.96"/>
        <n v="7586.26"/>
        <n v="64477.34"/>
        <n v="44500.57"/>
        <n v="96651.49"/>
        <n v="74824.66"/>
        <n v="10876.84"/>
        <n v="75739.990000000005"/>
        <n v="7283.66"/>
        <n v="66780.72"/>
        <n v="24995.87"/>
        <n v="71162.009999999995"/>
        <n v="34429.06"/>
        <n v="8793.56"/>
        <n v="37006.81"/>
        <n v="63871.11"/>
        <n v="32163.119999999999"/>
        <n v="92136.05"/>
        <n v="79194.62"/>
        <n v="28113.77"/>
        <n v="95135.69"/>
        <n v="38929.97"/>
        <n v="66927.17"/>
        <n v="75571.06"/>
        <n v="7175.71"/>
        <n v="9610.19"/>
        <n v="37721.919999999998"/>
        <n v="23028.99"/>
        <n v="85817.24"/>
        <n v="71775.429999999993"/>
        <n v="13240.61"/>
        <n v="16119.24"/>
        <n v="72943.23"/>
        <n v="12104.41"/>
        <n v="92131.67"/>
        <n v="75446.31"/>
        <n v="36871.760000000002"/>
        <n v="39479.18"/>
        <n v="53117.13"/>
        <n v="39292.089999999997"/>
        <n v="79429.509999999995"/>
        <n v="97600.01"/>
        <n v="60529.54"/>
        <n v="47373.55"/>
        <n v="26163.54"/>
        <n v="67076.17"/>
        <n v="7012.98"/>
        <n v="70093.11"/>
        <n v="7563.58"/>
        <n v="9041.66"/>
        <n v="37120.120000000003"/>
        <n v="75695.75"/>
        <n v="77181.66"/>
        <n v="66802.720000000001"/>
        <n v="42512.32"/>
        <n v="6279.65"/>
        <n v="8818.8799999999992"/>
        <n v="7738.01"/>
        <n v="14460.92"/>
        <n v="42691.34"/>
        <n v="14843.78"/>
        <n v="84522.07"/>
        <n v="57278.73"/>
        <n v="70640.740000000005"/>
        <n v="69845.31"/>
        <n v="84952.59"/>
        <n v="17594.09"/>
        <n v="67674.17"/>
        <n v="59637.74"/>
        <n v="7935.23"/>
        <n v="24135.18"/>
        <n v="3041.93"/>
        <n v="11892.86"/>
        <n v="38698.379999999997"/>
        <n v="7584.24"/>
        <n v="57552.43"/>
        <n v="25092.59"/>
        <n v="3226.53"/>
        <n v="9149.48"/>
        <n v="5276.76"/>
        <n v="30556.32"/>
        <n v="61853.87"/>
        <n v="24158.79"/>
        <n v="12067.59"/>
        <n v="698.61"/>
        <n v="95395.26"/>
        <n v="73838.03"/>
        <n v="80995.070000000007"/>
        <n v="98187.18"/>
        <n v="93504.73"/>
        <n v="75006.75"/>
        <n v="70928.77"/>
        <n v="37000.75"/>
        <n v="14881.64"/>
        <n v="59503.64"/>
        <n v="59744.06"/>
        <n v="95462.54"/>
        <n v="47044.23"/>
        <n v="70626.720000000001"/>
        <n v="59622.21"/>
        <n v="21792.22"/>
        <n v="61246.11"/>
        <n v="56311.09"/>
        <n v="51921.07"/>
        <n v="53775.18"/>
        <n v="20578.86"/>
        <n v="49030.38"/>
        <n v="62537.06"/>
        <n v="51497.67"/>
        <n v="51425.19"/>
        <n v="12364.18"/>
        <n v="23123.54"/>
        <n v="35492.410000000003"/>
        <n v="44837.96"/>
        <n v="61424.06"/>
        <n v="87017.78"/>
        <n v="20120.650000000001"/>
        <n v="6433.36"/>
        <n v="47677.53"/>
        <n v="46049.78"/>
        <n v="57430.62"/>
        <n v="84156.07"/>
        <n v="81224.25"/>
        <n v="14504.11"/>
        <n v="93729.56"/>
        <n v="15489.37"/>
        <n v="6528.42"/>
        <n v="6887.86"/>
        <n v="69588.36"/>
        <n v="30208.36"/>
        <n v="36382.78"/>
        <n v="5712.43"/>
        <n v="23960.81"/>
        <n v="6929.49"/>
        <n v="58403.72"/>
        <n v="49201.46"/>
        <n v="67389.460000000006"/>
        <n v="18936.55"/>
        <n v="84887.86"/>
        <n v="18891.04"/>
        <n v="89677.64"/>
        <n v="47704.51"/>
        <n v="5723.15"/>
        <n v="90175.23"/>
        <n v="33491.74"/>
        <n v="22273.56"/>
        <n v="4734.6400000000003"/>
        <n v="28214.89"/>
        <n v="55145.17"/>
        <n v="3114.95"/>
        <n v="87126.51"/>
        <n v="62695.839999999997"/>
        <n v="5022.8599999999997"/>
        <n v="8152"/>
        <n v="36370.17"/>
        <n v="35419.760000000002"/>
        <n v="41390.97"/>
        <n v="64874.94"/>
        <n v="46995.77"/>
        <n v="64720.38"/>
        <n v="18944.169999999998"/>
        <n v="97165.62"/>
        <n v="7431.26"/>
        <n v="28769.68"/>
        <n v="73796.14"/>
        <n v="59627.42"/>
        <n v="15372.95"/>
        <n v="21928.66"/>
        <n v="8924.27"/>
        <n v="81877.62"/>
        <n v="57411.95"/>
        <n v="35091.120000000003"/>
        <n v="17002.77"/>
        <n v="50984.36"/>
        <n v="54899.83"/>
        <n v="71685.11"/>
        <n v="97144.03"/>
        <n v="46319.83"/>
        <n v="43573.25"/>
        <n v="40143.35"/>
        <n v="83557.77"/>
        <n v="19850.14"/>
        <n v="37662.230000000003"/>
        <n v="73872.23"/>
        <n v="6491.02"/>
        <n v="32491.17"/>
        <n v="65937.48"/>
        <n v="22665.45"/>
        <n v="3375.75"/>
        <n v="51174.28"/>
        <n v="45092.24"/>
        <n v="15072.58"/>
        <n v="94132.36"/>
        <n v="9207.81"/>
        <n v="76225.56"/>
        <n v="11785.16"/>
        <n v="4939.3100000000004"/>
        <n v="21664.07"/>
        <n v="18404.29"/>
        <n v="16960.310000000001"/>
        <n v="48014.73"/>
        <n v="53971.07"/>
        <n v="17671.53"/>
        <n v="98042.59"/>
        <n v="29487.759999999998"/>
        <n v="48589.93"/>
        <n v="25545.61"/>
        <n v="51922.65"/>
        <n v="76821.58"/>
        <n v="54504.69"/>
        <n v="32136.639999999999"/>
        <n v="28597.68"/>
        <n v="77098.77"/>
        <n v="16232.63"/>
        <n v="40146.82"/>
        <n v="19390.86"/>
        <n v="2950.77"/>
        <n v="19504.91"/>
        <n v="89243.39"/>
        <n v="7453.09"/>
        <n v="58288.09"/>
        <n v="2632.04"/>
        <n v="53471.55"/>
        <n v="54479.15"/>
        <n v="61088.35"/>
        <n v="10708.09"/>
        <n v="97425.69"/>
        <n v="4921.67"/>
        <n v="93020.52"/>
        <n v="5931.77"/>
        <n v="28518.05"/>
        <n v="14879.58"/>
        <n v="78113.539999999994"/>
        <n v="35411.879999999997"/>
        <n v="84846.79"/>
        <n v="84076.61"/>
        <n v="68440.509999999995"/>
        <n v="68249.27"/>
        <n v="71515.17"/>
        <n v="69007.56"/>
        <n v="41756.29"/>
        <n v="69868.63"/>
        <n v="90253.66"/>
        <n v="36594.480000000003"/>
        <n v="94764.46"/>
        <n v="6290.25"/>
        <n v="38162.839999999997"/>
        <n v="17549.349999999999"/>
        <n v="17028.88"/>
        <n v="8246.58"/>
        <n v="92244.99"/>
        <n v="78887.03"/>
        <n v="97778.49"/>
        <n v="25551.25"/>
        <n v="18375.990000000002"/>
        <n v="54466.86"/>
        <n v="83758.570000000007"/>
        <n v="8784.7099999999991"/>
        <n v="99578.74"/>
        <n v="62213.36"/>
        <n v="97999.47"/>
        <n v="39682.76"/>
        <n v="48512.26"/>
        <n v="76474.34"/>
        <n v="80306.539999999994"/>
        <n v="27138.14"/>
        <n v="9333.11"/>
        <n v="8740.52"/>
        <n v="672.95"/>
        <n v="17213.97"/>
        <n v="52129.23"/>
        <n v="48790.77"/>
        <n v="72297.13"/>
        <n v="13522.58"/>
        <n v="66261.25"/>
        <n v="63555.14"/>
        <n v="27193.86"/>
        <n v="56527.43"/>
        <n v="26109.68"/>
        <n v="18957.689999999999"/>
        <n v="59447.82"/>
        <n v="97860.06"/>
        <n v="27508.67"/>
        <n v="38756.93"/>
        <n v="29374.46"/>
        <n v="30313.68"/>
        <n v="43398.25"/>
        <n v="71676.27"/>
        <n v="8686.43"/>
        <n v="9592.68"/>
        <n v="9396.59"/>
        <n v="88719.05"/>
        <n v="89965.92"/>
        <n v="54826.47"/>
        <n v="1801.47"/>
        <n v="58688.87"/>
        <n v="64720.06"/>
        <n v="8648.7099999999991"/>
        <n v="57335.06"/>
        <n v="44017.39"/>
        <n v="84637.66"/>
        <n v="98190.42"/>
        <n v="6628.48"/>
        <n v="88066.77"/>
        <n v="61879.839999999997"/>
        <n v="70529.86"/>
        <n v="70375.88"/>
        <n v="71954.759999999995"/>
        <n v="35496.28"/>
        <n v="59687.83"/>
        <n v="61442.879999999997"/>
        <n v="3493.18"/>
        <n v="38235.97"/>
        <n v="77413.440000000002"/>
        <n v="60358.76"/>
        <n v="19175.060000000001"/>
        <n v="84575.51"/>
        <n v="88895.86"/>
        <n v="49283.41"/>
        <n v="24846.21"/>
        <n v="95022.62"/>
        <n v="88815.61"/>
        <n v="28216.27"/>
        <n v="1408.14"/>
        <n v="46862.09"/>
        <n v="69257.710000000006"/>
        <n v="21661.919999999998"/>
        <n v="5375.52"/>
        <n v="45414.47"/>
        <n v="89602.36"/>
        <n v="45808.83"/>
        <n v="55708.76"/>
        <n v="95752.19"/>
        <n v="33470.720000000001"/>
        <n v="32454.14"/>
        <n v="80961.53"/>
        <n v="3136.62"/>
        <n v="84027.26"/>
        <n v="14075.88"/>
        <n v="15569.82"/>
        <n v="90625.72"/>
        <n v="56377.17"/>
        <n v="73287.360000000001"/>
        <n v="26402.44"/>
        <n v="20796.060000000001"/>
        <n v="84320.65"/>
        <n v="39069.22"/>
        <n v="4822.8100000000004"/>
        <n v="7657.33"/>
        <n v="41658.67"/>
        <n v="78191.59"/>
        <n v="83021.14"/>
        <n v="7138.17"/>
        <n v="70757.070000000007"/>
        <n v="53092.73"/>
        <n v="56141.29"/>
        <n v="75550.02"/>
        <n v="28493.67"/>
        <n v="26994.12"/>
        <n v="95242.86"/>
        <n v="7630.54"/>
        <n v="18249.22"/>
        <n v="59181.58"/>
        <n v="75094.31"/>
        <n v="56099.65"/>
        <n v="38731.08"/>
        <n v="97907.73"/>
        <n v="71866.009999999995"/>
        <n v="83982.13"/>
        <n v="8823.4500000000007"/>
        <n v="27412.41"/>
        <n v="40546.25"/>
        <n v="22347.13"/>
        <n v="11925.43"/>
        <n v="26383.71"/>
        <n v="55695.38"/>
        <n v="7109.58"/>
        <n v="78531.990000000005"/>
        <n v="9078.93"/>
        <n v="45658.69"/>
        <n v="1661.01"/>
        <n v="45964.04"/>
        <n v="46227.71"/>
        <n v="52330.11"/>
        <n v="89818.91"/>
        <n v="81484.070000000007"/>
        <n v="65488.480000000003"/>
        <n v="8911.3700000000008"/>
        <n v="69454.52"/>
        <n v="82791.22"/>
        <n v="58558.94"/>
        <n v="54895.73"/>
        <n v="73789.240000000005"/>
        <n v="6870.48"/>
        <n v="70585.87"/>
        <n v="93779.23"/>
        <n v="7282.45"/>
        <n v="849.54"/>
        <n v="40899.14"/>
        <n v="81910.22"/>
        <n v="96067.81"/>
        <n v="40165.519999999997"/>
        <n v="84913.44"/>
        <n v="87061.94"/>
        <n v="16712.21"/>
        <n v="8534.99"/>
        <n v="35803.74"/>
        <n v="61357.58"/>
        <n v="5620.14"/>
        <n v="67990.12"/>
        <n v="75344.14"/>
        <n v="4688.37"/>
        <n v="89389.53"/>
        <n v="81902.350000000006"/>
        <n v="7961.5"/>
        <n v="48533.45"/>
        <n v="8569.42"/>
        <n v="51764.36"/>
        <n v="90352.33"/>
        <n v="23092.76"/>
        <n v="98346.28"/>
        <n v="81730.61"/>
        <n v="72433.83"/>
        <n v="6933.02"/>
        <n v="60767.46"/>
        <n v="73463.679999999993"/>
        <n v="45081.03"/>
        <n v="85302.37"/>
        <n v="71152.87"/>
        <n v="78269.05"/>
        <n v="80286.31"/>
        <n v="13746.65"/>
        <n v="10285.870000000001"/>
        <n v="81093.66"/>
        <n v="29641.48"/>
        <n v="60287.13"/>
        <n v="47152.53"/>
        <n v="7093.72"/>
        <n v="8826.7199999999993"/>
        <n v="8357.69"/>
        <n v="62729.37"/>
        <n v="54765.09"/>
        <n v="94713.45"/>
        <n v="21445.93"/>
        <n v="29507.23"/>
        <n v="76890.210000000006"/>
        <n v="78647.350000000006"/>
        <n v="43465.23"/>
        <n v="95342.95"/>
        <n v="94134.18"/>
        <n v="6178.92"/>
        <n v="21371.15"/>
        <n v="82920.850000000006"/>
        <n v="36845.589999999997"/>
        <n v="14068.95"/>
        <n v="79574.92"/>
        <n v="48185.43"/>
        <n v="51779.02"/>
        <n v="22705.09"/>
        <n v="67785.03"/>
        <n v="57367.93"/>
        <n v="24633.93"/>
        <n v="37331.49"/>
        <n v="61703.53"/>
        <n v="92862.86"/>
        <n v="92435.75"/>
        <n v="32351.06"/>
        <n v="74883.990000000005"/>
        <n v="78674.31"/>
        <n v="81838.19"/>
        <n v="59222.42"/>
        <n v="5998.26"/>
        <n v="77359.25"/>
        <n v="15126.76"/>
        <n v="16102.78"/>
        <n v="62534.36"/>
        <n v="98434.45"/>
        <n v="28041.25"/>
        <n v="66352.03"/>
        <n v="3384.71"/>
        <n v="90378.98"/>
        <n v="6138.41"/>
        <n v="24710.35"/>
        <n v="29902.45"/>
        <n v="46085.67"/>
        <n v="16594.14"/>
      </sharedItems>
      <fieldGroup base="11">
        <rangePr autoStart="0" autoEnd="0" startNum="0" endNum="100000" groupInterval="20000"/>
        <groupItems count="7">
          <s v="&lt;0"/>
          <s v="0-20000"/>
          <s v="20000-40000"/>
          <s v="40000-60000"/>
          <s v="60000-80000"/>
          <s v="80000-100000"/>
          <s v="&gt;100000"/>
        </groupItems>
      </fieldGroup>
    </cacheField>
    <cacheField name="Price" numFmtId="0">
      <sharedItems containsSemiMixedTypes="0" containsString="0" containsNumber="1" containsInteger="1" minValue="55353" maxValue="9998259"/>
    </cacheField>
    <cacheField name="Model" numFmtId="0">
      <sharedItems count="28">
        <s v="Model X"/>
        <s v="5 Series"/>
        <s v="A4"/>
        <s v="Model Y"/>
        <s v="Mustang"/>
        <s v="Q7"/>
        <s v="Q5"/>
        <s v="Civic"/>
        <s v="Explorer"/>
        <s v="Model 3"/>
        <s v="Fiesta"/>
        <s v="X3"/>
        <s v="GLA"/>
        <s v="A3"/>
        <s v="X5"/>
        <s v="C-Class"/>
        <s v="E-Class"/>
        <s v="CR-V"/>
        <s v="Camry"/>
        <s v="Accord"/>
        <s v="GLC"/>
        <s v="Corolla"/>
        <s v="Fit"/>
        <s v="Model S"/>
        <s v="Prius"/>
        <s v="3 Series"/>
        <s v="RAV4"/>
        <s v="Focus"/>
      </sharedItems>
    </cacheField>
    <cacheField name="Duplicado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17535540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x v="0"/>
    <x v="0"/>
    <x v="0"/>
    <x v="0"/>
    <n v="23"/>
    <x v="0"/>
    <x v="0"/>
    <x v="0"/>
    <x v="0"/>
    <x v="0"/>
    <x v="0"/>
    <n v="2661392"/>
    <x v="0"/>
    <n v="0"/>
  </r>
  <r>
    <x v="1"/>
    <x v="1"/>
    <x v="1"/>
    <x v="1"/>
    <x v="1"/>
    <n v="44"/>
    <x v="1"/>
    <x v="0"/>
    <x v="1"/>
    <x v="1"/>
    <x v="1"/>
    <x v="1"/>
    <n v="1467961"/>
    <x v="1"/>
    <n v="0"/>
  </r>
  <r>
    <x v="2"/>
    <x v="2"/>
    <x v="2"/>
    <x v="2"/>
    <x v="2"/>
    <n v="45"/>
    <x v="1"/>
    <x v="0"/>
    <x v="2"/>
    <x v="2"/>
    <x v="0"/>
    <x v="2"/>
    <n v="4440261"/>
    <x v="2"/>
    <n v="0"/>
  </r>
  <r>
    <x v="3"/>
    <x v="0"/>
    <x v="3"/>
    <x v="3"/>
    <x v="3"/>
    <n v="41"/>
    <x v="2"/>
    <x v="1"/>
    <x v="3"/>
    <x v="3"/>
    <x v="0"/>
    <x v="3"/>
    <n v="8637433"/>
    <x v="3"/>
    <n v="0"/>
  </r>
  <r>
    <x v="4"/>
    <x v="3"/>
    <x v="4"/>
    <x v="4"/>
    <x v="4"/>
    <n v="26"/>
    <x v="2"/>
    <x v="0"/>
    <x v="4"/>
    <x v="4"/>
    <x v="2"/>
    <x v="4"/>
    <n v="735771"/>
    <x v="4"/>
    <n v="0"/>
  </r>
  <r>
    <x v="5"/>
    <x v="2"/>
    <x v="5"/>
    <x v="5"/>
    <x v="5"/>
    <n v="24"/>
    <x v="2"/>
    <x v="1"/>
    <x v="5"/>
    <x v="5"/>
    <x v="2"/>
    <x v="5"/>
    <n v="8896976"/>
    <x v="5"/>
    <n v="0"/>
  </r>
  <r>
    <x v="6"/>
    <x v="2"/>
    <x v="6"/>
    <x v="6"/>
    <x v="6"/>
    <n v="40"/>
    <x v="1"/>
    <x v="1"/>
    <x v="6"/>
    <x v="6"/>
    <x v="1"/>
    <x v="6"/>
    <n v="6349875"/>
    <x v="6"/>
    <n v="0"/>
  </r>
  <r>
    <x v="7"/>
    <x v="0"/>
    <x v="7"/>
    <x v="7"/>
    <x v="7"/>
    <n v="53"/>
    <x v="3"/>
    <x v="1"/>
    <x v="7"/>
    <x v="7"/>
    <x v="0"/>
    <x v="7"/>
    <n v="1738119"/>
    <x v="3"/>
    <n v="0"/>
  </r>
  <r>
    <x v="8"/>
    <x v="4"/>
    <x v="8"/>
    <x v="8"/>
    <x v="8"/>
    <n v="57"/>
    <x v="1"/>
    <x v="0"/>
    <x v="8"/>
    <x v="8"/>
    <x v="2"/>
    <x v="8"/>
    <n v="1590562"/>
    <x v="7"/>
    <n v="0"/>
  </r>
  <r>
    <x v="9"/>
    <x v="3"/>
    <x v="9"/>
    <x v="9"/>
    <x v="9"/>
    <n v="15"/>
    <x v="1"/>
    <x v="1"/>
    <x v="9"/>
    <x v="9"/>
    <x v="2"/>
    <x v="9"/>
    <n v="956022"/>
    <x v="8"/>
    <n v="0"/>
  </r>
  <r>
    <x v="10"/>
    <x v="0"/>
    <x v="10"/>
    <x v="10"/>
    <x v="10"/>
    <n v="18"/>
    <x v="2"/>
    <x v="1"/>
    <x v="10"/>
    <x v="10"/>
    <x v="2"/>
    <x v="10"/>
    <n v="588726"/>
    <x v="9"/>
    <n v="0"/>
  </r>
  <r>
    <x v="11"/>
    <x v="3"/>
    <x v="7"/>
    <x v="7"/>
    <x v="8"/>
    <n v="57"/>
    <x v="1"/>
    <x v="1"/>
    <x v="11"/>
    <x v="11"/>
    <x v="1"/>
    <x v="11"/>
    <n v="2807419"/>
    <x v="4"/>
    <n v="0"/>
  </r>
  <r>
    <x v="12"/>
    <x v="3"/>
    <x v="11"/>
    <x v="11"/>
    <x v="11"/>
    <n v="47"/>
    <x v="0"/>
    <x v="1"/>
    <x v="12"/>
    <x v="12"/>
    <x v="0"/>
    <x v="12"/>
    <n v="7476645"/>
    <x v="10"/>
    <n v="0"/>
  </r>
  <r>
    <x v="13"/>
    <x v="2"/>
    <x v="8"/>
    <x v="8"/>
    <x v="12"/>
    <n v="54"/>
    <x v="1"/>
    <x v="1"/>
    <x v="13"/>
    <x v="13"/>
    <x v="2"/>
    <x v="13"/>
    <n v="7019374"/>
    <x v="5"/>
    <n v="0"/>
  </r>
  <r>
    <x v="14"/>
    <x v="1"/>
    <x v="12"/>
    <x v="12"/>
    <x v="13"/>
    <n v="20"/>
    <x v="1"/>
    <x v="1"/>
    <x v="14"/>
    <x v="14"/>
    <x v="0"/>
    <x v="14"/>
    <n v="3522052"/>
    <x v="11"/>
    <n v="0"/>
  </r>
  <r>
    <x v="15"/>
    <x v="3"/>
    <x v="9"/>
    <x v="9"/>
    <x v="14"/>
    <n v="39"/>
    <x v="1"/>
    <x v="1"/>
    <x v="15"/>
    <x v="15"/>
    <x v="1"/>
    <x v="15"/>
    <n v="2179616"/>
    <x v="4"/>
    <n v="0"/>
  </r>
  <r>
    <x v="16"/>
    <x v="5"/>
    <x v="7"/>
    <x v="7"/>
    <x v="2"/>
    <n v="45"/>
    <x v="1"/>
    <x v="1"/>
    <x v="16"/>
    <x v="16"/>
    <x v="0"/>
    <x v="16"/>
    <n v="1472803"/>
    <x v="12"/>
    <n v="0"/>
  </r>
  <r>
    <x v="17"/>
    <x v="2"/>
    <x v="13"/>
    <x v="13"/>
    <x v="1"/>
    <n v="44"/>
    <x v="3"/>
    <x v="1"/>
    <x v="17"/>
    <x v="17"/>
    <x v="2"/>
    <x v="17"/>
    <n v="7504495"/>
    <x v="13"/>
    <n v="0"/>
  </r>
  <r>
    <x v="18"/>
    <x v="4"/>
    <x v="3"/>
    <x v="3"/>
    <x v="15"/>
    <n v="30"/>
    <x v="1"/>
    <x v="1"/>
    <x v="18"/>
    <x v="18"/>
    <x v="0"/>
    <x v="18"/>
    <n v="4779189"/>
    <x v="7"/>
    <n v="0"/>
  </r>
  <r>
    <x v="19"/>
    <x v="1"/>
    <x v="14"/>
    <x v="14"/>
    <x v="16"/>
    <n v="11"/>
    <x v="0"/>
    <x v="1"/>
    <x v="19"/>
    <x v="19"/>
    <x v="0"/>
    <x v="19"/>
    <n v="3573534"/>
    <x v="14"/>
    <n v="0"/>
  </r>
  <r>
    <x v="20"/>
    <x v="5"/>
    <x v="5"/>
    <x v="5"/>
    <x v="14"/>
    <n v="39"/>
    <x v="0"/>
    <x v="1"/>
    <x v="20"/>
    <x v="20"/>
    <x v="1"/>
    <x v="20"/>
    <n v="8638204"/>
    <x v="15"/>
    <n v="0"/>
  </r>
  <r>
    <x v="21"/>
    <x v="5"/>
    <x v="13"/>
    <x v="13"/>
    <x v="0"/>
    <n v="23"/>
    <x v="1"/>
    <x v="0"/>
    <x v="21"/>
    <x v="21"/>
    <x v="1"/>
    <x v="21"/>
    <n v="6139326"/>
    <x v="16"/>
    <n v="0"/>
  </r>
  <r>
    <x v="22"/>
    <x v="4"/>
    <x v="15"/>
    <x v="15"/>
    <x v="17"/>
    <n v="33"/>
    <x v="2"/>
    <x v="0"/>
    <x v="22"/>
    <x v="22"/>
    <x v="0"/>
    <x v="22"/>
    <n v="5421022"/>
    <x v="17"/>
    <n v="0"/>
  </r>
  <r>
    <x v="23"/>
    <x v="1"/>
    <x v="5"/>
    <x v="5"/>
    <x v="18"/>
    <n v="58"/>
    <x v="3"/>
    <x v="1"/>
    <x v="23"/>
    <x v="23"/>
    <x v="0"/>
    <x v="23"/>
    <n v="7562102"/>
    <x v="14"/>
    <n v="0"/>
  </r>
  <r>
    <x v="24"/>
    <x v="2"/>
    <x v="16"/>
    <x v="16"/>
    <x v="15"/>
    <n v="30"/>
    <x v="1"/>
    <x v="1"/>
    <x v="24"/>
    <x v="24"/>
    <x v="0"/>
    <x v="24"/>
    <n v="824804"/>
    <x v="6"/>
    <n v="0"/>
  </r>
  <r>
    <x v="25"/>
    <x v="6"/>
    <x v="7"/>
    <x v="7"/>
    <x v="19"/>
    <n v="52"/>
    <x v="1"/>
    <x v="1"/>
    <x v="25"/>
    <x v="25"/>
    <x v="1"/>
    <x v="25"/>
    <n v="7017695"/>
    <x v="18"/>
    <n v="0"/>
  </r>
  <r>
    <x v="26"/>
    <x v="1"/>
    <x v="4"/>
    <x v="4"/>
    <x v="20"/>
    <n v="19"/>
    <x v="1"/>
    <x v="0"/>
    <x v="26"/>
    <x v="26"/>
    <x v="1"/>
    <x v="26"/>
    <n v="468006"/>
    <x v="11"/>
    <n v="0"/>
  </r>
  <r>
    <x v="27"/>
    <x v="4"/>
    <x v="13"/>
    <x v="13"/>
    <x v="1"/>
    <n v="44"/>
    <x v="2"/>
    <x v="0"/>
    <x v="27"/>
    <x v="27"/>
    <x v="0"/>
    <x v="27"/>
    <n v="4103339"/>
    <x v="19"/>
    <n v="0"/>
  </r>
  <r>
    <x v="28"/>
    <x v="5"/>
    <x v="17"/>
    <x v="17"/>
    <x v="21"/>
    <n v="59"/>
    <x v="2"/>
    <x v="0"/>
    <x v="28"/>
    <x v="28"/>
    <x v="1"/>
    <x v="28"/>
    <n v="7830817"/>
    <x v="20"/>
    <n v="0"/>
  </r>
  <r>
    <x v="29"/>
    <x v="2"/>
    <x v="7"/>
    <x v="7"/>
    <x v="9"/>
    <n v="15"/>
    <x v="2"/>
    <x v="1"/>
    <x v="29"/>
    <x v="29"/>
    <x v="2"/>
    <x v="29"/>
    <n v="5420118"/>
    <x v="13"/>
    <n v="0"/>
  </r>
  <r>
    <x v="30"/>
    <x v="1"/>
    <x v="6"/>
    <x v="6"/>
    <x v="22"/>
    <n v="10"/>
    <x v="3"/>
    <x v="1"/>
    <x v="30"/>
    <x v="30"/>
    <x v="1"/>
    <x v="30"/>
    <n v="7191668"/>
    <x v="14"/>
    <n v="0"/>
  </r>
  <r>
    <x v="31"/>
    <x v="6"/>
    <x v="18"/>
    <x v="18"/>
    <x v="23"/>
    <n v="32"/>
    <x v="0"/>
    <x v="1"/>
    <x v="31"/>
    <x v="31"/>
    <x v="1"/>
    <x v="31"/>
    <n v="8958788"/>
    <x v="21"/>
    <n v="0"/>
  </r>
  <r>
    <x v="32"/>
    <x v="6"/>
    <x v="13"/>
    <x v="13"/>
    <x v="9"/>
    <n v="15"/>
    <x v="3"/>
    <x v="1"/>
    <x v="32"/>
    <x v="32"/>
    <x v="1"/>
    <x v="32"/>
    <n v="9200961"/>
    <x v="21"/>
    <n v="0"/>
  </r>
  <r>
    <x v="33"/>
    <x v="3"/>
    <x v="17"/>
    <x v="17"/>
    <x v="11"/>
    <n v="47"/>
    <x v="2"/>
    <x v="0"/>
    <x v="33"/>
    <x v="33"/>
    <x v="2"/>
    <x v="33"/>
    <n v="3138299"/>
    <x v="10"/>
    <n v="0"/>
  </r>
  <r>
    <x v="34"/>
    <x v="3"/>
    <x v="14"/>
    <x v="14"/>
    <x v="24"/>
    <n v="56"/>
    <x v="0"/>
    <x v="1"/>
    <x v="34"/>
    <x v="34"/>
    <x v="2"/>
    <x v="34"/>
    <n v="2284955"/>
    <x v="4"/>
    <n v="0"/>
  </r>
  <r>
    <x v="35"/>
    <x v="0"/>
    <x v="19"/>
    <x v="19"/>
    <x v="23"/>
    <n v="32"/>
    <x v="0"/>
    <x v="0"/>
    <x v="35"/>
    <x v="35"/>
    <x v="2"/>
    <x v="35"/>
    <n v="298223"/>
    <x v="9"/>
    <n v="0"/>
  </r>
  <r>
    <x v="36"/>
    <x v="4"/>
    <x v="12"/>
    <x v="12"/>
    <x v="0"/>
    <n v="23"/>
    <x v="2"/>
    <x v="0"/>
    <x v="36"/>
    <x v="36"/>
    <x v="0"/>
    <x v="36"/>
    <n v="7638032"/>
    <x v="22"/>
    <n v="0"/>
  </r>
  <r>
    <x v="37"/>
    <x v="1"/>
    <x v="20"/>
    <x v="20"/>
    <x v="23"/>
    <n v="32"/>
    <x v="2"/>
    <x v="1"/>
    <x v="37"/>
    <x v="37"/>
    <x v="0"/>
    <x v="37"/>
    <n v="4015551"/>
    <x v="1"/>
    <n v="0"/>
  </r>
  <r>
    <x v="38"/>
    <x v="1"/>
    <x v="12"/>
    <x v="12"/>
    <x v="25"/>
    <n v="46"/>
    <x v="3"/>
    <x v="0"/>
    <x v="38"/>
    <x v="38"/>
    <x v="2"/>
    <x v="38"/>
    <n v="2147198"/>
    <x v="11"/>
    <n v="0"/>
  </r>
  <r>
    <x v="39"/>
    <x v="0"/>
    <x v="10"/>
    <x v="10"/>
    <x v="22"/>
    <n v="10"/>
    <x v="2"/>
    <x v="0"/>
    <x v="39"/>
    <x v="39"/>
    <x v="0"/>
    <x v="39"/>
    <n v="1434662"/>
    <x v="0"/>
    <n v="0"/>
  </r>
  <r>
    <x v="40"/>
    <x v="5"/>
    <x v="18"/>
    <x v="18"/>
    <x v="14"/>
    <n v="39"/>
    <x v="0"/>
    <x v="0"/>
    <x v="40"/>
    <x v="40"/>
    <x v="0"/>
    <x v="40"/>
    <n v="3609475"/>
    <x v="16"/>
    <n v="0"/>
  </r>
  <r>
    <x v="41"/>
    <x v="5"/>
    <x v="13"/>
    <x v="13"/>
    <x v="3"/>
    <n v="41"/>
    <x v="1"/>
    <x v="0"/>
    <x v="41"/>
    <x v="41"/>
    <x v="0"/>
    <x v="41"/>
    <n v="1793296"/>
    <x v="12"/>
    <n v="0"/>
  </r>
  <r>
    <x v="42"/>
    <x v="0"/>
    <x v="13"/>
    <x v="13"/>
    <x v="26"/>
    <n v="42"/>
    <x v="2"/>
    <x v="1"/>
    <x v="42"/>
    <x v="42"/>
    <x v="2"/>
    <x v="42"/>
    <n v="1985549"/>
    <x v="3"/>
    <n v="0"/>
  </r>
  <r>
    <x v="43"/>
    <x v="5"/>
    <x v="9"/>
    <x v="9"/>
    <x v="27"/>
    <n v="22"/>
    <x v="2"/>
    <x v="1"/>
    <x v="43"/>
    <x v="43"/>
    <x v="1"/>
    <x v="43"/>
    <n v="6996898"/>
    <x v="15"/>
    <n v="0"/>
  </r>
  <r>
    <x v="44"/>
    <x v="3"/>
    <x v="4"/>
    <x v="4"/>
    <x v="25"/>
    <n v="46"/>
    <x v="3"/>
    <x v="0"/>
    <x v="44"/>
    <x v="44"/>
    <x v="2"/>
    <x v="44"/>
    <n v="687455"/>
    <x v="8"/>
    <n v="0"/>
  </r>
  <r>
    <x v="45"/>
    <x v="1"/>
    <x v="7"/>
    <x v="7"/>
    <x v="9"/>
    <n v="15"/>
    <x v="3"/>
    <x v="1"/>
    <x v="45"/>
    <x v="45"/>
    <x v="2"/>
    <x v="45"/>
    <n v="1616756"/>
    <x v="1"/>
    <n v="0"/>
  </r>
  <r>
    <x v="46"/>
    <x v="0"/>
    <x v="7"/>
    <x v="7"/>
    <x v="13"/>
    <n v="20"/>
    <x v="2"/>
    <x v="0"/>
    <x v="46"/>
    <x v="46"/>
    <x v="0"/>
    <x v="46"/>
    <n v="8521472"/>
    <x v="23"/>
    <n v="0"/>
  </r>
  <r>
    <x v="47"/>
    <x v="1"/>
    <x v="0"/>
    <x v="0"/>
    <x v="12"/>
    <n v="54"/>
    <x v="0"/>
    <x v="1"/>
    <x v="47"/>
    <x v="47"/>
    <x v="0"/>
    <x v="47"/>
    <n v="8526684"/>
    <x v="14"/>
    <n v="0"/>
  </r>
  <r>
    <x v="48"/>
    <x v="6"/>
    <x v="17"/>
    <x v="17"/>
    <x v="11"/>
    <n v="47"/>
    <x v="0"/>
    <x v="1"/>
    <x v="48"/>
    <x v="48"/>
    <x v="1"/>
    <x v="48"/>
    <n v="3627813"/>
    <x v="24"/>
    <n v="0"/>
  </r>
  <r>
    <x v="49"/>
    <x v="3"/>
    <x v="12"/>
    <x v="12"/>
    <x v="16"/>
    <n v="11"/>
    <x v="1"/>
    <x v="1"/>
    <x v="49"/>
    <x v="49"/>
    <x v="1"/>
    <x v="49"/>
    <n v="1335554"/>
    <x v="8"/>
    <n v="0"/>
  </r>
  <r>
    <x v="50"/>
    <x v="2"/>
    <x v="17"/>
    <x v="17"/>
    <x v="27"/>
    <n v="22"/>
    <x v="2"/>
    <x v="1"/>
    <x v="50"/>
    <x v="50"/>
    <x v="1"/>
    <x v="50"/>
    <n v="7197218"/>
    <x v="6"/>
    <n v="0"/>
  </r>
  <r>
    <x v="51"/>
    <x v="3"/>
    <x v="0"/>
    <x v="0"/>
    <x v="28"/>
    <n v="21"/>
    <x v="3"/>
    <x v="1"/>
    <x v="51"/>
    <x v="51"/>
    <x v="1"/>
    <x v="51"/>
    <n v="3921251"/>
    <x v="4"/>
    <n v="0"/>
  </r>
  <r>
    <x v="52"/>
    <x v="0"/>
    <x v="3"/>
    <x v="3"/>
    <x v="5"/>
    <n v="24"/>
    <x v="0"/>
    <x v="0"/>
    <x v="52"/>
    <x v="52"/>
    <x v="2"/>
    <x v="52"/>
    <n v="931914"/>
    <x v="23"/>
    <n v="0"/>
  </r>
  <r>
    <x v="53"/>
    <x v="2"/>
    <x v="17"/>
    <x v="17"/>
    <x v="27"/>
    <n v="22"/>
    <x v="1"/>
    <x v="1"/>
    <x v="53"/>
    <x v="53"/>
    <x v="1"/>
    <x v="53"/>
    <n v="1999356"/>
    <x v="2"/>
    <n v="0"/>
  </r>
  <r>
    <x v="54"/>
    <x v="6"/>
    <x v="2"/>
    <x v="2"/>
    <x v="29"/>
    <n v="13"/>
    <x v="2"/>
    <x v="0"/>
    <x v="54"/>
    <x v="54"/>
    <x v="2"/>
    <x v="54"/>
    <n v="1803541"/>
    <x v="18"/>
    <n v="0"/>
  </r>
  <r>
    <x v="55"/>
    <x v="0"/>
    <x v="21"/>
    <x v="21"/>
    <x v="17"/>
    <n v="33"/>
    <x v="0"/>
    <x v="0"/>
    <x v="55"/>
    <x v="55"/>
    <x v="0"/>
    <x v="55"/>
    <n v="6096605"/>
    <x v="23"/>
    <n v="0"/>
  </r>
  <r>
    <x v="56"/>
    <x v="4"/>
    <x v="18"/>
    <x v="18"/>
    <x v="11"/>
    <n v="47"/>
    <x v="2"/>
    <x v="1"/>
    <x v="56"/>
    <x v="56"/>
    <x v="1"/>
    <x v="56"/>
    <n v="9032117"/>
    <x v="17"/>
    <n v="0"/>
  </r>
  <r>
    <x v="57"/>
    <x v="1"/>
    <x v="18"/>
    <x v="18"/>
    <x v="6"/>
    <n v="40"/>
    <x v="2"/>
    <x v="0"/>
    <x v="57"/>
    <x v="57"/>
    <x v="0"/>
    <x v="57"/>
    <n v="8034184"/>
    <x v="1"/>
    <n v="0"/>
  </r>
  <r>
    <x v="58"/>
    <x v="6"/>
    <x v="1"/>
    <x v="1"/>
    <x v="1"/>
    <n v="44"/>
    <x v="0"/>
    <x v="1"/>
    <x v="58"/>
    <x v="58"/>
    <x v="0"/>
    <x v="58"/>
    <n v="5691902"/>
    <x v="24"/>
    <n v="0"/>
  </r>
  <r>
    <x v="59"/>
    <x v="1"/>
    <x v="16"/>
    <x v="16"/>
    <x v="30"/>
    <n v="14"/>
    <x v="0"/>
    <x v="0"/>
    <x v="59"/>
    <x v="59"/>
    <x v="2"/>
    <x v="59"/>
    <n v="4510474"/>
    <x v="25"/>
    <n v="0"/>
  </r>
  <r>
    <x v="60"/>
    <x v="5"/>
    <x v="2"/>
    <x v="2"/>
    <x v="18"/>
    <n v="58"/>
    <x v="0"/>
    <x v="0"/>
    <x v="60"/>
    <x v="60"/>
    <x v="1"/>
    <x v="60"/>
    <n v="6377429"/>
    <x v="20"/>
    <n v="0"/>
  </r>
  <r>
    <x v="61"/>
    <x v="4"/>
    <x v="6"/>
    <x v="6"/>
    <x v="19"/>
    <n v="52"/>
    <x v="2"/>
    <x v="1"/>
    <x v="61"/>
    <x v="61"/>
    <x v="2"/>
    <x v="61"/>
    <n v="4716221"/>
    <x v="19"/>
    <n v="0"/>
  </r>
  <r>
    <x v="62"/>
    <x v="4"/>
    <x v="16"/>
    <x v="16"/>
    <x v="31"/>
    <n v="50"/>
    <x v="2"/>
    <x v="1"/>
    <x v="62"/>
    <x v="62"/>
    <x v="0"/>
    <x v="62"/>
    <n v="2837942"/>
    <x v="17"/>
    <n v="0"/>
  </r>
  <r>
    <x v="63"/>
    <x v="6"/>
    <x v="19"/>
    <x v="19"/>
    <x v="32"/>
    <n v="51"/>
    <x v="1"/>
    <x v="1"/>
    <x v="63"/>
    <x v="63"/>
    <x v="1"/>
    <x v="63"/>
    <n v="6952376"/>
    <x v="18"/>
    <n v="0"/>
  </r>
  <r>
    <x v="64"/>
    <x v="4"/>
    <x v="22"/>
    <x v="22"/>
    <x v="8"/>
    <n v="57"/>
    <x v="3"/>
    <x v="1"/>
    <x v="64"/>
    <x v="64"/>
    <x v="0"/>
    <x v="64"/>
    <n v="8795817"/>
    <x v="22"/>
    <n v="0"/>
  </r>
  <r>
    <x v="65"/>
    <x v="2"/>
    <x v="10"/>
    <x v="10"/>
    <x v="33"/>
    <n v="37"/>
    <x v="2"/>
    <x v="0"/>
    <x v="65"/>
    <x v="65"/>
    <x v="0"/>
    <x v="65"/>
    <n v="4042268"/>
    <x v="2"/>
    <n v="0"/>
  </r>
  <r>
    <x v="66"/>
    <x v="4"/>
    <x v="7"/>
    <x v="7"/>
    <x v="13"/>
    <n v="20"/>
    <x v="3"/>
    <x v="1"/>
    <x v="66"/>
    <x v="66"/>
    <x v="1"/>
    <x v="66"/>
    <n v="8494615"/>
    <x v="17"/>
    <n v="0"/>
  </r>
  <r>
    <x v="67"/>
    <x v="1"/>
    <x v="14"/>
    <x v="14"/>
    <x v="3"/>
    <n v="41"/>
    <x v="0"/>
    <x v="0"/>
    <x v="67"/>
    <x v="67"/>
    <x v="1"/>
    <x v="67"/>
    <n v="4595279"/>
    <x v="11"/>
    <n v="0"/>
  </r>
  <r>
    <x v="68"/>
    <x v="1"/>
    <x v="22"/>
    <x v="22"/>
    <x v="11"/>
    <n v="47"/>
    <x v="2"/>
    <x v="0"/>
    <x v="68"/>
    <x v="68"/>
    <x v="1"/>
    <x v="68"/>
    <n v="4312691"/>
    <x v="1"/>
    <n v="0"/>
  </r>
  <r>
    <x v="69"/>
    <x v="0"/>
    <x v="18"/>
    <x v="18"/>
    <x v="11"/>
    <n v="47"/>
    <x v="1"/>
    <x v="0"/>
    <x v="69"/>
    <x v="69"/>
    <x v="2"/>
    <x v="69"/>
    <n v="769081"/>
    <x v="0"/>
    <n v="0"/>
  </r>
  <r>
    <x v="70"/>
    <x v="1"/>
    <x v="22"/>
    <x v="22"/>
    <x v="34"/>
    <n v="36"/>
    <x v="1"/>
    <x v="0"/>
    <x v="70"/>
    <x v="70"/>
    <x v="2"/>
    <x v="70"/>
    <n v="710515"/>
    <x v="1"/>
    <n v="0"/>
  </r>
  <r>
    <x v="71"/>
    <x v="0"/>
    <x v="16"/>
    <x v="16"/>
    <x v="29"/>
    <n v="13"/>
    <x v="3"/>
    <x v="0"/>
    <x v="71"/>
    <x v="71"/>
    <x v="0"/>
    <x v="71"/>
    <n v="8171274"/>
    <x v="23"/>
    <n v="0"/>
  </r>
  <r>
    <x v="72"/>
    <x v="1"/>
    <x v="15"/>
    <x v="15"/>
    <x v="35"/>
    <n v="29"/>
    <x v="0"/>
    <x v="0"/>
    <x v="72"/>
    <x v="72"/>
    <x v="1"/>
    <x v="72"/>
    <n v="6803791"/>
    <x v="14"/>
    <n v="0"/>
  </r>
  <r>
    <x v="73"/>
    <x v="2"/>
    <x v="22"/>
    <x v="22"/>
    <x v="24"/>
    <n v="56"/>
    <x v="3"/>
    <x v="1"/>
    <x v="73"/>
    <x v="73"/>
    <x v="0"/>
    <x v="73"/>
    <n v="1937929"/>
    <x v="13"/>
    <n v="0"/>
  </r>
  <r>
    <x v="74"/>
    <x v="0"/>
    <x v="6"/>
    <x v="6"/>
    <x v="14"/>
    <n v="39"/>
    <x v="0"/>
    <x v="0"/>
    <x v="74"/>
    <x v="74"/>
    <x v="0"/>
    <x v="74"/>
    <n v="1481288"/>
    <x v="23"/>
    <n v="0"/>
  </r>
  <r>
    <x v="75"/>
    <x v="3"/>
    <x v="15"/>
    <x v="15"/>
    <x v="33"/>
    <n v="37"/>
    <x v="1"/>
    <x v="0"/>
    <x v="75"/>
    <x v="75"/>
    <x v="0"/>
    <x v="75"/>
    <n v="5942158"/>
    <x v="10"/>
    <n v="0"/>
  </r>
  <r>
    <x v="76"/>
    <x v="5"/>
    <x v="22"/>
    <x v="22"/>
    <x v="0"/>
    <n v="23"/>
    <x v="3"/>
    <x v="0"/>
    <x v="76"/>
    <x v="76"/>
    <x v="0"/>
    <x v="76"/>
    <n v="4314404"/>
    <x v="20"/>
    <n v="0"/>
  </r>
  <r>
    <x v="77"/>
    <x v="6"/>
    <x v="9"/>
    <x v="9"/>
    <x v="36"/>
    <n v="28"/>
    <x v="1"/>
    <x v="1"/>
    <x v="77"/>
    <x v="77"/>
    <x v="0"/>
    <x v="77"/>
    <n v="4576429"/>
    <x v="26"/>
    <n v="0"/>
  </r>
  <r>
    <x v="78"/>
    <x v="1"/>
    <x v="21"/>
    <x v="21"/>
    <x v="37"/>
    <n v="55"/>
    <x v="1"/>
    <x v="1"/>
    <x v="78"/>
    <x v="78"/>
    <x v="1"/>
    <x v="78"/>
    <n v="9694102"/>
    <x v="14"/>
    <n v="0"/>
  </r>
  <r>
    <x v="79"/>
    <x v="4"/>
    <x v="10"/>
    <x v="10"/>
    <x v="38"/>
    <n v="43"/>
    <x v="0"/>
    <x v="0"/>
    <x v="79"/>
    <x v="79"/>
    <x v="2"/>
    <x v="79"/>
    <n v="7377265"/>
    <x v="22"/>
    <n v="0"/>
  </r>
  <r>
    <x v="80"/>
    <x v="1"/>
    <x v="14"/>
    <x v="14"/>
    <x v="39"/>
    <n v="49"/>
    <x v="3"/>
    <x v="1"/>
    <x v="80"/>
    <x v="80"/>
    <x v="1"/>
    <x v="80"/>
    <n v="4411984"/>
    <x v="1"/>
    <n v="0"/>
  </r>
  <r>
    <x v="81"/>
    <x v="4"/>
    <x v="2"/>
    <x v="2"/>
    <x v="17"/>
    <n v="33"/>
    <x v="3"/>
    <x v="0"/>
    <x v="81"/>
    <x v="81"/>
    <x v="1"/>
    <x v="81"/>
    <n v="681443"/>
    <x v="17"/>
    <n v="0"/>
  </r>
  <r>
    <x v="82"/>
    <x v="5"/>
    <x v="21"/>
    <x v="21"/>
    <x v="26"/>
    <n v="42"/>
    <x v="1"/>
    <x v="1"/>
    <x v="82"/>
    <x v="82"/>
    <x v="1"/>
    <x v="82"/>
    <n v="823909"/>
    <x v="20"/>
    <n v="0"/>
  </r>
  <r>
    <x v="83"/>
    <x v="5"/>
    <x v="14"/>
    <x v="14"/>
    <x v="27"/>
    <n v="22"/>
    <x v="1"/>
    <x v="0"/>
    <x v="83"/>
    <x v="83"/>
    <x v="2"/>
    <x v="83"/>
    <n v="7005635"/>
    <x v="16"/>
    <n v="0"/>
  </r>
  <r>
    <x v="84"/>
    <x v="5"/>
    <x v="1"/>
    <x v="1"/>
    <x v="2"/>
    <n v="45"/>
    <x v="0"/>
    <x v="1"/>
    <x v="84"/>
    <x v="84"/>
    <x v="2"/>
    <x v="84"/>
    <n v="8458518"/>
    <x v="20"/>
    <n v="0"/>
  </r>
  <r>
    <x v="85"/>
    <x v="4"/>
    <x v="14"/>
    <x v="14"/>
    <x v="40"/>
    <n v="31"/>
    <x v="2"/>
    <x v="1"/>
    <x v="85"/>
    <x v="85"/>
    <x v="2"/>
    <x v="85"/>
    <n v="7223175"/>
    <x v="22"/>
    <n v="0"/>
  </r>
  <r>
    <x v="86"/>
    <x v="1"/>
    <x v="10"/>
    <x v="10"/>
    <x v="23"/>
    <n v="32"/>
    <x v="2"/>
    <x v="1"/>
    <x v="86"/>
    <x v="86"/>
    <x v="1"/>
    <x v="86"/>
    <n v="4355934"/>
    <x v="11"/>
    <n v="0"/>
  </r>
  <r>
    <x v="87"/>
    <x v="5"/>
    <x v="7"/>
    <x v="7"/>
    <x v="26"/>
    <n v="42"/>
    <x v="1"/>
    <x v="0"/>
    <x v="87"/>
    <x v="87"/>
    <x v="2"/>
    <x v="87"/>
    <n v="79579"/>
    <x v="15"/>
    <n v="0"/>
  </r>
  <r>
    <x v="88"/>
    <x v="2"/>
    <x v="15"/>
    <x v="15"/>
    <x v="8"/>
    <n v="57"/>
    <x v="2"/>
    <x v="0"/>
    <x v="88"/>
    <x v="88"/>
    <x v="0"/>
    <x v="88"/>
    <n v="9690315"/>
    <x v="13"/>
    <n v="0"/>
  </r>
  <r>
    <x v="89"/>
    <x v="0"/>
    <x v="22"/>
    <x v="22"/>
    <x v="29"/>
    <n v="13"/>
    <x v="2"/>
    <x v="0"/>
    <x v="89"/>
    <x v="89"/>
    <x v="2"/>
    <x v="89"/>
    <n v="9870193"/>
    <x v="23"/>
    <n v="0"/>
  </r>
  <r>
    <x v="90"/>
    <x v="4"/>
    <x v="13"/>
    <x v="13"/>
    <x v="32"/>
    <n v="51"/>
    <x v="2"/>
    <x v="1"/>
    <x v="90"/>
    <x v="90"/>
    <x v="1"/>
    <x v="90"/>
    <n v="5718963"/>
    <x v="17"/>
    <n v="0"/>
  </r>
  <r>
    <x v="91"/>
    <x v="4"/>
    <x v="1"/>
    <x v="1"/>
    <x v="41"/>
    <n v="25"/>
    <x v="2"/>
    <x v="1"/>
    <x v="91"/>
    <x v="91"/>
    <x v="1"/>
    <x v="91"/>
    <n v="1171374"/>
    <x v="17"/>
    <n v="0"/>
  </r>
  <r>
    <x v="92"/>
    <x v="1"/>
    <x v="15"/>
    <x v="15"/>
    <x v="23"/>
    <n v="32"/>
    <x v="1"/>
    <x v="0"/>
    <x v="92"/>
    <x v="92"/>
    <x v="0"/>
    <x v="92"/>
    <n v="5639239"/>
    <x v="25"/>
    <n v="0"/>
  </r>
  <r>
    <x v="93"/>
    <x v="4"/>
    <x v="9"/>
    <x v="9"/>
    <x v="16"/>
    <n v="11"/>
    <x v="2"/>
    <x v="1"/>
    <x v="93"/>
    <x v="93"/>
    <x v="2"/>
    <x v="93"/>
    <n v="8977215"/>
    <x v="17"/>
    <n v="0"/>
  </r>
  <r>
    <x v="94"/>
    <x v="4"/>
    <x v="18"/>
    <x v="18"/>
    <x v="41"/>
    <n v="25"/>
    <x v="2"/>
    <x v="0"/>
    <x v="94"/>
    <x v="94"/>
    <x v="2"/>
    <x v="94"/>
    <n v="6959862"/>
    <x v="22"/>
    <n v="0"/>
  </r>
  <r>
    <x v="95"/>
    <x v="5"/>
    <x v="8"/>
    <x v="8"/>
    <x v="42"/>
    <n v="35"/>
    <x v="0"/>
    <x v="0"/>
    <x v="95"/>
    <x v="95"/>
    <x v="0"/>
    <x v="95"/>
    <n v="7339898"/>
    <x v="15"/>
    <n v="0"/>
  </r>
  <r>
    <x v="96"/>
    <x v="1"/>
    <x v="20"/>
    <x v="20"/>
    <x v="29"/>
    <n v="13"/>
    <x v="1"/>
    <x v="0"/>
    <x v="96"/>
    <x v="96"/>
    <x v="1"/>
    <x v="96"/>
    <n v="1307213"/>
    <x v="1"/>
    <n v="0"/>
  </r>
  <r>
    <x v="97"/>
    <x v="5"/>
    <x v="11"/>
    <x v="11"/>
    <x v="42"/>
    <n v="35"/>
    <x v="3"/>
    <x v="0"/>
    <x v="97"/>
    <x v="97"/>
    <x v="1"/>
    <x v="97"/>
    <n v="1511861"/>
    <x v="16"/>
    <n v="0"/>
  </r>
  <r>
    <x v="98"/>
    <x v="0"/>
    <x v="6"/>
    <x v="6"/>
    <x v="24"/>
    <n v="56"/>
    <x v="3"/>
    <x v="1"/>
    <x v="98"/>
    <x v="98"/>
    <x v="2"/>
    <x v="98"/>
    <n v="1709813"/>
    <x v="9"/>
    <n v="0"/>
  </r>
  <r>
    <x v="99"/>
    <x v="0"/>
    <x v="12"/>
    <x v="12"/>
    <x v="9"/>
    <n v="15"/>
    <x v="0"/>
    <x v="1"/>
    <x v="99"/>
    <x v="99"/>
    <x v="2"/>
    <x v="99"/>
    <n v="909158"/>
    <x v="9"/>
    <n v="0"/>
  </r>
  <r>
    <x v="100"/>
    <x v="5"/>
    <x v="18"/>
    <x v="18"/>
    <x v="43"/>
    <n v="48"/>
    <x v="0"/>
    <x v="1"/>
    <x v="100"/>
    <x v="100"/>
    <x v="2"/>
    <x v="100"/>
    <n v="5495572"/>
    <x v="12"/>
    <n v="0"/>
  </r>
  <r>
    <x v="101"/>
    <x v="0"/>
    <x v="3"/>
    <x v="3"/>
    <x v="15"/>
    <n v="30"/>
    <x v="1"/>
    <x v="0"/>
    <x v="101"/>
    <x v="101"/>
    <x v="2"/>
    <x v="101"/>
    <n v="8019963"/>
    <x v="23"/>
    <n v="0"/>
  </r>
  <r>
    <x v="102"/>
    <x v="1"/>
    <x v="11"/>
    <x v="11"/>
    <x v="38"/>
    <n v="43"/>
    <x v="3"/>
    <x v="1"/>
    <x v="102"/>
    <x v="102"/>
    <x v="2"/>
    <x v="102"/>
    <n v="1595267"/>
    <x v="14"/>
    <n v="0"/>
  </r>
  <r>
    <x v="103"/>
    <x v="6"/>
    <x v="12"/>
    <x v="12"/>
    <x v="0"/>
    <n v="23"/>
    <x v="2"/>
    <x v="0"/>
    <x v="103"/>
    <x v="103"/>
    <x v="1"/>
    <x v="103"/>
    <n v="9312606"/>
    <x v="18"/>
    <n v="0"/>
  </r>
  <r>
    <x v="104"/>
    <x v="5"/>
    <x v="6"/>
    <x v="6"/>
    <x v="10"/>
    <n v="18"/>
    <x v="0"/>
    <x v="0"/>
    <x v="104"/>
    <x v="104"/>
    <x v="1"/>
    <x v="104"/>
    <n v="830085"/>
    <x v="20"/>
    <n v="0"/>
  </r>
  <r>
    <x v="105"/>
    <x v="2"/>
    <x v="1"/>
    <x v="1"/>
    <x v="10"/>
    <n v="18"/>
    <x v="3"/>
    <x v="0"/>
    <x v="105"/>
    <x v="105"/>
    <x v="1"/>
    <x v="105"/>
    <n v="2635259"/>
    <x v="2"/>
    <n v="0"/>
  </r>
  <r>
    <x v="106"/>
    <x v="2"/>
    <x v="18"/>
    <x v="18"/>
    <x v="30"/>
    <n v="14"/>
    <x v="1"/>
    <x v="0"/>
    <x v="106"/>
    <x v="106"/>
    <x v="1"/>
    <x v="106"/>
    <n v="8804731"/>
    <x v="5"/>
    <n v="0"/>
  </r>
  <r>
    <x v="107"/>
    <x v="4"/>
    <x v="0"/>
    <x v="0"/>
    <x v="20"/>
    <n v="19"/>
    <x v="2"/>
    <x v="0"/>
    <x v="107"/>
    <x v="107"/>
    <x v="0"/>
    <x v="107"/>
    <n v="3002706"/>
    <x v="19"/>
    <n v="0"/>
  </r>
  <r>
    <x v="108"/>
    <x v="0"/>
    <x v="0"/>
    <x v="0"/>
    <x v="38"/>
    <n v="43"/>
    <x v="1"/>
    <x v="0"/>
    <x v="108"/>
    <x v="108"/>
    <x v="1"/>
    <x v="108"/>
    <n v="2450729"/>
    <x v="9"/>
    <n v="0"/>
  </r>
  <r>
    <x v="109"/>
    <x v="2"/>
    <x v="23"/>
    <x v="23"/>
    <x v="12"/>
    <n v="54"/>
    <x v="0"/>
    <x v="1"/>
    <x v="109"/>
    <x v="109"/>
    <x v="0"/>
    <x v="109"/>
    <n v="3010317"/>
    <x v="6"/>
    <n v="0"/>
  </r>
  <r>
    <x v="110"/>
    <x v="4"/>
    <x v="3"/>
    <x v="3"/>
    <x v="32"/>
    <n v="51"/>
    <x v="3"/>
    <x v="1"/>
    <x v="110"/>
    <x v="110"/>
    <x v="1"/>
    <x v="110"/>
    <n v="9144573"/>
    <x v="19"/>
    <n v="0"/>
  </r>
  <r>
    <x v="111"/>
    <x v="6"/>
    <x v="14"/>
    <x v="14"/>
    <x v="1"/>
    <n v="44"/>
    <x v="3"/>
    <x v="1"/>
    <x v="111"/>
    <x v="111"/>
    <x v="2"/>
    <x v="111"/>
    <n v="9198124"/>
    <x v="18"/>
    <n v="0"/>
  </r>
  <r>
    <x v="112"/>
    <x v="1"/>
    <x v="9"/>
    <x v="9"/>
    <x v="44"/>
    <n v="16"/>
    <x v="3"/>
    <x v="1"/>
    <x v="112"/>
    <x v="112"/>
    <x v="2"/>
    <x v="112"/>
    <n v="362546"/>
    <x v="14"/>
    <n v="0"/>
  </r>
  <r>
    <x v="113"/>
    <x v="1"/>
    <x v="23"/>
    <x v="23"/>
    <x v="5"/>
    <n v="24"/>
    <x v="3"/>
    <x v="0"/>
    <x v="113"/>
    <x v="113"/>
    <x v="2"/>
    <x v="113"/>
    <n v="7201625"/>
    <x v="25"/>
    <n v="0"/>
  </r>
  <r>
    <x v="114"/>
    <x v="1"/>
    <x v="17"/>
    <x v="17"/>
    <x v="41"/>
    <n v="25"/>
    <x v="2"/>
    <x v="0"/>
    <x v="114"/>
    <x v="114"/>
    <x v="0"/>
    <x v="114"/>
    <n v="691958"/>
    <x v="1"/>
    <n v="0"/>
  </r>
  <r>
    <x v="115"/>
    <x v="2"/>
    <x v="2"/>
    <x v="2"/>
    <x v="27"/>
    <n v="22"/>
    <x v="2"/>
    <x v="1"/>
    <x v="115"/>
    <x v="115"/>
    <x v="1"/>
    <x v="115"/>
    <n v="8162345"/>
    <x v="13"/>
    <n v="0"/>
  </r>
  <r>
    <x v="116"/>
    <x v="6"/>
    <x v="2"/>
    <x v="2"/>
    <x v="34"/>
    <n v="36"/>
    <x v="1"/>
    <x v="1"/>
    <x v="116"/>
    <x v="116"/>
    <x v="1"/>
    <x v="116"/>
    <n v="331684"/>
    <x v="18"/>
    <n v="0"/>
  </r>
  <r>
    <x v="117"/>
    <x v="2"/>
    <x v="4"/>
    <x v="4"/>
    <x v="33"/>
    <n v="37"/>
    <x v="2"/>
    <x v="1"/>
    <x v="117"/>
    <x v="117"/>
    <x v="0"/>
    <x v="117"/>
    <n v="5346316"/>
    <x v="6"/>
    <n v="0"/>
  </r>
  <r>
    <x v="118"/>
    <x v="0"/>
    <x v="10"/>
    <x v="10"/>
    <x v="36"/>
    <n v="28"/>
    <x v="0"/>
    <x v="1"/>
    <x v="118"/>
    <x v="118"/>
    <x v="0"/>
    <x v="118"/>
    <n v="6842903"/>
    <x v="9"/>
    <n v="0"/>
  </r>
  <r>
    <x v="119"/>
    <x v="2"/>
    <x v="2"/>
    <x v="2"/>
    <x v="36"/>
    <n v="28"/>
    <x v="0"/>
    <x v="1"/>
    <x v="119"/>
    <x v="119"/>
    <x v="0"/>
    <x v="119"/>
    <n v="74944"/>
    <x v="6"/>
    <n v="0"/>
  </r>
  <r>
    <x v="120"/>
    <x v="6"/>
    <x v="22"/>
    <x v="22"/>
    <x v="32"/>
    <n v="51"/>
    <x v="3"/>
    <x v="1"/>
    <x v="120"/>
    <x v="120"/>
    <x v="0"/>
    <x v="120"/>
    <n v="4079018"/>
    <x v="18"/>
    <n v="0"/>
  </r>
  <r>
    <x v="121"/>
    <x v="6"/>
    <x v="23"/>
    <x v="23"/>
    <x v="39"/>
    <n v="49"/>
    <x v="0"/>
    <x v="1"/>
    <x v="121"/>
    <x v="121"/>
    <x v="0"/>
    <x v="121"/>
    <n v="7110939"/>
    <x v="24"/>
    <n v="0"/>
  </r>
  <r>
    <x v="122"/>
    <x v="0"/>
    <x v="6"/>
    <x v="6"/>
    <x v="41"/>
    <n v="25"/>
    <x v="1"/>
    <x v="1"/>
    <x v="122"/>
    <x v="122"/>
    <x v="2"/>
    <x v="122"/>
    <n v="2899653"/>
    <x v="23"/>
    <n v="0"/>
  </r>
  <r>
    <x v="123"/>
    <x v="6"/>
    <x v="17"/>
    <x v="17"/>
    <x v="24"/>
    <n v="56"/>
    <x v="2"/>
    <x v="0"/>
    <x v="123"/>
    <x v="123"/>
    <x v="1"/>
    <x v="123"/>
    <n v="9598189"/>
    <x v="21"/>
    <n v="0"/>
  </r>
  <r>
    <x v="124"/>
    <x v="6"/>
    <x v="16"/>
    <x v="16"/>
    <x v="18"/>
    <n v="58"/>
    <x v="2"/>
    <x v="0"/>
    <x v="124"/>
    <x v="124"/>
    <x v="0"/>
    <x v="124"/>
    <n v="786533"/>
    <x v="21"/>
    <n v="0"/>
  </r>
  <r>
    <x v="125"/>
    <x v="1"/>
    <x v="10"/>
    <x v="10"/>
    <x v="4"/>
    <n v="26"/>
    <x v="2"/>
    <x v="0"/>
    <x v="125"/>
    <x v="125"/>
    <x v="2"/>
    <x v="125"/>
    <n v="9601828"/>
    <x v="11"/>
    <n v="0"/>
  </r>
  <r>
    <x v="126"/>
    <x v="0"/>
    <x v="14"/>
    <x v="14"/>
    <x v="36"/>
    <n v="28"/>
    <x v="0"/>
    <x v="0"/>
    <x v="126"/>
    <x v="126"/>
    <x v="0"/>
    <x v="126"/>
    <n v="2559257"/>
    <x v="0"/>
    <n v="0"/>
  </r>
  <r>
    <x v="127"/>
    <x v="3"/>
    <x v="6"/>
    <x v="6"/>
    <x v="42"/>
    <n v="35"/>
    <x v="2"/>
    <x v="1"/>
    <x v="127"/>
    <x v="127"/>
    <x v="2"/>
    <x v="127"/>
    <n v="963809"/>
    <x v="4"/>
    <n v="0"/>
  </r>
  <r>
    <x v="128"/>
    <x v="3"/>
    <x v="3"/>
    <x v="3"/>
    <x v="8"/>
    <n v="57"/>
    <x v="3"/>
    <x v="0"/>
    <x v="128"/>
    <x v="128"/>
    <x v="0"/>
    <x v="128"/>
    <n v="3278503"/>
    <x v="8"/>
    <n v="0"/>
  </r>
  <r>
    <x v="129"/>
    <x v="6"/>
    <x v="19"/>
    <x v="19"/>
    <x v="12"/>
    <n v="54"/>
    <x v="3"/>
    <x v="1"/>
    <x v="129"/>
    <x v="129"/>
    <x v="1"/>
    <x v="129"/>
    <n v="7969682"/>
    <x v="21"/>
    <n v="0"/>
  </r>
  <r>
    <x v="130"/>
    <x v="3"/>
    <x v="10"/>
    <x v="10"/>
    <x v="9"/>
    <n v="15"/>
    <x v="3"/>
    <x v="0"/>
    <x v="130"/>
    <x v="130"/>
    <x v="0"/>
    <x v="130"/>
    <n v="7648199"/>
    <x v="8"/>
    <n v="0"/>
  </r>
  <r>
    <x v="131"/>
    <x v="3"/>
    <x v="16"/>
    <x v="16"/>
    <x v="15"/>
    <n v="30"/>
    <x v="0"/>
    <x v="1"/>
    <x v="131"/>
    <x v="131"/>
    <x v="0"/>
    <x v="131"/>
    <n v="2483984"/>
    <x v="27"/>
    <n v="0"/>
  </r>
  <r>
    <x v="132"/>
    <x v="6"/>
    <x v="19"/>
    <x v="19"/>
    <x v="45"/>
    <n v="38"/>
    <x v="2"/>
    <x v="1"/>
    <x v="132"/>
    <x v="132"/>
    <x v="1"/>
    <x v="132"/>
    <n v="2369506"/>
    <x v="26"/>
    <n v="0"/>
  </r>
  <r>
    <x v="133"/>
    <x v="3"/>
    <x v="12"/>
    <x v="12"/>
    <x v="42"/>
    <n v="35"/>
    <x v="0"/>
    <x v="0"/>
    <x v="133"/>
    <x v="133"/>
    <x v="1"/>
    <x v="133"/>
    <n v="6604509"/>
    <x v="27"/>
    <n v="0"/>
  </r>
  <r>
    <x v="134"/>
    <x v="2"/>
    <x v="3"/>
    <x v="3"/>
    <x v="13"/>
    <n v="20"/>
    <x v="2"/>
    <x v="0"/>
    <x v="134"/>
    <x v="134"/>
    <x v="0"/>
    <x v="134"/>
    <n v="4851786"/>
    <x v="6"/>
    <n v="0"/>
  </r>
  <r>
    <x v="135"/>
    <x v="4"/>
    <x v="21"/>
    <x v="21"/>
    <x v="7"/>
    <n v="53"/>
    <x v="1"/>
    <x v="1"/>
    <x v="135"/>
    <x v="135"/>
    <x v="1"/>
    <x v="135"/>
    <n v="8026755"/>
    <x v="19"/>
    <n v="0"/>
  </r>
  <r>
    <x v="136"/>
    <x v="0"/>
    <x v="12"/>
    <x v="12"/>
    <x v="1"/>
    <n v="44"/>
    <x v="1"/>
    <x v="1"/>
    <x v="136"/>
    <x v="136"/>
    <x v="1"/>
    <x v="136"/>
    <n v="729261"/>
    <x v="9"/>
    <n v="0"/>
  </r>
  <r>
    <x v="137"/>
    <x v="4"/>
    <x v="9"/>
    <x v="9"/>
    <x v="19"/>
    <n v="52"/>
    <x v="0"/>
    <x v="1"/>
    <x v="137"/>
    <x v="137"/>
    <x v="2"/>
    <x v="137"/>
    <n v="6298913"/>
    <x v="19"/>
    <n v="0"/>
  </r>
  <r>
    <x v="138"/>
    <x v="6"/>
    <x v="16"/>
    <x v="16"/>
    <x v="7"/>
    <n v="53"/>
    <x v="3"/>
    <x v="0"/>
    <x v="138"/>
    <x v="138"/>
    <x v="1"/>
    <x v="138"/>
    <n v="7441384"/>
    <x v="21"/>
    <n v="0"/>
  </r>
  <r>
    <x v="139"/>
    <x v="1"/>
    <x v="13"/>
    <x v="13"/>
    <x v="11"/>
    <n v="47"/>
    <x v="0"/>
    <x v="0"/>
    <x v="139"/>
    <x v="139"/>
    <x v="1"/>
    <x v="139"/>
    <n v="9937168"/>
    <x v="25"/>
    <n v="0"/>
  </r>
  <r>
    <x v="140"/>
    <x v="0"/>
    <x v="14"/>
    <x v="14"/>
    <x v="23"/>
    <n v="32"/>
    <x v="3"/>
    <x v="1"/>
    <x v="140"/>
    <x v="140"/>
    <x v="0"/>
    <x v="140"/>
    <n v="6948426"/>
    <x v="9"/>
    <n v="0"/>
  </r>
  <r>
    <x v="141"/>
    <x v="6"/>
    <x v="2"/>
    <x v="2"/>
    <x v="3"/>
    <n v="41"/>
    <x v="2"/>
    <x v="0"/>
    <x v="141"/>
    <x v="141"/>
    <x v="0"/>
    <x v="141"/>
    <n v="2702529"/>
    <x v="24"/>
    <n v="0"/>
  </r>
  <r>
    <x v="142"/>
    <x v="1"/>
    <x v="7"/>
    <x v="7"/>
    <x v="10"/>
    <n v="18"/>
    <x v="3"/>
    <x v="1"/>
    <x v="142"/>
    <x v="142"/>
    <x v="2"/>
    <x v="142"/>
    <n v="1527769"/>
    <x v="1"/>
    <n v="0"/>
  </r>
  <r>
    <x v="143"/>
    <x v="4"/>
    <x v="3"/>
    <x v="3"/>
    <x v="1"/>
    <n v="44"/>
    <x v="3"/>
    <x v="0"/>
    <x v="143"/>
    <x v="143"/>
    <x v="0"/>
    <x v="143"/>
    <n v="6588709"/>
    <x v="22"/>
    <n v="0"/>
  </r>
  <r>
    <x v="144"/>
    <x v="6"/>
    <x v="9"/>
    <x v="9"/>
    <x v="20"/>
    <n v="19"/>
    <x v="2"/>
    <x v="0"/>
    <x v="144"/>
    <x v="144"/>
    <x v="1"/>
    <x v="144"/>
    <n v="5470239"/>
    <x v="18"/>
    <n v="0"/>
  </r>
  <r>
    <x v="145"/>
    <x v="0"/>
    <x v="15"/>
    <x v="15"/>
    <x v="2"/>
    <n v="45"/>
    <x v="1"/>
    <x v="0"/>
    <x v="145"/>
    <x v="145"/>
    <x v="1"/>
    <x v="145"/>
    <n v="904188"/>
    <x v="3"/>
    <n v="0"/>
  </r>
  <r>
    <x v="146"/>
    <x v="0"/>
    <x v="6"/>
    <x v="6"/>
    <x v="28"/>
    <n v="21"/>
    <x v="2"/>
    <x v="0"/>
    <x v="146"/>
    <x v="146"/>
    <x v="1"/>
    <x v="146"/>
    <n v="7402776"/>
    <x v="9"/>
    <n v="0"/>
  </r>
  <r>
    <x v="147"/>
    <x v="5"/>
    <x v="13"/>
    <x v="13"/>
    <x v="44"/>
    <n v="16"/>
    <x v="0"/>
    <x v="0"/>
    <x v="147"/>
    <x v="147"/>
    <x v="0"/>
    <x v="147"/>
    <n v="5342553"/>
    <x v="16"/>
    <n v="0"/>
  </r>
  <r>
    <x v="148"/>
    <x v="2"/>
    <x v="9"/>
    <x v="9"/>
    <x v="10"/>
    <n v="18"/>
    <x v="0"/>
    <x v="1"/>
    <x v="148"/>
    <x v="148"/>
    <x v="1"/>
    <x v="148"/>
    <n v="433410"/>
    <x v="5"/>
    <n v="0"/>
  </r>
  <r>
    <x v="149"/>
    <x v="3"/>
    <x v="13"/>
    <x v="13"/>
    <x v="22"/>
    <n v="10"/>
    <x v="0"/>
    <x v="1"/>
    <x v="149"/>
    <x v="149"/>
    <x v="1"/>
    <x v="149"/>
    <n v="434156"/>
    <x v="27"/>
    <n v="0"/>
  </r>
  <r>
    <x v="150"/>
    <x v="1"/>
    <x v="16"/>
    <x v="16"/>
    <x v="25"/>
    <n v="46"/>
    <x v="0"/>
    <x v="0"/>
    <x v="150"/>
    <x v="150"/>
    <x v="2"/>
    <x v="150"/>
    <n v="2649891"/>
    <x v="25"/>
    <n v="0"/>
  </r>
  <r>
    <x v="151"/>
    <x v="5"/>
    <x v="12"/>
    <x v="12"/>
    <x v="11"/>
    <n v="47"/>
    <x v="0"/>
    <x v="1"/>
    <x v="151"/>
    <x v="151"/>
    <x v="2"/>
    <x v="151"/>
    <n v="664597"/>
    <x v="12"/>
    <n v="0"/>
  </r>
  <r>
    <x v="152"/>
    <x v="3"/>
    <x v="6"/>
    <x v="6"/>
    <x v="34"/>
    <n v="36"/>
    <x v="1"/>
    <x v="1"/>
    <x v="152"/>
    <x v="152"/>
    <x v="2"/>
    <x v="152"/>
    <n v="5961651"/>
    <x v="4"/>
    <n v="0"/>
  </r>
  <r>
    <x v="153"/>
    <x v="3"/>
    <x v="12"/>
    <x v="12"/>
    <x v="10"/>
    <n v="18"/>
    <x v="1"/>
    <x v="0"/>
    <x v="153"/>
    <x v="153"/>
    <x v="0"/>
    <x v="153"/>
    <n v="251794"/>
    <x v="4"/>
    <n v="0"/>
  </r>
  <r>
    <x v="154"/>
    <x v="6"/>
    <x v="21"/>
    <x v="21"/>
    <x v="30"/>
    <n v="14"/>
    <x v="3"/>
    <x v="1"/>
    <x v="154"/>
    <x v="154"/>
    <x v="1"/>
    <x v="154"/>
    <n v="2479106"/>
    <x v="18"/>
    <n v="0"/>
  </r>
  <r>
    <x v="155"/>
    <x v="3"/>
    <x v="9"/>
    <x v="9"/>
    <x v="16"/>
    <n v="11"/>
    <x v="0"/>
    <x v="0"/>
    <x v="155"/>
    <x v="155"/>
    <x v="1"/>
    <x v="155"/>
    <n v="1691122"/>
    <x v="4"/>
    <n v="0"/>
  </r>
  <r>
    <x v="156"/>
    <x v="2"/>
    <x v="1"/>
    <x v="1"/>
    <x v="10"/>
    <n v="18"/>
    <x v="2"/>
    <x v="1"/>
    <x v="156"/>
    <x v="156"/>
    <x v="1"/>
    <x v="156"/>
    <n v="2301157"/>
    <x v="13"/>
    <n v="0"/>
  </r>
  <r>
    <x v="157"/>
    <x v="0"/>
    <x v="12"/>
    <x v="12"/>
    <x v="37"/>
    <n v="55"/>
    <x v="0"/>
    <x v="1"/>
    <x v="157"/>
    <x v="157"/>
    <x v="2"/>
    <x v="157"/>
    <n v="801997"/>
    <x v="9"/>
    <n v="0"/>
  </r>
  <r>
    <x v="158"/>
    <x v="5"/>
    <x v="21"/>
    <x v="21"/>
    <x v="27"/>
    <n v="22"/>
    <x v="1"/>
    <x v="1"/>
    <x v="158"/>
    <x v="158"/>
    <x v="1"/>
    <x v="158"/>
    <n v="6905199"/>
    <x v="15"/>
    <n v="0"/>
  </r>
  <r>
    <x v="159"/>
    <x v="3"/>
    <x v="6"/>
    <x v="6"/>
    <x v="36"/>
    <n v="28"/>
    <x v="0"/>
    <x v="1"/>
    <x v="159"/>
    <x v="159"/>
    <x v="1"/>
    <x v="159"/>
    <n v="4313273"/>
    <x v="10"/>
    <n v="0"/>
  </r>
  <r>
    <x v="160"/>
    <x v="6"/>
    <x v="15"/>
    <x v="15"/>
    <x v="9"/>
    <n v="15"/>
    <x v="1"/>
    <x v="1"/>
    <x v="160"/>
    <x v="160"/>
    <x v="1"/>
    <x v="160"/>
    <n v="5834484"/>
    <x v="18"/>
    <n v="0"/>
  </r>
  <r>
    <x v="161"/>
    <x v="2"/>
    <x v="20"/>
    <x v="20"/>
    <x v="28"/>
    <n v="21"/>
    <x v="3"/>
    <x v="1"/>
    <x v="161"/>
    <x v="161"/>
    <x v="1"/>
    <x v="161"/>
    <n v="6551097"/>
    <x v="2"/>
    <n v="0"/>
  </r>
  <r>
    <x v="162"/>
    <x v="4"/>
    <x v="1"/>
    <x v="1"/>
    <x v="34"/>
    <n v="36"/>
    <x v="3"/>
    <x v="1"/>
    <x v="162"/>
    <x v="162"/>
    <x v="1"/>
    <x v="162"/>
    <n v="9738603"/>
    <x v="7"/>
    <n v="0"/>
  </r>
  <r>
    <x v="163"/>
    <x v="0"/>
    <x v="10"/>
    <x v="10"/>
    <x v="6"/>
    <n v="40"/>
    <x v="3"/>
    <x v="0"/>
    <x v="163"/>
    <x v="163"/>
    <x v="0"/>
    <x v="163"/>
    <n v="1148526"/>
    <x v="3"/>
    <n v="0"/>
  </r>
  <r>
    <x v="164"/>
    <x v="0"/>
    <x v="2"/>
    <x v="2"/>
    <x v="27"/>
    <n v="22"/>
    <x v="1"/>
    <x v="0"/>
    <x v="164"/>
    <x v="164"/>
    <x v="1"/>
    <x v="164"/>
    <n v="4470218"/>
    <x v="9"/>
    <n v="0"/>
  </r>
  <r>
    <x v="165"/>
    <x v="5"/>
    <x v="21"/>
    <x v="21"/>
    <x v="29"/>
    <n v="13"/>
    <x v="0"/>
    <x v="0"/>
    <x v="165"/>
    <x v="165"/>
    <x v="0"/>
    <x v="165"/>
    <n v="283603"/>
    <x v="16"/>
    <n v="0"/>
  </r>
  <r>
    <x v="166"/>
    <x v="0"/>
    <x v="16"/>
    <x v="16"/>
    <x v="15"/>
    <n v="30"/>
    <x v="0"/>
    <x v="0"/>
    <x v="166"/>
    <x v="166"/>
    <x v="1"/>
    <x v="166"/>
    <n v="5028763"/>
    <x v="3"/>
    <n v="0"/>
  </r>
  <r>
    <x v="167"/>
    <x v="3"/>
    <x v="6"/>
    <x v="6"/>
    <x v="27"/>
    <n v="22"/>
    <x v="2"/>
    <x v="1"/>
    <x v="167"/>
    <x v="167"/>
    <x v="0"/>
    <x v="167"/>
    <n v="9244487"/>
    <x v="8"/>
    <n v="0"/>
  </r>
  <r>
    <x v="168"/>
    <x v="6"/>
    <x v="5"/>
    <x v="5"/>
    <x v="28"/>
    <n v="21"/>
    <x v="1"/>
    <x v="1"/>
    <x v="168"/>
    <x v="168"/>
    <x v="1"/>
    <x v="168"/>
    <n v="7377851"/>
    <x v="21"/>
    <n v="0"/>
  </r>
  <r>
    <x v="169"/>
    <x v="0"/>
    <x v="2"/>
    <x v="2"/>
    <x v="18"/>
    <n v="58"/>
    <x v="2"/>
    <x v="1"/>
    <x v="169"/>
    <x v="169"/>
    <x v="1"/>
    <x v="169"/>
    <n v="6788521"/>
    <x v="3"/>
    <n v="0"/>
  </r>
  <r>
    <x v="170"/>
    <x v="0"/>
    <x v="12"/>
    <x v="12"/>
    <x v="3"/>
    <n v="41"/>
    <x v="3"/>
    <x v="0"/>
    <x v="170"/>
    <x v="170"/>
    <x v="1"/>
    <x v="170"/>
    <n v="4691836"/>
    <x v="23"/>
    <n v="0"/>
  </r>
  <r>
    <x v="171"/>
    <x v="4"/>
    <x v="23"/>
    <x v="23"/>
    <x v="45"/>
    <n v="38"/>
    <x v="0"/>
    <x v="0"/>
    <x v="171"/>
    <x v="171"/>
    <x v="1"/>
    <x v="171"/>
    <n v="6875569"/>
    <x v="17"/>
    <n v="0"/>
  </r>
  <r>
    <x v="172"/>
    <x v="4"/>
    <x v="17"/>
    <x v="17"/>
    <x v="40"/>
    <n v="31"/>
    <x v="1"/>
    <x v="0"/>
    <x v="172"/>
    <x v="172"/>
    <x v="2"/>
    <x v="172"/>
    <n v="807566"/>
    <x v="17"/>
    <n v="0"/>
  </r>
  <r>
    <x v="173"/>
    <x v="1"/>
    <x v="16"/>
    <x v="16"/>
    <x v="40"/>
    <n v="31"/>
    <x v="2"/>
    <x v="1"/>
    <x v="173"/>
    <x v="173"/>
    <x v="1"/>
    <x v="173"/>
    <n v="6069267"/>
    <x v="11"/>
    <n v="0"/>
  </r>
  <r>
    <x v="174"/>
    <x v="2"/>
    <x v="4"/>
    <x v="4"/>
    <x v="33"/>
    <n v="37"/>
    <x v="2"/>
    <x v="0"/>
    <x v="174"/>
    <x v="174"/>
    <x v="0"/>
    <x v="174"/>
    <n v="5760877"/>
    <x v="13"/>
    <n v="0"/>
  </r>
  <r>
    <x v="175"/>
    <x v="3"/>
    <x v="21"/>
    <x v="21"/>
    <x v="2"/>
    <n v="45"/>
    <x v="2"/>
    <x v="1"/>
    <x v="175"/>
    <x v="175"/>
    <x v="2"/>
    <x v="175"/>
    <n v="3793084"/>
    <x v="10"/>
    <n v="0"/>
  </r>
  <r>
    <x v="176"/>
    <x v="0"/>
    <x v="7"/>
    <x v="7"/>
    <x v="2"/>
    <n v="45"/>
    <x v="0"/>
    <x v="0"/>
    <x v="176"/>
    <x v="176"/>
    <x v="2"/>
    <x v="176"/>
    <n v="2414384"/>
    <x v="9"/>
    <n v="0"/>
  </r>
  <r>
    <x v="177"/>
    <x v="0"/>
    <x v="10"/>
    <x v="10"/>
    <x v="20"/>
    <n v="19"/>
    <x v="0"/>
    <x v="1"/>
    <x v="177"/>
    <x v="177"/>
    <x v="1"/>
    <x v="177"/>
    <n v="8171778"/>
    <x v="23"/>
    <n v="0"/>
  </r>
  <r>
    <x v="178"/>
    <x v="6"/>
    <x v="0"/>
    <x v="0"/>
    <x v="42"/>
    <n v="35"/>
    <x v="0"/>
    <x v="0"/>
    <x v="178"/>
    <x v="178"/>
    <x v="0"/>
    <x v="178"/>
    <n v="101169"/>
    <x v="24"/>
    <n v="0"/>
  </r>
  <r>
    <x v="179"/>
    <x v="1"/>
    <x v="15"/>
    <x v="15"/>
    <x v="40"/>
    <n v="31"/>
    <x v="1"/>
    <x v="1"/>
    <x v="179"/>
    <x v="179"/>
    <x v="0"/>
    <x v="179"/>
    <n v="1161892"/>
    <x v="14"/>
    <n v="0"/>
  </r>
  <r>
    <x v="180"/>
    <x v="2"/>
    <x v="21"/>
    <x v="21"/>
    <x v="12"/>
    <n v="54"/>
    <x v="0"/>
    <x v="0"/>
    <x v="180"/>
    <x v="180"/>
    <x v="2"/>
    <x v="180"/>
    <n v="4684957"/>
    <x v="5"/>
    <n v="0"/>
  </r>
  <r>
    <x v="181"/>
    <x v="1"/>
    <x v="9"/>
    <x v="9"/>
    <x v="26"/>
    <n v="42"/>
    <x v="1"/>
    <x v="0"/>
    <x v="181"/>
    <x v="181"/>
    <x v="0"/>
    <x v="181"/>
    <n v="2899268"/>
    <x v="1"/>
    <n v="0"/>
  </r>
  <r>
    <x v="182"/>
    <x v="5"/>
    <x v="11"/>
    <x v="11"/>
    <x v="33"/>
    <n v="37"/>
    <x v="2"/>
    <x v="1"/>
    <x v="182"/>
    <x v="182"/>
    <x v="1"/>
    <x v="182"/>
    <n v="7581798"/>
    <x v="12"/>
    <n v="0"/>
  </r>
  <r>
    <x v="183"/>
    <x v="2"/>
    <x v="3"/>
    <x v="3"/>
    <x v="44"/>
    <n v="16"/>
    <x v="2"/>
    <x v="1"/>
    <x v="183"/>
    <x v="183"/>
    <x v="1"/>
    <x v="183"/>
    <n v="6524806"/>
    <x v="5"/>
    <n v="0"/>
  </r>
  <r>
    <x v="184"/>
    <x v="0"/>
    <x v="4"/>
    <x v="4"/>
    <x v="6"/>
    <n v="40"/>
    <x v="3"/>
    <x v="0"/>
    <x v="184"/>
    <x v="184"/>
    <x v="1"/>
    <x v="184"/>
    <n v="7839081"/>
    <x v="3"/>
    <n v="0"/>
  </r>
  <r>
    <x v="185"/>
    <x v="0"/>
    <x v="11"/>
    <x v="11"/>
    <x v="44"/>
    <n v="16"/>
    <x v="0"/>
    <x v="1"/>
    <x v="185"/>
    <x v="185"/>
    <x v="1"/>
    <x v="185"/>
    <n v="358445"/>
    <x v="0"/>
    <n v="0"/>
  </r>
  <r>
    <x v="186"/>
    <x v="2"/>
    <x v="15"/>
    <x v="15"/>
    <x v="46"/>
    <n v="27"/>
    <x v="2"/>
    <x v="0"/>
    <x v="186"/>
    <x v="186"/>
    <x v="1"/>
    <x v="186"/>
    <n v="753493"/>
    <x v="2"/>
    <n v="0"/>
  </r>
  <r>
    <x v="187"/>
    <x v="0"/>
    <x v="11"/>
    <x v="11"/>
    <x v="47"/>
    <n v="17"/>
    <x v="0"/>
    <x v="1"/>
    <x v="187"/>
    <x v="187"/>
    <x v="2"/>
    <x v="187"/>
    <n v="8691881"/>
    <x v="3"/>
    <n v="0"/>
  </r>
  <r>
    <x v="188"/>
    <x v="3"/>
    <x v="8"/>
    <x v="8"/>
    <x v="2"/>
    <n v="45"/>
    <x v="1"/>
    <x v="0"/>
    <x v="188"/>
    <x v="188"/>
    <x v="1"/>
    <x v="188"/>
    <n v="3780108"/>
    <x v="10"/>
    <n v="0"/>
  </r>
  <r>
    <x v="189"/>
    <x v="2"/>
    <x v="0"/>
    <x v="0"/>
    <x v="13"/>
    <n v="20"/>
    <x v="2"/>
    <x v="1"/>
    <x v="189"/>
    <x v="189"/>
    <x v="1"/>
    <x v="189"/>
    <n v="372901"/>
    <x v="6"/>
    <n v="0"/>
  </r>
  <r>
    <x v="190"/>
    <x v="1"/>
    <x v="4"/>
    <x v="4"/>
    <x v="15"/>
    <n v="30"/>
    <x v="0"/>
    <x v="0"/>
    <x v="190"/>
    <x v="190"/>
    <x v="2"/>
    <x v="190"/>
    <n v="9049538"/>
    <x v="11"/>
    <n v="0"/>
  </r>
  <r>
    <x v="191"/>
    <x v="2"/>
    <x v="4"/>
    <x v="4"/>
    <x v="37"/>
    <n v="55"/>
    <x v="2"/>
    <x v="0"/>
    <x v="191"/>
    <x v="191"/>
    <x v="2"/>
    <x v="191"/>
    <n v="973007"/>
    <x v="6"/>
    <n v="0"/>
  </r>
  <r>
    <x v="192"/>
    <x v="0"/>
    <x v="8"/>
    <x v="8"/>
    <x v="13"/>
    <n v="20"/>
    <x v="2"/>
    <x v="0"/>
    <x v="192"/>
    <x v="192"/>
    <x v="2"/>
    <x v="192"/>
    <n v="3826799"/>
    <x v="0"/>
    <n v="0"/>
  </r>
  <r>
    <x v="193"/>
    <x v="3"/>
    <x v="21"/>
    <x v="21"/>
    <x v="42"/>
    <n v="35"/>
    <x v="0"/>
    <x v="1"/>
    <x v="193"/>
    <x v="193"/>
    <x v="0"/>
    <x v="193"/>
    <n v="1627389"/>
    <x v="10"/>
    <n v="0"/>
  </r>
  <r>
    <x v="194"/>
    <x v="3"/>
    <x v="5"/>
    <x v="5"/>
    <x v="40"/>
    <n v="31"/>
    <x v="2"/>
    <x v="0"/>
    <x v="194"/>
    <x v="194"/>
    <x v="0"/>
    <x v="194"/>
    <n v="775316"/>
    <x v="10"/>
    <n v="0"/>
  </r>
  <r>
    <x v="195"/>
    <x v="5"/>
    <x v="21"/>
    <x v="21"/>
    <x v="16"/>
    <n v="11"/>
    <x v="2"/>
    <x v="1"/>
    <x v="195"/>
    <x v="195"/>
    <x v="1"/>
    <x v="195"/>
    <n v="1572259"/>
    <x v="12"/>
    <n v="0"/>
  </r>
  <r>
    <x v="196"/>
    <x v="1"/>
    <x v="20"/>
    <x v="20"/>
    <x v="31"/>
    <n v="50"/>
    <x v="2"/>
    <x v="1"/>
    <x v="196"/>
    <x v="196"/>
    <x v="1"/>
    <x v="196"/>
    <n v="4596835"/>
    <x v="11"/>
    <n v="0"/>
  </r>
  <r>
    <x v="197"/>
    <x v="4"/>
    <x v="11"/>
    <x v="11"/>
    <x v="29"/>
    <n v="13"/>
    <x v="2"/>
    <x v="1"/>
    <x v="197"/>
    <x v="197"/>
    <x v="1"/>
    <x v="197"/>
    <n v="7026083"/>
    <x v="19"/>
    <n v="0"/>
  </r>
  <r>
    <x v="198"/>
    <x v="4"/>
    <x v="20"/>
    <x v="20"/>
    <x v="48"/>
    <n v="34"/>
    <x v="1"/>
    <x v="0"/>
    <x v="198"/>
    <x v="198"/>
    <x v="0"/>
    <x v="198"/>
    <n v="3248183"/>
    <x v="17"/>
    <n v="0"/>
  </r>
  <r>
    <x v="199"/>
    <x v="2"/>
    <x v="18"/>
    <x v="18"/>
    <x v="45"/>
    <n v="38"/>
    <x v="2"/>
    <x v="1"/>
    <x v="199"/>
    <x v="199"/>
    <x v="1"/>
    <x v="199"/>
    <n v="8571915"/>
    <x v="6"/>
    <n v="0"/>
  </r>
  <r>
    <x v="200"/>
    <x v="5"/>
    <x v="3"/>
    <x v="3"/>
    <x v="3"/>
    <n v="41"/>
    <x v="3"/>
    <x v="1"/>
    <x v="200"/>
    <x v="200"/>
    <x v="1"/>
    <x v="200"/>
    <n v="4657348"/>
    <x v="12"/>
    <n v="0"/>
  </r>
  <r>
    <x v="201"/>
    <x v="6"/>
    <x v="8"/>
    <x v="8"/>
    <x v="1"/>
    <n v="44"/>
    <x v="2"/>
    <x v="1"/>
    <x v="201"/>
    <x v="201"/>
    <x v="0"/>
    <x v="201"/>
    <n v="9698166"/>
    <x v="24"/>
    <n v="0"/>
  </r>
  <r>
    <x v="202"/>
    <x v="2"/>
    <x v="15"/>
    <x v="15"/>
    <x v="0"/>
    <n v="23"/>
    <x v="0"/>
    <x v="0"/>
    <x v="202"/>
    <x v="202"/>
    <x v="2"/>
    <x v="202"/>
    <n v="9564479"/>
    <x v="13"/>
    <n v="0"/>
  </r>
  <r>
    <x v="203"/>
    <x v="5"/>
    <x v="4"/>
    <x v="4"/>
    <x v="22"/>
    <n v="10"/>
    <x v="3"/>
    <x v="1"/>
    <x v="203"/>
    <x v="203"/>
    <x v="0"/>
    <x v="203"/>
    <n v="7846124"/>
    <x v="20"/>
    <n v="0"/>
  </r>
  <r>
    <x v="204"/>
    <x v="1"/>
    <x v="12"/>
    <x v="12"/>
    <x v="25"/>
    <n v="46"/>
    <x v="1"/>
    <x v="1"/>
    <x v="204"/>
    <x v="204"/>
    <x v="1"/>
    <x v="204"/>
    <n v="9357852"/>
    <x v="25"/>
    <n v="0"/>
  </r>
  <r>
    <x v="205"/>
    <x v="1"/>
    <x v="15"/>
    <x v="15"/>
    <x v="33"/>
    <n v="37"/>
    <x v="3"/>
    <x v="1"/>
    <x v="205"/>
    <x v="205"/>
    <x v="0"/>
    <x v="205"/>
    <n v="7217413"/>
    <x v="11"/>
    <n v="0"/>
  </r>
  <r>
    <x v="206"/>
    <x v="1"/>
    <x v="13"/>
    <x v="13"/>
    <x v="19"/>
    <n v="52"/>
    <x v="3"/>
    <x v="1"/>
    <x v="206"/>
    <x v="206"/>
    <x v="2"/>
    <x v="206"/>
    <n v="900804"/>
    <x v="11"/>
    <n v="0"/>
  </r>
  <r>
    <x v="207"/>
    <x v="1"/>
    <x v="20"/>
    <x v="20"/>
    <x v="32"/>
    <n v="51"/>
    <x v="3"/>
    <x v="0"/>
    <x v="207"/>
    <x v="207"/>
    <x v="2"/>
    <x v="207"/>
    <n v="274650"/>
    <x v="25"/>
    <n v="0"/>
  </r>
  <r>
    <x v="208"/>
    <x v="1"/>
    <x v="20"/>
    <x v="20"/>
    <x v="19"/>
    <n v="52"/>
    <x v="0"/>
    <x v="0"/>
    <x v="208"/>
    <x v="208"/>
    <x v="2"/>
    <x v="208"/>
    <n v="3781492"/>
    <x v="14"/>
    <n v="0"/>
  </r>
  <r>
    <x v="209"/>
    <x v="5"/>
    <x v="6"/>
    <x v="6"/>
    <x v="48"/>
    <n v="34"/>
    <x v="0"/>
    <x v="1"/>
    <x v="209"/>
    <x v="209"/>
    <x v="2"/>
    <x v="209"/>
    <n v="7652836"/>
    <x v="15"/>
    <n v="0"/>
  </r>
  <r>
    <x v="210"/>
    <x v="5"/>
    <x v="20"/>
    <x v="20"/>
    <x v="46"/>
    <n v="27"/>
    <x v="0"/>
    <x v="1"/>
    <x v="210"/>
    <x v="210"/>
    <x v="2"/>
    <x v="210"/>
    <n v="4533332"/>
    <x v="16"/>
    <n v="0"/>
  </r>
  <r>
    <x v="211"/>
    <x v="3"/>
    <x v="22"/>
    <x v="22"/>
    <x v="31"/>
    <n v="50"/>
    <x v="1"/>
    <x v="1"/>
    <x v="211"/>
    <x v="211"/>
    <x v="2"/>
    <x v="211"/>
    <n v="8454611"/>
    <x v="27"/>
    <n v="0"/>
  </r>
  <r>
    <x v="212"/>
    <x v="4"/>
    <x v="22"/>
    <x v="22"/>
    <x v="17"/>
    <n v="33"/>
    <x v="0"/>
    <x v="1"/>
    <x v="212"/>
    <x v="212"/>
    <x v="1"/>
    <x v="212"/>
    <n v="8837569"/>
    <x v="22"/>
    <n v="0"/>
  </r>
  <r>
    <x v="213"/>
    <x v="0"/>
    <x v="12"/>
    <x v="12"/>
    <x v="20"/>
    <n v="19"/>
    <x v="0"/>
    <x v="0"/>
    <x v="213"/>
    <x v="213"/>
    <x v="1"/>
    <x v="213"/>
    <n v="334743"/>
    <x v="23"/>
    <n v="0"/>
  </r>
  <r>
    <x v="214"/>
    <x v="1"/>
    <x v="4"/>
    <x v="4"/>
    <x v="7"/>
    <n v="53"/>
    <x v="3"/>
    <x v="0"/>
    <x v="214"/>
    <x v="214"/>
    <x v="0"/>
    <x v="214"/>
    <n v="8322783"/>
    <x v="1"/>
    <n v="0"/>
  </r>
  <r>
    <x v="215"/>
    <x v="6"/>
    <x v="8"/>
    <x v="8"/>
    <x v="12"/>
    <n v="54"/>
    <x v="0"/>
    <x v="0"/>
    <x v="215"/>
    <x v="215"/>
    <x v="1"/>
    <x v="215"/>
    <n v="1965511"/>
    <x v="21"/>
    <n v="0"/>
  </r>
  <r>
    <x v="216"/>
    <x v="0"/>
    <x v="4"/>
    <x v="4"/>
    <x v="17"/>
    <n v="33"/>
    <x v="2"/>
    <x v="0"/>
    <x v="216"/>
    <x v="216"/>
    <x v="2"/>
    <x v="216"/>
    <n v="3674869"/>
    <x v="3"/>
    <n v="0"/>
  </r>
  <r>
    <x v="217"/>
    <x v="5"/>
    <x v="17"/>
    <x v="17"/>
    <x v="30"/>
    <n v="14"/>
    <x v="0"/>
    <x v="1"/>
    <x v="217"/>
    <x v="217"/>
    <x v="1"/>
    <x v="217"/>
    <n v="5420667"/>
    <x v="15"/>
    <n v="0"/>
  </r>
  <r>
    <x v="218"/>
    <x v="6"/>
    <x v="8"/>
    <x v="8"/>
    <x v="35"/>
    <n v="29"/>
    <x v="1"/>
    <x v="1"/>
    <x v="218"/>
    <x v="218"/>
    <x v="0"/>
    <x v="218"/>
    <n v="2651216"/>
    <x v="24"/>
    <n v="0"/>
  </r>
  <r>
    <x v="219"/>
    <x v="6"/>
    <x v="16"/>
    <x v="16"/>
    <x v="31"/>
    <n v="50"/>
    <x v="1"/>
    <x v="0"/>
    <x v="219"/>
    <x v="219"/>
    <x v="2"/>
    <x v="219"/>
    <n v="6003044"/>
    <x v="24"/>
    <n v="0"/>
  </r>
  <r>
    <x v="220"/>
    <x v="6"/>
    <x v="0"/>
    <x v="0"/>
    <x v="37"/>
    <n v="55"/>
    <x v="2"/>
    <x v="0"/>
    <x v="220"/>
    <x v="220"/>
    <x v="1"/>
    <x v="220"/>
    <n v="5997603"/>
    <x v="26"/>
    <n v="0"/>
  </r>
  <r>
    <x v="221"/>
    <x v="3"/>
    <x v="19"/>
    <x v="19"/>
    <x v="13"/>
    <n v="20"/>
    <x v="1"/>
    <x v="1"/>
    <x v="221"/>
    <x v="221"/>
    <x v="1"/>
    <x v="221"/>
    <n v="2465578"/>
    <x v="10"/>
    <n v="0"/>
  </r>
  <r>
    <x v="222"/>
    <x v="5"/>
    <x v="21"/>
    <x v="21"/>
    <x v="29"/>
    <n v="13"/>
    <x v="1"/>
    <x v="1"/>
    <x v="222"/>
    <x v="222"/>
    <x v="0"/>
    <x v="222"/>
    <n v="8058593"/>
    <x v="12"/>
    <n v="0"/>
  </r>
  <r>
    <x v="223"/>
    <x v="6"/>
    <x v="7"/>
    <x v="7"/>
    <x v="12"/>
    <n v="54"/>
    <x v="3"/>
    <x v="1"/>
    <x v="223"/>
    <x v="223"/>
    <x v="2"/>
    <x v="223"/>
    <n v="6500623"/>
    <x v="26"/>
    <n v="0"/>
  </r>
  <r>
    <x v="224"/>
    <x v="1"/>
    <x v="8"/>
    <x v="8"/>
    <x v="35"/>
    <n v="29"/>
    <x v="2"/>
    <x v="1"/>
    <x v="224"/>
    <x v="224"/>
    <x v="0"/>
    <x v="224"/>
    <n v="3518725"/>
    <x v="11"/>
    <n v="0"/>
  </r>
  <r>
    <x v="225"/>
    <x v="2"/>
    <x v="1"/>
    <x v="1"/>
    <x v="33"/>
    <n v="37"/>
    <x v="3"/>
    <x v="1"/>
    <x v="225"/>
    <x v="225"/>
    <x v="2"/>
    <x v="225"/>
    <n v="2705755"/>
    <x v="2"/>
    <n v="0"/>
  </r>
  <r>
    <x v="226"/>
    <x v="6"/>
    <x v="21"/>
    <x v="21"/>
    <x v="18"/>
    <n v="58"/>
    <x v="3"/>
    <x v="0"/>
    <x v="226"/>
    <x v="226"/>
    <x v="2"/>
    <x v="226"/>
    <n v="8848126"/>
    <x v="21"/>
    <n v="0"/>
  </r>
  <r>
    <x v="227"/>
    <x v="3"/>
    <x v="11"/>
    <x v="11"/>
    <x v="29"/>
    <n v="13"/>
    <x v="0"/>
    <x v="0"/>
    <x v="227"/>
    <x v="227"/>
    <x v="1"/>
    <x v="227"/>
    <n v="8439551"/>
    <x v="10"/>
    <n v="0"/>
  </r>
  <r>
    <x v="228"/>
    <x v="0"/>
    <x v="4"/>
    <x v="4"/>
    <x v="26"/>
    <n v="42"/>
    <x v="2"/>
    <x v="1"/>
    <x v="228"/>
    <x v="228"/>
    <x v="0"/>
    <x v="228"/>
    <n v="2682726"/>
    <x v="3"/>
    <n v="0"/>
  </r>
  <r>
    <x v="229"/>
    <x v="5"/>
    <x v="7"/>
    <x v="7"/>
    <x v="30"/>
    <n v="14"/>
    <x v="0"/>
    <x v="1"/>
    <x v="229"/>
    <x v="229"/>
    <x v="0"/>
    <x v="229"/>
    <n v="83825"/>
    <x v="20"/>
    <n v="0"/>
  </r>
  <r>
    <x v="230"/>
    <x v="3"/>
    <x v="1"/>
    <x v="1"/>
    <x v="35"/>
    <n v="29"/>
    <x v="0"/>
    <x v="0"/>
    <x v="230"/>
    <x v="230"/>
    <x v="0"/>
    <x v="230"/>
    <n v="814306"/>
    <x v="8"/>
    <n v="0"/>
  </r>
  <r>
    <x v="231"/>
    <x v="6"/>
    <x v="21"/>
    <x v="21"/>
    <x v="31"/>
    <n v="50"/>
    <x v="3"/>
    <x v="1"/>
    <x v="231"/>
    <x v="231"/>
    <x v="2"/>
    <x v="231"/>
    <n v="6347331"/>
    <x v="21"/>
    <n v="0"/>
  </r>
  <r>
    <x v="232"/>
    <x v="5"/>
    <x v="4"/>
    <x v="4"/>
    <x v="23"/>
    <n v="32"/>
    <x v="1"/>
    <x v="0"/>
    <x v="232"/>
    <x v="232"/>
    <x v="0"/>
    <x v="232"/>
    <n v="1458379"/>
    <x v="15"/>
    <n v="0"/>
  </r>
  <r>
    <x v="233"/>
    <x v="2"/>
    <x v="18"/>
    <x v="18"/>
    <x v="49"/>
    <n v="60"/>
    <x v="2"/>
    <x v="0"/>
    <x v="233"/>
    <x v="233"/>
    <x v="2"/>
    <x v="233"/>
    <n v="6079903"/>
    <x v="13"/>
    <n v="0"/>
  </r>
  <r>
    <x v="234"/>
    <x v="6"/>
    <x v="13"/>
    <x v="13"/>
    <x v="45"/>
    <n v="38"/>
    <x v="1"/>
    <x v="0"/>
    <x v="234"/>
    <x v="234"/>
    <x v="0"/>
    <x v="234"/>
    <n v="4795736"/>
    <x v="18"/>
    <n v="0"/>
  </r>
  <r>
    <x v="235"/>
    <x v="3"/>
    <x v="7"/>
    <x v="7"/>
    <x v="4"/>
    <n v="26"/>
    <x v="3"/>
    <x v="0"/>
    <x v="235"/>
    <x v="235"/>
    <x v="0"/>
    <x v="235"/>
    <n v="7858228"/>
    <x v="27"/>
    <n v="0"/>
  </r>
  <r>
    <x v="236"/>
    <x v="4"/>
    <x v="19"/>
    <x v="19"/>
    <x v="28"/>
    <n v="21"/>
    <x v="3"/>
    <x v="1"/>
    <x v="236"/>
    <x v="236"/>
    <x v="1"/>
    <x v="236"/>
    <n v="2486306"/>
    <x v="22"/>
    <n v="0"/>
  </r>
  <r>
    <x v="237"/>
    <x v="1"/>
    <x v="12"/>
    <x v="12"/>
    <x v="36"/>
    <n v="28"/>
    <x v="3"/>
    <x v="1"/>
    <x v="237"/>
    <x v="237"/>
    <x v="0"/>
    <x v="237"/>
    <n v="4804989"/>
    <x v="11"/>
    <n v="0"/>
  </r>
  <r>
    <x v="238"/>
    <x v="0"/>
    <x v="0"/>
    <x v="0"/>
    <x v="35"/>
    <n v="29"/>
    <x v="3"/>
    <x v="0"/>
    <x v="238"/>
    <x v="238"/>
    <x v="1"/>
    <x v="238"/>
    <n v="1984319"/>
    <x v="0"/>
    <n v="0"/>
  </r>
  <r>
    <x v="239"/>
    <x v="3"/>
    <x v="23"/>
    <x v="23"/>
    <x v="29"/>
    <n v="13"/>
    <x v="3"/>
    <x v="1"/>
    <x v="239"/>
    <x v="239"/>
    <x v="1"/>
    <x v="239"/>
    <n v="9596509"/>
    <x v="10"/>
    <n v="0"/>
  </r>
  <r>
    <x v="240"/>
    <x v="5"/>
    <x v="3"/>
    <x v="3"/>
    <x v="36"/>
    <n v="28"/>
    <x v="3"/>
    <x v="1"/>
    <x v="240"/>
    <x v="240"/>
    <x v="2"/>
    <x v="240"/>
    <n v="7898012"/>
    <x v="12"/>
    <n v="0"/>
  </r>
  <r>
    <x v="241"/>
    <x v="6"/>
    <x v="10"/>
    <x v="10"/>
    <x v="17"/>
    <n v="33"/>
    <x v="1"/>
    <x v="1"/>
    <x v="241"/>
    <x v="241"/>
    <x v="0"/>
    <x v="241"/>
    <n v="7498863"/>
    <x v="21"/>
    <n v="0"/>
  </r>
  <r>
    <x v="242"/>
    <x v="1"/>
    <x v="18"/>
    <x v="18"/>
    <x v="25"/>
    <n v="46"/>
    <x v="0"/>
    <x v="1"/>
    <x v="242"/>
    <x v="242"/>
    <x v="0"/>
    <x v="242"/>
    <n v="7056963"/>
    <x v="25"/>
    <n v="0"/>
  </r>
  <r>
    <x v="243"/>
    <x v="6"/>
    <x v="13"/>
    <x v="13"/>
    <x v="38"/>
    <n v="43"/>
    <x v="1"/>
    <x v="0"/>
    <x v="243"/>
    <x v="243"/>
    <x v="0"/>
    <x v="243"/>
    <n v="4521696"/>
    <x v="24"/>
    <n v="0"/>
  </r>
  <r>
    <x v="244"/>
    <x v="5"/>
    <x v="6"/>
    <x v="6"/>
    <x v="2"/>
    <n v="45"/>
    <x v="2"/>
    <x v="1"/>
    <x v="244"/>
    <x v="244"/>
    <x v="1"/>
    <x v="244"/>
    <n v="9271183"/>
    <x v="15"/>
    <n v="0"/>
  </r>
  <r>
    <x v="245"/>
    <x v="6"/>
    <x v="0"/>
    <x v="0"/>
    <x v="22"/>
    <n v="10"/>
    <x v="1"/>
    <x v="0"/>
    <x v="245"/>
    <x v="245"/>
    <x v="0"/>
    <x v="245"/>
    <n v="1192712"/>
    <x v="26"/>
    <n v="0"/>
  </r>
  <r>
    <x v="246"/>
    <x v="4"/>
    <x v="20"/>
    <x v="20"/>
    <x v="28"/>
    <n v="21"/>
    <x v="3"/>
    <x v="0"/>
    <x v="246"/>
    <x v="246"/>
    <x v="2"/>
    <x v="246"/>
    <n v="8130961"/>
    <x v="7"/>
    <n v="0"/>
  </r>
  <r>
    <x v="247"/>
    <x v="1"/>
    <x v="16"/>
    <x v="16"/>
    <x v="38"/>
    <n v="43"/>
    <x v="1"/>
    <x v="1"/>
    <x v="247"/>
    <x v="247"/>
    <x v="2"/>
    <x v="247"/>
    <n v="2544711"/>
    <x v="25"/>
    <n v="0"/>
  </r>
  <r>
    <x v="248"/>
    <x v="1"/>
    <x v="19"/>
    <x v="19"/>
    <x v="48"/>
    <n v="34"/>
    <x v="0"/>
    <x v="0"/>
    <x v="248"/>
    <x v="248"/>
    <x v="0"/>
    <x v="248"/>
    <n v="3578266"/>
    <x v="11"/>
    <n v="0"/>
  </r>
  <r>
    <x v="249"/>
    <x v="5"/>
    <x v="12"/>
    <x v="12"/>
    <x v="22"/>
    <n v="10"/>
    <x v="2"/>
    <x v="1"/>
    <x v="249"/>
    <x v="249"/>
    <x v="1"/>
    <x v="249"/>
    <n v="5434582"/>
    <x v="12"/>
    <n v="0"/>
  </r>
  <r>
    <x v="250"/>
    <x v="0"/>
    <x v="23"/>
    <x v="23"/>
    <x v="31"/>
    <n v="50"/>
    <x v="1"/>
    <x v="1"/>
    <x v="250"/>
    <x v="250"/>
    <x v="2"/>
    <x v="250"/>
    <n v="7935223"/>
    <x v="23"/>
    <n v="0"/>
  </r>
  <r>
    <x v="251"/>
    <x v="4"/>
    <x v="11"/>
    <x v="11"/>
    <x v="39"/>
    <n v="49"/>
    <x v="0"/>
    <x v="0"/>
    <x v="251"/>
    <x v="251"/>
    <x v="2"/>
    <x v="251"/>
    <n v="8466082"/>
    <x v="17"/>
    <n v="0"/>
  </r>
  <r>
    <x v="252"/>
    <x v="3"/>
    <x v="9"/>
    <x v="9"/>
    <x v="33"/>
    <n v="37"/>
    <x v="1"/>
    <x v="1"/>
    <x v="252"/>
    <x v="252"/>
    <x v="1"/>
    <x v="252"/>
    <n v="6045456"/>
    <x v="8"/>
    <n v="0"/>
  </r>
  <r>
    <x v="253"/>
    <x v="6"/>
    <x v="4"/>
    <x v="4"/>
    <x v="29"/>
    <n v="13"/>
    <x v="2"/>
    <x v="0"/>
    <x v="253"/>
    <x v="253"/>
    <x v="2"/>
    <x v="253"/>
    <n v="4328837"/>
    <x v="18"/>
    <n v="0"/>
  </r>
  <r>
    <x v="254"/>
    <x v="2"/>
    <x v="22"/>
    <x v="22"/>
    <x v="43"/>
    <n v="48"/>
    <x v="1"/>
    <x v="0"/>
    <x v="254"/>
    <x v="254"/>
    <x v="1"/>
    <x v="254"/>
    <n v="9491773"/>
    <x v="6"/>
    <n v="0"/>
  </r>
  <r>
    <x v="255"/>
    <x v="6"/>
    <x v="2"/>
    <x v="2"/>
    <x v="14"/>
    <n v="39"/>
    <x v="3"/>
    <x v="1"/>
    <x v="255"/>
    <x v="255"/>
    <x v="2"/>
    <x v="255"/>
    <n v="2841952"/>
    <x v="18"/>
    <n v="0"/>
  </r>
  <r>
    <x v="256"/>
    <x v="6"/>
    <x v="15"/>
    <x v="15"/>
    <x v="39"/>
    <n v="49"/>
    <x v="1"/>
    <x v="1"/>
    <x v="256"/>
    <x v="256"/>
    <x v="1"/>
    <x v="256"/>
    <n v="8129398"/>
    <x v="18"/>
    <n v="0"/>
  </r>
  <r>
    <x v="257"/>
    <x v="3"/>
    <x v="10"/>
    <x v="10"/>
    <x v="43"/>
    <n v="48"/>
    <x v="0"/>
    <x v="1"/>
    <x v="257"/>
    <x v="257"/>
    <x v="2"/>
    <x v="257"/>
    <n v="6314471"/>
    <x v="27"/>
    <n v="0"/>
  </r>
  <r>
    <x v="258"/>
    <x v="6"/>
    <x v="23"/>
    <x v="23"/>
    <x v="31"/>
    <n v="50"/>
    <x v="1"/>
    <x v="0"/>
    <x v="258"/>
    <x v="258"/>
    <x v="0"/>
    <x v="258"/>
    <n v="4080503"/>
    <x v="18"/>
    <n v="0"/>
  </r>
  <r>
    <x v="259"/>
    <x v="4"/>
    <x v="11"/>
    <x v="11"/>
    <x v="34"/>
    <n v="36"/>
    <x v="0"/>
    <x v="1"/>
    <x v="259"/>
    <x v="259"/>
    <x v="2"/>
    <x v="259"/>
    <n v="512996"/>
    <x v="7"/>
    <n v="0"/>
  </r>
  <r>
    <x v="260"/>
    <x v="4"/>
    <x v="6"/>
    <x v="6"/>
    <x v="47"/>
    <n v="17"/>
    <x v="2"/>
    <x v="0"/>
    <x v="260"/>
    <x v="260"/>
    <x v="2"/>
    <x v="260"/>
    <n v="4742693"/>
    <x v="22"/>
    <n v="0"/>
  </r>
  <r>
    <x v="261"/>
    <x v="1"/>
    <x v="7"/>
    <x v="7"/>
    <x v="1"/>
    <n v="44"/>
    <x v="1"/>
    <x v="0"/>
    <x v="261"/>
    <x v="261"/>
    <x v="0"/>
    <x v="261"/>
    <n v="312884"/>
    <x v="11"/>
    <n v="0"/>
  </r>
  <r>
    <x v="262"/>
    <x v="5"/>
    <x v="23"/>
    <x v="23"/>
    <x v="3"/>
    <n v="41"/>
    <x v="2"/>
    <x v="1"/>
    <x v="262"/>
    <x v="262"/>
    <x v="0"/>
    <x v="262"/>
    <n v="1491293"/>
    <x v="16"/>
    <n v="0"/>
  </r>
  <r>
    <x v="263"/>
    <x v="0"/>
    <x v="4"/>
    <x v="4"/>
    <x v="11"/>
    <n v="47"/>
    <x v="2"/>
    <x v="1"/>
    <x v="263"/>
    <x v="263"/>
    <x v="0"/>
    <x v="263"/>
    <n v="1214006"/>
    <x v="9"/>
    <n v="0"/>
  </r>
  <r>
    <x v="264"/>
    <x v="2"/>
    <x v="20"/>
    <x v="20"/>
    <x v="10"/>
    <n v="18"/>
    <x v="1"/>
    <x v="1"/>
    <x v="264"/>
    <x v="264"/>
    <x v="0"/>
    <x v="264"/>
    <n v="3801804"/>
    <x v="13"/>
    <n v="0"/>
  </r>
  <r>
    <x v="265"/>
    <x v="6"/>
    <x v="11"/>
    <x v="11"/>
    <x v="13"/>
    <n v="20"/>
    <x v="0"/>
    <x v="0"/>
    <x v="265"/>
    <x v="265"/>
    <x v="1"/>
    <x v="265"/>
    <n v="6340195"/>
    <x v="18"/>
    <n v="0"/>
  </r>
  <r>
    <x v="266"/>
    <x v="6"/>
    <x v="22"/>
    <x v="22"/>
    <x v="37"/>
    <n v="55"/>
    <x v="2"/>
    <x v="1"/>
    <x v="266"/>
    <x v="266"/>
    <x v="1"/>
    <x v="266"/>
    <n v="8456433"/>
    <x v="24"/>
    <n v="0"/>
  </r>
  <r>
    <x v="267"/>
    <x v="3"/>
    <x v="0"/>
    <x v="0"/>
    <x v="11"/>
    <n v="47"/>
    <x v="2"/>
    <x v="0"/>
    <x v="267"/>
    <x v="267"/>
    <x v="2"/>
    <x v="267"/>
    <n v="2243851"/>
    <x v="27"/>
    <n v="0"/>
  </r>
  <r>
    <x v="268"/>
    <x v="5"/>
    <x v="9"/>
    <x v="9"/>
    <x v="37"/>
    <n v="55"/>
    <x v="1"/>
    <x v="1"/>
    <x v="268"/>
    <x v="268"/>
    <x v="2"/>
    <x v="268"/>
    <n v="4534118"/>
    <x v="20"/>
    <n v="0"/>
  </r>
  <r>
    <x v="269"/>
    <x v="4"/>
    <x v="11"/>
    <x v="11"/>
    <x v="43"/>
    <n v="48"/>
    <x v="1"/>
    <x v="1"/>
    <x v="269"/>
    <x v="269"/>
    <x v="2"/>
    <x v="269"/>
    <n v="4223583"/>
    <x v="19"/>
    <n v="0"/>
  </r>
  <r>
    <x v="270"/>
    <x v="2"/>
    <x v="8"/>
    <x v="8"/>
    <x v="6"/>
    <n v="40"/>
    <x v="1"/>
    <x v="0"/>
    <x v="270"/>
    <x v="270"/>
    <x v="1"/>
    <x v="270"/>
    <n v="5377243"/>
    <x v="2"/>
    <n v="0"/>
  </r>
  <r>
    <x v="271"/>
    <x v="1"/>
    <x v="2"/>
    <x v="2"/>
    <x v="38"/>
    <n v="43"/>
    <x v="1"/>
    <x v="0"/>
    <x v="271"/>
    <x v="271"/>
    <x v="2"/>
    <x v="271"/>
    <n v="8191079"/>
    <x v="1"/>
    <n v="0"/>
  </r>
  <r>
    <x v="272"/>
    <x v="4"/>
    <x v="1"/>
    <x v="1"/>
    <x v="12"/>
    <n v="54"/>
    <x v="1"/>
    <x v="1"/>
    <x v="272"/>
    <x v="272"/>
    <x v="2"/>
    <x v="272"/>
    <n v="575963"/>
    <x v="17"/>
    <n v="0"/>
  </r>
  <r>
    <x v="273"/>
    <x v="5"/>
    <x v="21"/>
    <x v="21"/>
    <x v="14"/>
    <n v="39"/>
    <x v="3"/>
    <x v="1"/>
    <x v="273"/>
    <x v="273"/>
    <x v="1"/>
    <x v="273"/>
    <n v="8543222"/>
    <x v="16"/>
    <n v="0"/>
  </r>
  <r>
    <x v="274"/>
    <x v="0"/>
    <x v="14"/>
    <x v="14"/>
    <x v="26"/>
    <n v="42"/>
    <x v="1"/>
    <x v="1"/>
    <x v="274"/>
    <x v="274"/>
    <x v="2"/>
    <x v="274"/>
    <n v="5426242"/>
    <x v="23"/>
    <n v="0"/>
  </r>
  <r>
    <x v="275"/>
    <x v="1"/>
    <x v="4"/>
    <x v="4"/>
    <x v="10"/>
    <n v="18"/>
    <x v="0"/>
    <x v="1"/>
    <x v="275"/>
    <x v="275"/>
    <x v="1"/>
    <x v="275"/>
    <n v="623655"/>
    <x v="1"/>
    <n v="0"/>
  </r>
  <r>
    <x v="276"/>
    <x v="0"/>
    <x v="11"/>
    <x v="11"/>
    <x v="48"/>
    <n v="34"/>
    <x v="2"/>
    <x v="1"/>
    <x v="276"/>
    <x v="276"/>
    <x v="1"/>
    <x v="276"/>
    <n v="4655141"/>
    <x v="0"/>
    <n v="0"/>
  </r>
  <r>
    <x v="277"/>
    <x v="3"/>
    <x v="15"/>
    <x v="15"/>
    <x v="25"/>
    <n v="46"/>
    <x v="0"/>
    <x v="0"/>
    <x v="277"/>
    <x v="277"/>
    <x v="0"/>
    <x v="277"/>
    <n v="8319408"/>
    <x v="10"/>
    <n v="0"/>
  </r>
  <r>
    <x v="278"/>
    <x v="3"/>
    <x v="2"/>
    <x v="2"/>
    <x v="5"/>
    <n v="24"/>
    <x v="0"/>
    <x v="0"/>
    <x v="278"/>
    <x v="278"/>
    <x v="0"/>
    <x v="278"/>
    <n v="9276358"/>
    <x v="8"/>
    <n v="0"/>
  </r>
  <r>
    <x v="279"/>
    <x v="6"/>
    <x v="21"/>
    <x v="21"/>
    <x v="13"/>
    <n v="20"/>
    <x v="3"/>
    <x v="0"/>
    <x v="279"/>
    <x v="279"/>
    <x v="1"/>
    <x v="279"/>
    <n v="6571875"/>
    <x v="21"/>
    <n v="0"/>
  </r>
  <r>
    <x v="280"/>
    <x v="0"/>
    <x v="17"/>
    <x v="17"/>
    <x v="4"/>
    <n v="26"/>
    <x v="1"/>
    <x v="0"/>
    <x v="280"/>
    <x v="280"/>
    <x v="1"/>
    <x v="280"/>
    <n v="8297433"/>
    <x v="0"/>
    <n v="0"/>
  </r>
  <r>
    <x v="281"/>
    <x v="5"/>
    <x v="19"/>
    <x v="19"/>
    <x v="27"/>
    <n v="22"/>
    <x v="2"/>
    <x v="1"/>
    <x v="281"/>
    <x v="281"/>
    <x v="0"/>
    <x v="281"/>
    <n v="1060532"/>
    <x v="16"/>
    <n v="0"/>
  </r>
  <r>
    <x v="282"/>
    <x v="2"/>
    <x v="18"/>
    <x v="18"/>
    <x v="28"/>
    <n v="21"/>
    <x v="0"/>
    <x v="0"/>
    <x v="282"/>
    <x v="282"/>
    <x v="2"/>
    <x v="282"/>
    <n v="9108062"/>
    <x v="5"/>
    <n v="0"/>
  </r>
  <r>
    <x v="283"/>
    <x v="1"/>
    <x v="21"/>
    <x v="21"/>
    <x v="40"/>
    <n v="31"/>
    <x v="1"/>
    <x v="0"/>
    <x v="283"/>
    <x v="283"/>
    <x v="2"/>
    <x v="283"/>
    <n v="2294788"/>
    <x v="1"/>
    <n v="0"/>
  </r>
  <r>
    <x v="284"/>
    <x v="4"/>
    <x v="23"/>
    <x v="23"/>
    <x v="37"/>
    <n v="55"/>
    <x v="1"/>
    <x v="0"/>
    <x v="284"/>
    <x v="284"/>
    <x v="2"/>
    <x v="284"/>
    <n v="2936944"/>
    <x v="17"/>
    <n v="0"/>
  </r>
  <r>
    <x v="285"/>
    <x v="5"/>
    <x v="22"/>
    <x v="22"/>
    <x v="42"/>
    <n v="35"/>
    <x v="3"/>
    <x v="1"/>
    <x v="285"/>
    <x v="285"/>
    <x v="1"/>
    <x v="285"/>
    <n v="1006636"/>
    <x v="12"/>
    <n v="0"/>
  </r>
  <r>
    <x v="286"/>
    <x v="5"/>
    <x v="17"/>
    <x v="17"/>
    <x v="20"/>
    <n v="19"/>
    <x v="3"/>
    <x v="0"/>
    <x v="286"/>
    <x v="286"/>
    <x v="0"/>
    <x v="286"/>
    <n v="9671301"/>
    <x v="12"/>
    <n v="0"/>
  </r>
  <r>
    <x v="287"/>
    <x v="3"/>
    <x v="18"/>
    <x v="18"/>
    <x v="30"/>
    <n v="14"/>
    <x v="3"/>
    <x v="1"/>
    <x v="287"/>
    <x v="287"/>
    <x v="2"/>
    <x v="287"/>
    <n v="8594103"/>
    <x v="10"/>
    <n v="0"/>
  </r>
  <r>
    <x v="288"/>
    <x v="0"/>
    <x v="14"/>
    <x v="14"/>
    <x v="2"/>
    <n v="45"/>
    <x v="2"/>
    <x v="0"/>
    <x v="288"/>
    <x v="288"/>
    <x v="0"/>
    <x v="288"/>
    <n v="9175254"/>
    <x v="23"/>
    <n v="0"/>
  </r>
  <r>
    <x v="289"/>
    <x v="6"/>
    <x v="22"/>
    <x v="22"/>
    <x v="35"/>
    <n v="29"/>
    <x v="0"/>
    <x v="1"/>
    <x v="289"/>
    <x v="289"/>
    <x v="0"/>
    <x v="289"/>
    <n v="8548554"/>
    <x v="18"/>
    <n v="0"/>
  </r>
  <r>
    <x v="290"/>
    <x v="6"/>
    <x v="11"/>
    <x v="11"/>
    <x v="32"/>
    <n v="51"/>
    <x v="3"/>
    <x v="0"/>
    <x v="290"/>
    <x v="290"/>
    <x v="1"/>
    <x v="290"/>
    <n v="505554"/>
    <x v="18"/>
    <n v="0"/>
  </r>
  <r>
    <x v="291"/>
    <x v="1"/>
    <x v="21"/>
    <x v="21"/>
    <x v="38"/>
    <n v="43"/>
    <x v="3"/>
    <x v="1"/>
    <x v="291"/>
    <x v="291"/>
    <x v="2"/>
    <x v="291"/>
    <n v="9278778"/>
    <x v="25"/>
    <n v="0"/>
  </r>
  <r>
    <x v="292"/>
    <x v="3"/>
    <x v="15"/>
    <x v="15"/>
    <x v="31"/>
    <n v="50"/>
    <x v="3"/>
    <x v="0"/>
    <x v="292"/>
    <x v="292"/>
    <x v="0"/>
    <x v="292"/>
    <n v="9709992"/>
    <x v="8"/>
    <n v="0"/>
  </r>
  <r>
    <x v="293"/>
    <x v="5"/>
    <x v="0"/>
    <x v="0"/>
    <x v="5"/>
    <n v="24"/>
    <x v="0"/>
    <x v="1"/>
    <x v="293"/>
    <x v="293"/>
    <x v="1"/>
    <x v="293"/>
    <n v="5274386"/>
    <x v="16"/>
    <n v="0"/>
  </r>
  <r>
    <x v="294"/>
    <x v="2"/>
    <x v="10"/>
    <x v="10"/>
    <x v="2"/>
    <n v="45"/>
    <x v="0"/>
    <x v="1"/>
    <x v="294"/>
    <x v="294"/>
    <x v="1"/>
    <x v="294"/>
    <n v="2168435"/>
    <x v="2"/>
    <n v="0"/>
  </r>
  <r>
    <x v="295"/>
    <x v="3"/>
    <x v="19"/>
    <x v="19"/>
    <x v="0"/>
    <n v="23"/>
    <x v="3"/>
    <x v="0"/>
    <x v="295"/>
    <x v="295"/>
    <x v="1"/>
    <x v="295"/>
    <n v="6756914"/>
    <x v="27"/>
    <n v="0"/>
  </r>
  <r>
    <x v="296"/>
    <x v="1"/>
    <x v="3"/>
    <x v="3"/>
    <x v="8"/>
    <n v="57"/>
    <x v="3"/>
    <x v="1"/>
    <x v="296"/>
    <x v="296"/>
    <x v="2"/>
    <x v="296"/>
    <n v="9766664"/>
    <x v="1"/>
    <n v="0"/>
  </r>
  <r>
    <x v="297"/>
    <x v="1"/>
    <x v="6"/>
    <x v="6"/>
    <x v="26"/>
    <n v="42"/>
    <x v="1"/>
    <x v="1"/>
    <x v="297"/>
    <x v="297"/>
    <x v="2"/>
    <x v="297"/>
    <n v="8785395"/>
    <x v="14"/>
    <n v="0"/>
  </r>
  <r>
    <x v="298"/>
    <x v="3"/>
    <x v="17"/>
    <x v="17"/>
    <x v="4"/>
    <n v="26"/>
    <x v="3"/>
    <x v="0"/>
    <x v="298"/>
    <x v="298"/>
    <x v="1"/>
    <x v="298"/>
    <n v="8687244"/>
    <x v="27"/>
    <n v="0"/>
  </r>
  <r>
    <x v="299"/>
    <x v="1"/>
    <x v="14"/>
    <x v="14"/>
    <x v="0"/>
    <n v="23"/>
    <x v="2"/>
    <x v="0"/>
    <x v="299"/>
    <x v="299"/>
    <x v="2"/>
    <x v="299"/>
    <n v="9371271"/>
    <x v="1"/>
    <n v="0"/>
  </r>
  <r>
    <x v="300"/>
    <x v="3"/>
    <x v="17"/>
    <x v="17"/>
    <x v="13"/>
    <n v="20"/>
    <x v="2"/>
    <x v="1"/>
    <x v="300"/>
    <x v="300"/>
    <x v="2"/>
    <x v="300"/>
    <n v="8992546"/>
    <x v="4"/>
    <n v="0"/>
  </r>
  <r>
    <x v="301"/>
    <x v="4"/>
    <x v="7"/>
    <x v="7"/>
    <x v="2"/>
    <n v="45"/>
    <x v="3"/>
    <x v="0"/>
    <x v="301"/>
    <x v="301"/>
    <x v="0"/>
    <x v="301"/>
    <n v="7874676"/>
    <x v="19"/>
    <n v="0"/>
  </r>
  <r>
    <x v="302"/>
    <x v="3"/>
    <x v="23"/>
    <x v="23"/>
    <x v="28"/>
    <n v="21"/>
    <x v="0"/>
    <x v="0"/>
    <x v="302"/>
    <x v="302"/>
    <x v="1"/>
    <x v="302"/>
    <n v="7323592"/>
    <x v="8"/>
    <n v="0"/>
  </r>
  <r>
    <x v="303"/>
    <x v="0"/>
    <x v="20"/>
    <x v="20"/>
    <x v="6"/>
    <n v="40"/>
    <x v="1"/>
    <x v="0"/>
    <x v="303"/>
    <x v="303"/>
    <x v="1"/>
    <x v="303"/>
    <n v="3015288"/>
    <x v="9"/>
    <n v="0"/>
  </r>
  <r>
    <x v="304"/>
    <x v="3"/>
    <x v="3"/>
    <x v="3"/>
    <x v="0"/>
    <n v="23"/>
    <x v="0"/>
    <x v="1"/>
    <x v="304"/>
    <x v="304"/>
    <x v="2"/>
    <x v="304"/>
    <n v="640273"/>
    <x v="8"/>
    <n v="0"/>
  </r>
  <r>
    <x v="305"/>
    <x v="1"/>
    <x v="23"/>
    <x v="23"/>
    <x v="38"/>
    <n v="43"/>
    <x v="3"/>
    <x v="1"/>
    <x v="305"/>
    <x v="305"/>
    <x v="1"/>
    <x v="305"/>
    <n v="5454142"/>
    <x v="11"/>
    <n v="0"/>
  </r>
  <r>
    <x v="306"/>
    <x v="0"/>
    <x v="20"/>
    <x v="20"/>
    <x v="32"/>
    <n v="51"/>
    <x v="2"/>
    <x v="1"/>
    <x v="306"/>
    <x v="306"/>
    <x v="1"/>
    <x v="306"/>
    <n v="8688469"/>
    <x v="3"/>
    <n v="0"/>
  </r>
  <r>
    <x v="307"/>
    <x v="1"/>
    <x v="14"/>
    <x v="14"/>
    <x v="39"/>
    <n v="49"/>
    <x v="1"/>
    <x v="1"/>
    <x v="307"/>
    <x v="307"/>
    <x v="1"/>
    <x v="307"/>
    <n v="5171269"/>
    <x v="14"/>
    <n v="0"/>
  </r>
  <r>
    <x v="308"/>
    <x v="6"/>
    <x v="10"/>
    <x v="10"/>
    <x v="43"/>
    <n v="48"/>
    <x v="0"/>
    <x v="1"/>
    <x v="308"/>
    <x v="308"/>
    <x v="2"/>
    <x v="308"/>
    <n v="1713556"/>
    <x v="24"/>
    <n v="0"/>
  </r>
  <r>
    <x v="309"/>
    <x v="6"/>
    <x v="13"/>
    <x v="13"/>
    <x v="20"/>
    <n v="19"/>
    <x v="0"/>
    <x v="1"/>
    <x v="309"/>
    <x v="309"/>
    <x v="2"/>
    <x v="309"/>
    <n v="547239"/>
    <x v="24"/>
    <n v="0"/>
  </r>
  <r>
    <x v="310"/>
    <x v="0"/>
    <x v="3"/>
    <x v="3"/>
    <x v="30"/>
    <n v="14"/>
    <x v="3"/>
    <x v="1"/>
    <x v="310"/>
    <x v="310"/>
    <x v="2"/>
    <x v="310"/>
    <n v="6939795"/>
    <x v="23"/>
    <n v="0"/>
  </r>
  <r>
    <x v="311"/>
    <x v="4"/>
    <x v="10"/>
    <x v="10"/>
    <x v="2"/>
    <n v="45"/>
    <x v="1"/>
    <x v="0"/>
    <x v="311"/>
    <x v="311"/>
    <x v="0"/>
    <x v="311"/>
    <n v="572413"/>
    <x v="7"/>
    <n v="0"/>
  </r>
  <r>
    <x v="312"/>
    <x v="6"/>
    <x v="14"/>
    <x v="14"/>
    <x v="36"/>
    <n v="28"/>
    <x v="2"/>
    <x v="1"/>
    <x v="312"/>
    <x v="312"/>
    <x v="1"/>
    <x v="312"/>
    <n v="3644148"/>
    <x v="26"/>
    <n v="0"/>
  </r>
  <r>
    <x v="313"/>
    <x v="3"/>
    <x v="0"/>
    <x v="0"/>
    <x v="23"/>
    <n v="32"/>
    <x v="3"/>
    <x v="1"/>
    <x v="313"/>
    <x v="313"/>
    <x v="0"/>
    <x v="313"/>
    <n v="2105235"/>
    <x v="27"/>
    <n v="0"/>
  </r>
  <r>
    <x v="314"/>
    <x v="1"/>
    <x v="23"/>
    <x v="23"/>
    <x v="50"/>
    <n v="12"/>
    <x v="1"/>
    <x v="0"/>
    <x v="314"/>
    <x v="314"/>
    <x v="2"/>
    <x v="314"/>
    <n v="4933796"/>
    <x v="1"/>
    <n v="0"/>
  </r>
  <r>
    <x v="315"/>
    <x v="6"/>
    <x v="10"/>
    <x v="10"/>
    <x v="0"/>
    <n v="23"/>
    <x v="0"/>
    <x v="0"/>
    <x v="315"/>
    <x v="315"/>
    <x v="0"/>
    <x v="315"/>
    <n v="1452721"/>
    <x v="21"/>
    <n v="0"/>
  </r>
  <r>
    <x v="316"/>
    <x v="6"/>
    <x v="13"/>
    <x v="13"/>
    <x v="50"/>
    <n v="12"/>
    <x v="3"/>
    <x v="0"/>
    <x v="316"/>
    <x v="316"/>
    <x v="1"/>
    <x v="316"/>
    <n v="3693031"/>
    <x v="21"/>
    <n v="0"/>
  </r>
  <r>
    <x v="317"/>
    <x v="4"/>
    <x v="5"/>
    <x v="5"/>
    <x v="12"/>
    <n v="54"/>
    <x v="0"/>
    <x v="1"/>
    <x v="317"/>
    <x v="317"/>
    <x v="1"/>
    <x v="317"/>
    <n v="4102513"/>
    <x v="22"/>
    <n v="0"/>
  </r>
  <r>
    <x v="318"/>
    <x v="0"/>
    <x v="17"/>
    <x v="17"/>
    <x v="27"/>
    <n v="22"/>
    <x v="0"/>
    <x v="0"/>
    <x v="318"/>
    <x v="318"/>
    <x v="2"/>
    <x v="318"/>
    <n v="4923378"/>
    <x v="0"/>
    <n v="0"/>
  </r>
  <r>
    <x v="319"/>
    <x v="0"/>
    <x v="20"/>
    <x v="20"/>
    <x v="45"/>
    <n v="38"/>
    <x v="3"/>
    <x v="1"/>
    <x v="319"/>
    <x v="319"/>
    <x v="2"/>
    <x v="319"/>
    <n v="4932897"/>
    <x v="0"/>
    <n v="0"/>
  </r>
  <r>
    <x v="320"/>
    <x v="5"/>
    <x v="3"/>
    <x v="3"/>
    <x v="50"/>
    <n v="12"/>
    <x v="3"/>
    <x v="1"/>
    <x v="320"/>
    <x v="320"/>
    <x v="0"/>
    <x v="320"/>
    <n v="2941554"/>
    <x v="15"/>
    <n v="0"/>
  </r>
  <r>
    <x v="321"/>
    <x v="4"/>
    <x v="21"/>
    <x v="21"/>
    <x v="38"/>
    <n v="43"/>
    <x v="3"/>
    <x v="1"/>
    <x v="321"/>
    <x v="321"/>
    <x v="2"/>
    <x v="321"/>
    <n v="8577004"/>
    <x v="22"/>
    <n v="0"/>
  </r>
  <r>
    <x v="322"/>
    <x v="3"/>
    <x v="19"/>
    <x v="19"/>
    <x v="4"/>
    <n v="26"/>
    <x v="3"/>
    <x v="0"/>
    <x v="322"/>
    <x v="322"/>
    <x v="0"/>
    <x v="322"/>
    <n v="3877663"/>
    <x v="10"/>
    <n v="0"/>
  </r>
  <r>
    <x v="323"/>
    <x v="0"/>
    <x v="15"/>
    <x v="15"/>
    <x v="37"/>
    <n v="55"/>
    <x v="3"/>
    <x v="0"/>
    <x v="323"/>
    <x v="323"/>
    <x v="1"/>
    <x v="323"/>
    <n v="2681079"/>
    <x v="23"/>
    <n v="0"/>
  </r>
  <r>
    <x v="324"/>
    <x v="1"/>
    <x v="12"/>
    <x v="12"/>
    <x v="12"/>
    <n v="54"/>
    <x v="0"/>
    <x v="1"/>
    <x v="324"/>
    <x v="324"/>
    <x v="1"/>
    <x v="324"/>
    <n v="2170194"/>
    <x v="11"/>
    <n v="0"/>
  </r>
  <r>
    <x v="325"/>
    <x v="4"/>
    <x v="13"/>
    <x v="13"/>
    <x v="4"/>
    <n v="26"/>
    <x v="2"/>
    <x v="1"/>
    <x v="325"/>
    <x v="325"/>
    <x v="1"/>
    <x v="325"/>
    <n v="3564495"/>
    <x v="19"/>
    <n v="0"/>
  </r>
  <r>
    <x v="326"/>
    <x v="6"/>
    <x v="16"/>
    <x v="16"/>
    <x v="37"/>
    <n v="55"/>
    <x v="2"/>
    <x v="1"/>
    <x v="326"/>
    <x v="326"/>
    <x v="1"/>
    <x v="326"/>
    <n v="1141752"/>
    <x v="26"/>
    <n v="0"/>
  </r>
  <r>
    <x v="327"/>
    <x v="1"/>
    <x v="4"/>
    <x v="4"/>
    <x v="49"/>
    <n v="60"/>
    <x v="3"/>
    <x v="0"/>
    <x v="327"/>
    <x v="327"/>
    <x v="1"/>
    <x v="327"/>
    <n v="812621"/>
    <x v="1"/>
    <n v="0"/>
  </r>
  <r>
    <x v="328"/>
    <x v="1"/>
    <x v="13"/>
    <x v="13"/>
    <x v="32"/>
    <n v="51"/>
    <x v="0"/>
    <x v="1"/>
    <x v="328"/>
    <x v="328"/>
    <x v="0"/>
    <x v="328"/>
    <n v="6248851"/>
    <x v="1"/>
    <n v="0"/>
  </r>
  <r>
    <x v="329"/>
    <x v="6"/>
    <x v="16"/>
    <x v="16"/>
    <x v="19"/>
    <n v="52"/>
    <x v="2"/>
    <x v="0"/>
    <x v="329"/>
    <x v="329"/>
    <x v="1"/>
    <x v="329"/>
    <n v="6381898"/>
    <x v="26"/>
    <n v="0"/>
  </r>
  <r>
    <x v="330"/>
    <x v="4"/>
    <x v="3"/>
    <x v="3"/>
    <x v="27"/>
    <n v="22"/>
    <x v="2"/>
    <x v="1"/>
    <x v="330"/>
    <x v="330"/>
    <x v="0"/>
    <x v="330"/>
    <n v="5531088"/>
    <x v="7"/>
    <n v="0"/>
  </r>
  <r>
    <x v="331"/>
    <x v="6"/>
    <x v="0"/>
    <x v="0"/>
    <x v="14"/>
    <n v="39"/>
    <x v="2"/>
    <x v="0"/>
    <x v="331"/>
    <x v="331"/>
    <x v="1"/>
    <x v="331"/>
    <n v="7741709"/>
    <x v="21"/>
    <n v="0"/>
  </r>
  <r>
    <x v="332"/>
    <x v="5"/>
    <x v="16"/>
    <x v="16"/>
    <x v="29"/>
    <n v="13"/>
    <x v="0"/>
    <x v="1"/>
    <x v="332"/>
    <x v="332"/>
    <x v="0"/>
    <x v="332"/>
    <n v="87193"/>
    <x v="20"/>
    <n v="0"/>
  </r>
  <r>
    <x v="333"/>
    <x v="1"/>
    <x v="3"/>
    <x v="3"/>
    <x v="9"/>
    <n v="15"/>
    <x v="3"/>
    <x v="0"/>
    <x v="333"/>
    <x v="333"/>
    <x v="0"/>
    <x v="333"/>
    <n v="9391745"/>
    <x v="1"/>
    <n v="0"/>
  </r>
  <r>
    <x v="334"/>
    <x v="2"/>
    <x v="17"/>
    <x v="17"/>
    <x v="49"/>
    <n v="60"/>
    <x v="3"/>
    <x v="0"/>
    <x v="334"/>
    <x v="334"/>
    <x v="0"/>
    <x v="334"/>
    <n v="1403119"/>
    <x v="5"/>
    <n v="0"/>
  </r>
  <r>
    <x v="335"/>
    <x v="2"/>
    <x v="5"/>
    <x v="5"/>
    <x v="4"/>
    <n v="26"/>
    <x v="3"/>
    <x v="0"/>
    <x v="335"/>
    <x v="335"/>
    <x v="2"/>
    <x v="335"/>
    <n v="6903218"/>
    <x v="2"/>
    <n v="0"/>
  </r>
  <r>
    <x v="336"/>
    <x v="3"/>
    <x v="23"/>
    <x v="23"/>
    <x v="11"/>
    <n v="47"/>
    <x v="1"/>
    <x v="0"/>
    <x v="336"/>
    <x v="336"/>
    <x v="0"/>
    <x v="336"/>
    <n v="1767268"/>
    <x v="4"/>
    <n v="0"/>
  </r>
  <r>
    <x v="337"/>
    <x v="0"/>
    <x v="16"/>
    <x v="16"/>
    <x v="31"/>
    <n v="50"/>
    <x v="1"/>
    <x v="0"/>
    <x v="337"/>
    <x v="337"/>
    <x v="0"/>
    <x v="337"/>
    <n v="8859102"/>
    <x v="3"/>
    <n v="0"/>
  </r>
  <r>
    <x v="338"/>
    <x v="6"/>
    <x v="15"/>
    <x v="15"/>
    <x v="7"/>
    <n v="53"/>
    <x v="1"/>
    <x v="0"/>
    <x v="338"/>
    <x v="338"/>
    <x v="1"/>
    <x v="338"/>
    <n v="5351776"/>
    <x v="24"/>
    <n v="0"/>
  </r>
  <r>
    <x v="339"/>
    <x v="6"/>
    <x v="13"/>
    <x v="13"/>
    <x v="49"/>
    <n v="60"/>
    <x v="0"/>
    <x v="1"/>
    <x v="339"/>
    <x v="339"/>
    <x v="0"/>
    <x v="339"/>
    <n v="1281789"/>
    <x v="26"/>
    <n v="0"/>
  </r>
  <r>
    <x v="340"/>
    <x v="3"/>
    <x v="1"/>
    <x v="1"/>
    <x v="27"/>
    <n v="22"/>
    <x v="2"/>
    <x v="1"/>
    <x v="340"/>
    <x v="340"/>
    <x v="0"/>
    <x v="340"/>
    <n v="6358879"/>
    <x v="10"/>
    <n v="0"/>
  </r>
  <r>
    <x v="341"/>
    <x v="3"/>
    <x v="17"/>
    <x v="17"/>
    <x v="50"/>
    <n v="12"/>
    <x v="2"/>
    <x v="1"/>
    <x v="341"/>
    <x v="341"/>
    <x v="2"/>
    <x v="341"/>
    <n v="586544"/>
    <x v="10"/>
    <n v="0"/>
  </r>
  <r>
    <x v="342"/>
    <x v="3"/>
    <x v="20"/>
    <x v="20"/>
    <x v="40"/>
    <n v="31"/>
    <x v="0"/>
    <x v="1"/>
    <x v="342"/>
    <x v="342"/>
    <x v="1"/>
    <x v="342"/>
    <n v="7872211"/>
    <x v="4"/>
    <n v="0"/>
  </r>
  <r>
    <x v="343"/>
    <x v="1"/>
    <x v="19"/>
    <x v="19"/>
    <x v="47"/>
    <n v="17"/>
    <x v="0"/>
    <x v="0"/>
    <x v="343"/>
    <x v="343"/>
    <x v="2"/>
    <x v="343"/>
    <n v="6680557"/>
    <x v="14"/>
    <n v="0"/>
  </r>
  <r>
    <x v="344"/>
    <x v="5"/>
    <x v="5"/>
    <x v="5"/>
    <x v="16"/>
    <n v="11"/>
    <x v="3"/>
    <x v="1"/>
    <x v="344"/>
    <x v="344"/>
    <x v="2"/>
    <x v="344"/>
    <n v="2519935"/>
    <x v="16"/>
    <n v="0"/>
  </r>
  <r>
    <x v="345"/>
    <x v="6"/>
    <x v="17"/>
    <x v="17"/>
    <x v="36"/>
    <n v="28"/>
    <x v="3"/>
    <x v="0"/>
    <x v="345"/>
    <x v="345"/>
    <x v="2"/>
    <x v="345"/>
    <n v="4060134"/>
    <x v="18"/>
    <n v="0"/>
  </r>
  <r>
    <x v="346"/>
    <x v="1"/>
    <x v="8"/>
    <x v="8"/>
    <x v="39"/>
    <n v="49"/>
    <x v="1"/>
    <x v="0"/>
    <x v="346"/>
    <x v="346"/>
    <x v="0"/>
    <x v="346"/>
    <n v="574164"/>
    <x v="14"/>
    <n v="0"/>
  </r>
  <r>
    <x v="347"/>
    <x v="3"/>
    <x v="3"/>
    <x v="3"/>
    <x v="45"/>
    <n v="38"/>
    <x v="1"/>
    <x v="0"/>
    <x v="347"/>
    <x v="347"/>
    <x v="2"/>
    <x v="347"/>
    <n v="7089996"/>
    <x v="27"/>
    <n v="0"/>
  </r>
  <r>
    <x v="348"/>
    <x v="6"/>
    <x v="18"/>
    <x v="18"/>
    <x v="4"/>
    <n v="26"/>
    <x v="0"/>
    <x v="1"/>
    <x v="348"/>
    <x v="348"/>
    <x v="2"/>
    <x v="348"/>
    <n v="3565347"/>
    <x v="21"/>
    <n v="0"/>
  </r>
  <r>
    <x v="349"/>
    <x v="1"/>
    <x v="6"/>
    <x v="6"/>
    <x v="38"/>
    <n v="43"/>
    <x v="1"/>
    <x v="0"/>
    <x v="349"/>
    <x v="349"/>
    <x v="1"/>
    <x v="349"/>
    <n v="5930095"/>
    <x v="25"/>
    <n v="0"/>
  </r>
  <r>
    <x v="350"/>
    <x v="5"/>
    <x v="5"/>
    <x v="5"/>
    <x v="27"/>
    <n v="22"/>
    <x v="2"/>
    <x v="1"/>
    <x v="350"/>
    <x v="350"/>
    <x v="1"/>
    <x v="350"/>
    <n v="9588912"/>
    <x v="20"/>
    <n v="0"/>
  </r>
  <r>
    <x v="351"/>
    <x v="1"/>
    <x v="14"/>
    <x v="14"/>
    <x v="16"/>
    <n v="11"/>
    <x v="0"/>
    <x v="1"/>
    <x v="351"/>
    <x v="351"/>
    <x v="1"/>
    <x v="351"/>
    <n v="3344934"/>
    <x v="14"/>
    <n v="0"/>
  </r>
  <r>
    <x v="352"/>
    <x v="5"/>
    <x v="20"/>
    <x v="20"/>
    <x v="43"/>
    <n v="48"/>
    <x v="0"/>
    <x v="1"/>
    <x v="352"/>
    <x v="352"/>
    <x v="1"/>
    <x v="352"/>
    <n v="990726"/>
    <x v="15"/>
    <n v="0"/>
  </r>
  <r>
    <x v="353"/>
    <x v="3"/>
    <x v="7"/>
    <x v="7"/>
    <x v="3"/>
    <n v="41"/>
    <x v="2"/>
    <x v="1"/>
    <x v="353"/>
    <x v="353"/>
    <x v="2"/>
    <x v="353"/>
    <n v="651092"/>
    <x v="27"/>
    <n v="0"/>
  </r>
  <r>
    <x v="354"/>
    <x v="5"/>
    <x v="17"/>
    <x v="17"/>
    <x v="43"/>
    <n v="48"/>
    <x v="3"/>
    <x v="1"/>
    <x v="354"/>
    <x v="354"/>
    <x v="1"/>
    <x v="354"/>
    <n v="2799842"/>
    <x v="12"/>
    <n v="0"/>
  </r>
  <r>
    <x v="355"/>
    <x v="6"/>
    <x v="11"/>
    <x v="11"/>
    <x v="50"/>
    <n v="12"/>
    <x v="3"/>
    <x v="0"/>
    <x v="355"/>
    <x v="355"/>
    <x v="0"/>
    <x v="355"/>
    <n v="464939"/>
    <x v="18"/>
    <n v="0"/>
  </r>
  <r>
    <x v="356"/>
    <x v="3"/>
    <x v="18"/>
    <x v="18"/>
    <x v="19"/>
    <n v="52"/>
    <x v="2"/>
    <x v="0"/>
    <x v="356"/>
    <x v="356"/>
    <x v="2"/>
    <x v="356"/>
    <n v="7534305"/>
    <x v="4"/>
    <n v="0"/>
  </r>
  <r>
    <x v="357"/>
    <x v="6"/>
    <x v="6"/>
    <x v="6"/>
    <x v="3"/>
    <n v="41"/>
    <x v="2"/>
    <x v="1"/>
    <x v="357"/>
    <x v="357"/>
    <x v="1"/>
    <x v="357"/>
    <n v="474154"/>
    <x v="26"/>
    <n v="0"/>
  </r>
  <r>
    <x v="358"/>
    <x v="2"/>
    <x v="16"/>
    <x v="16"/>
    <x v="45"/>
    <n v="38"/>
    <x v="1"/>
    <x v="0"/>
    <x v="358"/>
    <x v="358"/>
    <x v="2"/>
    <x v="358"/>
    <n v="1150822"/>
    <x v="2"/>
    <n v="0"/>
  </r>
  <r>
    <x v="359"/>
    <x v="4"/>
    <x v="3"/>
    <x v="3"/>
    <x v="3"/>
    <n v="41"/>
    <x v="0"/>
    <x v="1"/>
    <x v="359"/>
    <x v="359"/>
    <x v="1"/>
    <x v="359"/>
    <n v="2101735"/>
    <x v="19"/>
    <n v="0"/>
  </r>
  <r>
    <x v="360"/>
    <x v="5"/>
    <x v="14"/>
    <x v="14"/>
    <x v="7"/>
    <n v="53"/>
    <x v="1"/>
    <x v="0"/>
    <x v="360"/>
    <x v="360"/>
    <x v="2"/>
    <x v="360"/>
    <n v="8017329"/>
    <x v="15"/>
    <n v="0"/>
  </r>
  <r>
    <x v="361"/>
    <x v="4"/>
    <x v="5"/>
    <x v="5"/>
    <x v="14"/>
    <n v="39"/>
    <x v="2"/>
    <x v="0"/>
    <x v="361"/>
    <x v="361"/>
    <x v="1"/>
    <x v="361"/>
    <n v="6659544"/>
    <x v="7"/>
    <n v="0"/>
  </r>
  <r>
    <x v="362"/>
    <x v="4"/>
    <x v="10"/>
    <x v="10"/>
    <x v="14"/>
    <n v="39"/>
    <x v="1"/>
    <x v="0"/>
    <x v="362"/>
    <x v="362"/>
    <x v="0"/>
    <x v="362"/>
    <n v="5913342"/>
    <x v="19"/>
    <n v="0"/>
  </r>
  <r>
    <x v="363"/>
    <x v="5"/>
    <x v="2"/>
    <x v="2"/>
    <x v="49"/>
    <n v="60"/>
    <x v="2"/>
    <x v="0"/>
    <x v="363"/>
    <x v="363"/>
    <x v="1"/>
    <x v="363"/>
    <n v="2092409"/>
    <x v="16"/>
    <n v="0"/>
  </r>
  <r>
    <x v="364"/>
    <x v="3"/>
    <x v="21"/>
    <x v="21"/>
    <x v="43"/>
    <n v="48"/>
    <x v="1"/>
    <x v="0"/>
    <x v="364"/>
    <x v="364"/>
    <x v="2"/>
    <x v="364"/>
    <n v="8458696"/>
    <x v="10"/>
    <n v="0"/>
  </r>
  <r>
    <x v="365"/>
    <x v="2"/>
    <x v="18"/>
    <x v="18"/>
    <x v="23"/>
    <n v="32"/>
    <x v="1"/>
    <x v="0"/>
    <x v="365"/>
    <x v="365"/>
    <x v="2"/>
    <x v="365"/>
    <n v="9627031"/>
    <x v="5"/>
    <n v="0"/>
  </r>
  <r>
    <x v="366"/>
    <x v="6"/>
    <x v="13"/>
    <x v="13"/>
    <x v="2"/>
    <n v="45"/>
    <x v="3"/>
    <x v="0"/>
    <x v="366"/>
    <x v="366"/>
    <x v="0"/>
    <x v="366"/>
    <n v="888427"/>
    <x v="24"/>
    <n v="0"/>
  </r>
  <r>
    <x v="367"/>
    <x v="1"/>
    <x v="7"/>
    <x v="7"/>
    <x v="35"/>
    <n v="29"/>
    <x v="2"/>
    <x v="0"/>
    <x v="367"/>
    <x v="367"/>
    <x v="2"/>
    <x v="367"/>
    <n v="1241303"/>
    <x v="11"/>
    <n v="0"/>
  </r>
  <r>
    <x v="368"/>
    <x v="6"/>
    <x v="15"/>
    <x v="15"/>
    <x v="28"/>
    <n v="21"/>
    <x v="1"/>
    <x v="0"/>
    <x v="368"/>
    <x v="368"/>
    <x v="0"/>
    <x v="368"/>
    <n v="8904883"/>
    <x v="26"/>
    <n v="0"/>
  </r>
  <r>
    <x v="369"/>
    <x v="1"/>
    <x v="10"/>
    <x v="10"/>
    <x v="6"/>
    <n v="40"/>
    <x v="0"/>
    <x v="0"/>
    <x v="369"/>
    <x v="369"/>
    <x v="2"/>
    <x v="369"/>
    <n v="8247746"/>
    <x v="14"/>
    <n v="0"/>
  </r>
  <r>
    <x v="370"/>
    <x v="6"/>
    <x v="22"/>
    <x v="22"/>
    <x v="24"/>
    <n v="56"/>
    <x v="1"/>
    <x v="0"/>
    <x v="370"/>
    <x v="370"/>
    <x v="2"/>
    <x v="370"/>
    <n v="6370377"/>
    <x v="24"/>
    <n v="0"/>
  </r>
  <r>
    <x v="371"/>
    <x v="5"/>
    <x v="6"/>
    <x v="6"/>
    <x v="24"/>
    <n v="56"/>
    <x v="1"/>
    <x v="0"/>
    <x v="371"/>
    <x v="371"/>
    <x v="0"/>
    <x v="371"/>
    <n v="9477169"/>
    <x v="12"/>
    <n v="0"/>
  </r>
  <r>
    <x v="372"/>
    <x v="2"/>
    <x v="10"/>
    <x v="10"/>
    <x v="46"/>
    <n v="27"/>
    <x v="0"/>
    <x v="0"/>
    <x v="372"/>
    <x v="372"/>
    <x v="2"/>
    <x v="372"/>
    <n v="664109"/>
    <x v="6"/>
    <n v="0"/>
  </r>
  <r>
    <x v="373"/>
    <x v="1"/>
    <x v="22"/>
    <x v="22"/>
    <x v="34"/>
    <n v="36"/>
    <x v="2"/>
    <x v="1"/>
    <x v="373"/>
    <x v="373"/>
    <x v="2"/>
    <x v="373"/>
    <n v="255186"/>
    <x v="25"/>
    <n v="0"/>
  </r>
  <r>
    <x v="374"/>
    <x v="0"/>
    <x v="18"/>
    <x v="18"/>
    <x v="28"/>
    <n v="21"/>
    <x v="3"/>
    <x v="0"/>
    <x v="374"/>
    <x v="374"/>
    <x v="0"/>
    <x v="374"/>
    <n v="7422102"/>
    <x v="0"/>
    <n v="0"/>
  </r>
  <r>
    <x v="375"/>
    <x v="3"/>
    <x v="9"/>
    <x v="9"/>
    <x v="49"/>
    <n v="60"/>
    <x v="3"/>
    <x v="0"/>
    <x v="375"/>
    <x v="375"/>
    <x v="1"/>
    <x v="375"/>
    <n v="6634248"/>
    <x v="8"/>
    <n v="0"/>
  </r>
  <r>
    <x v="376"/>
    <x v="6"/>
    <x v="23"/>
    <x v="23"/>
    <x v="21"/>
    <n v="59"/>
    <x v="3"/>
    <x v="0"/>
    <x v="376"/>
    <x v="376"/>
    <x v="0"/>
    <x v="376"/>
    <n v="9864575"/>
    <x v="26"/>
    <n v="0"/>
  </r>
  <r>
    <x v="377"/>
    <x v="6"/>
    <x v="5"/>
    <x v="5"/>
    <x v="26"/>
    <n v="42"/>
    <x v="0"/>
    <x v="0"/>
    <x v="377"/>
    <x v="377"/>
    <x v="2"/>
    <x v="377"/>
    <n v="2532009"/>
    <x v="21"/>
    <n v="0"/>
  </r>
  <r>
    <x v="378"/>
    <x v="1"/>
    <x v="13"/>
    <x v="13"/>
    <x v="31"/>
    <n v="50"/>
    <x v="1"/>
    <x v="0"/>
    <x v="378"/>
    <x v="378"/>
    <x v="1"/>
    <x v="378"/>
    <n v="6179907"/>
    <x v="25"/>
    <n v="0"/>
  </r>
  <r>
    <x v="379"/>
    <x v="3"/>
    <x v="21"/>
    <x v="21"/>
    <x v="25"/>
    <n v="46"/>
    <x v="2"/>
    <x v="0"/>
    <x v="379"/>
    <x v="379"/>
    <x v="1"/>
    <x v="379"/>
    <n v="7911591"/>
    <x v="10"/>
    <n v="0"/>
  </r>
  <r>
    <x v="380"/>
    <x v="3"/>
    <x v="7"/>
    <x v="7"/>
    <x v="6"/>
    <n v="40"/>
    <x v="1"/>
    <x v="1"/>
    <x v="380"/>
    <x v="380"/>
    <x v="1"/>
    <x v="380"/>
    <n v="3720339"/>
    <x v="10"/>
    <n v="0"/>
  </r>
  <r>
    <x v="381"/>
    <x v="5"/>
    <x v="13"/>
    <x v="13"/>
    <x v="29"/>
    <n v="13"/>
    <x v="3"/>
    <x v="1"/>
    <x v="381"/>
    <x v="381"/>
    <x v="0"/>
    <x v="381"/>
    <n v="4106956"/>
    <x v="15"/>
    <n v="0"/>
  </r>
  <r>
    <x v="382"/>
    <x v="0"/>
    <x v="14"/>
    <x v="14"/>
    <x v="17"/>
    <n v="33"/>
    <x v="1"/>
    <x v="1"/>
    <x v="382"/>
    <x v="382"/>
    <x v="1"/>
    <x v="382"/>
    <n v="8935067"/>
    <x v="3"/>
    <n v="0"/>
  </r>
  <r>
    <x v="383"/>
    <x v="5"/>
    <x v="23"/>
    <x v="23"/>
    <x v="1"/>
    <n v="44"/>
    <x v="0"/>
    <x v="0"/>
    <x v="383"/>
    <x v="383"/>
    <x v="1"/>
    <x v="383"/>
    <n v="4339851"/>
    <x v="16"/>
    <n v="0"/>
  </r>
  <r>
    <x v="384"/>
    <x v="5"/>
    <x v="20"/>
    <x v="20"/>
    <x v="1"/>
    <n v="44"/>
    <x v="0"/>
    <x v="0"/>
    <x v="384"/>
    <x v="384"/>
    <x v="1"/>
    <x v="384"/>
    <n v="6434962"/>
    <x v="12"/>
    <n v="0"/>
  </r>
  <r>
    <x v="385"/>
    <x v="5"/>
    <x v="9"/>
    <x v="9"/>
    <x v="35"/>
    <n v="29"/>
    <x v="2"/>
    <x v="0"/>
    <x v="385"/>
    <x v="385"/>
    <x v="2"/>
    <x v="385"/>
    <n v="8947762"/>
    <x v="20"/>
    <n v="0"/>
  </r>
  <r>
    <x v="386"/>
    <x v="5"/>
    <x v="12"/>
    <x v="12"/>
    <x v="8"/>
    <n v="57"/>
    <x v="2"/>
    <x v="1"/>
    <x v="386"/>
    <x v="386"/>
    <x v="0"/>
    <x v="386"/>
    <n v="2493353"/>
    <x v="15"/>
    <n v="0"/>
  </r>
  <r>
    <x v="387"/>
    <x v="5"/>
    <x v="20"/>
    <x v="20"/>
    <x v="10"/>
    <n v="18"/>
    <x v="3"/>
    <x v="0"/>
    <x v="387"/>
    <x v="387"/>
    <x v="0"/>
    <x v="387"/>
    <n v="9827834"/>
    <x v="12"/>
    <n v="0"/>
  </r>
  <r>
    <x v="388"/>
    <x v="2"/>
    <x v="19"/>
    <x v="19"/>
    <x v="42"/>
    <n v="35"/>
    <x v="2"/>
    <x v="0"/>
    <x v="388"/>
    <x v="388"/>
    <x v="2"/>
    <x v="388"/>
    <n v="7168559"/>
    <x v="13"/>
    <n v="0"/>
  </r>
  <r>
    <x v="389"/>
    <x v="3"/>
    <x v="5"/>
    <x v="5"/>
    <x v="2"/>
    <n v="45"/>
    <x v="1"/>
    <x v="1"/>
    <x v="389"/>
    <x v="389"/>
    <x v="1"/>
    <x v="389"/>
    <n v="5213156"/>
    <x v="8"/>
    <n v="0"/>
  </r>
  <r>
    <x v="390"/>
    <x v="5"/>
    <x v="4"/>
    <x v="4"/>
    <x v="2"/>
    <n v="45"/>
    <x v="0"/>
    <x v="1"/>
    <x v="390"/>
    <x v="390"/>
    <x v="2"/>
    <x v="390"/>
    <n v="4593745"/>
    <x v="15"/>
    <n v="0"/>
  </r>
  <r>
    <x v="391"/>
    <x v="3"/>
    <x v="3"/>
    <x v="3"/>
    <x v="26"/>
    <n v="42"/>
    <x v="0"/>
    <x v="0"/>
    <x v="391"/>
    <x v="391"/>
    <x v="2"/>
    <x v="391"/>
    <n v="9566464"/>
    <x v="4"/>
    <n v="0"/>
  </r>
  <r>
    <x v="392"/>
    <x v="3"/>
    <x v="12"/>
    <x v="12"/>
    <x v="5"/>
    <n v="24"/>
    <x v="0"/>
    <x v="0"/>
    <x v="392"/>
    <x v="392"/>
    <x v="1"/>
    <x v="392"/>
    <n v="2454386"/>
    <x v="10"/>
    <n v="0"/>
  </r>
  <r>
    <x v="393"/>
    <x v="4"/>
    <x v="0"/>
    <x v="0"/>
    <x v="10"/>
    <n v="18"/>
    <x v="2"/>
    <x v="0"/>
    <x v="393"/>
    <x v="393"/>
    <x v="1"/>
    <x v="393"/>
    <n v="3460991"/>
    <x v="17"/>
    <n v="0"/>
  </r>
  <r>
    <x v="394"/>
    <x v="2"/>
    <x v="4"/>
    <x v="4"/>
    <x v="26"/>
    <n v="42"/>
    <x v="0"/>
    <x v="0"/>
    <x v="394"/>
    <x v="394"/>
    <x v="0"/>
    <x v="394"/>
    <n v="3424031"/>
    <x v="6"/>
    <n v="0"/>
  </r>
  <r>
    <x v="395"/>
    <x v="5"/>
    <x v="14"/>
    <x v="14"/>
    <x v="6"/>
    <n v="40"/>
    <x v="0"/>
    <x v="1"/>
    <x v="395"/>
    <x v="395"/>
    <x v="1"/>
    <x v="395"/>
    <n v="324556"/>
    <x v="12"/>
    <n v="0"/>
  </r>
  <r>
    <x v="396"/>
    <x v="6"/>
    <x v="7"/>
    <x v="7"/>
    <x v="20"/>
    <n v="19"/>
    <x v="0"/>
    <x v="0"/>
    <x v="396"/>
    <x v="396"/>
    <x v="2"/>
    <x v="396"/>
    <n v="4951111"/>
    <x v="26"/>
    <n v="0"/>
  </r>
  <r>
    <x v="397"/>
    <x v="1"/>
    <x v="15"/>
    <x v="15"/>
    <x v="2"/>
    <n v="45"/>
    <x v="3"/>
    <x v="0"/>
    <x v="397"/>
    <x v="397"/>
    <x v="2"/>
    <x v="397"/>
    <n v="9897203"/>
    <x v="1"/>
    <n v="0"/>
  </r>
  <r>
    <x v="398"/>
    <x v="0"/>
    <x v="23"/>
    <x v="23"/>
    <x v="17"/>
    <n v="33"/>
    <x v="3"/>
    <x v="1"/>
    <x v="398"/>
    <x v="398"/>
    <x v="1"/>
    <x v="398"/>
    <n v="8943474"/>
    <x v="0"/>
    <n v="0"/>
  </r>
  <r>
    <x v="399"/>
    <x v="6"/>
    <x v="8"/>
    <x v="8"/>
    <x v="38"/>
    <n v="43"/>
    <x v="2"/>
    <x v="0"/>
    <x v="399"/>
    <x v="399"/>
    <x v="0"/>
    <x v="399"/>
    <n v="3615521"/>
    <x v="21"/>
    <n v="0"/>
  </r>
  <r>
    <x v="400"/>
    <x v="2"/>
    <x v="4"/>
    <x v="4"/>
    <x v="19"/>
    <n v="52"/>
    <x v="0"/>
    <x v="0"/>
    <x v="400"/>
    <x v="400"/>
    <x v="2"/>
    <x v="400"/>
    <n v="4517266"/>
    <x v="2"/>
    <n v="0"/>
  </r>
  <r>
    <x v="401"/>
    <x v="1"/>
    <x v="2"/>
    <x v="2"/>
    <x v="10"/>
    <n v="18"/>
    <x v="2"/>
    <x v="1"/>
    <x v="401"/>
    <x v="401"/>
    <x v="1"/>
    <x v="401"/>
    <n v="6860067"/>
    <x v="25"/>
    <n v="0"/>
  </r>
  <r>
    <x v="402"/>
    <x v="2"/>
    <x v="14"/>
    <x v="14"/>
    <x v="16"/>
    <n v="11"/>
    <x v="0"/>
    <x v="1"/>
    <x v="402"/>
    <x v="402"/>
    <x v="0"/>
    <x v="402"/>
    <n v="662941"/>
    <x v="6"/>
    <n v="0"/>
  </r>
  <r>
    <x v="403"/>
    <x v="3"/>
    <x v="23"/>
    <x v="23"/>
    <x v="39"/>
    <n v="49"/>
    <x v="0"/>
    <x v="0"/>
    <x v="403"/>
    <x v="403"/>
    <x v="0"/>
    <x v="403"/>
    <n v="829146"/>
    <x v="8"/>
    <n v="0"/>
  </r>
  <r>
    <x v="404"/>
    <x v="1"/>
    <x v="16"/>
    <x v="16"/>
    <x v="6"/>
    <n v="40"/>
    <x v="0"/>
    <x v="1"/>
    <x v="404"/>
    <x v="404"/>
    <x v="2"/>
    <x v="404"/>
    <n v="8858082"/>
    <x v="1"/>
    <n v="0"/>
  </r>
  <r>
    <x v="405"/>
    <x v="3"/>
    <x v="11"/>
    <x v="11"/>
    <x v="2"/>
    <n v="45"/>
    <x v="2"/>
    <x v="1"/>
    <x v="405"/>
    <x v="405"/>
    <x v="2"/>
    <x v="405"/>
    <n v="8643403"/>
    <x v="8"/>
    <n v="0"/>
  </r>
  <r>
    <x v="406"/>
    <x v="6"/>
    <x v="5"/>
    <x v="5"/>
    <x v="19"/>
    <n v="52"/>
    <x v="2"/>
    <x v="0"/>
    <x v="406"/>
    <x v="406"/>
    <x v="0"/>
    <x v="406"/>
    <n v="4063017"/>
    <x v="21"/>
    <n v="0"/>
  </r>
  <r>
    <x v="407"/>
    <x v="6"/>
    <x v="2"/>
    <x v="2"/>
    <x v="31"/>
    <n v="50"/>
    <x v="0"/>
    <x v="1"/>
    <x v="407"/>
    <x v="407"/>
    <x v="0"/>
    <x v="407"/>
    <n v="4888995"/>
    <x v="21"/>
    <n v="0"/>
  </r>
  <r>
    <x v="408"/>
    <x v="1"/>
    <x v="22"/>
    <x v="22"/>
    <x v="18"/>
    <n v="58"/>
    <x v="1"/>
    <x v="0"/>
    <x v="408"/>
    <x v="408"/>
    <x v="0"/>
    <x v="408"/>
    <n v="617689"/>
    <x v="25"/>
    <n v="0"/>
  </r>
  <r>
    <x v="409"/>
    <x v="1"/>
    <x v="12"/>
    <x v="12"/>
    <x v="33"/>
    <n v="37"/>
    <x v="2"/>
    <x v="0"/>
    <x v="409"/>
    <x v="409"/>
    <x v="1"/>
    <x v="409"/>
    <n v="4294256"/>
    <x v="14"/>
    <n v="0"/>
  </r>
  <r>
    <x v="410"/>
    <x v="5"/>
    <x v="6"/>
    <x v="6"/>
    <x v="48"/>
    <n v="34"/>
    <x v="3"/>
    <x v="0"/>
    <x v="410"/>
    <x v="410"/>
    <x v="2"/>
    <x v="410"/>
    <n v="4874055"/>
    <x v="12"/>
    <n v="0"/>
  </r>
  <r>
    <x v="411"/>
    <x v="2"/>
    <x v="23"/>
    <x v="23"/>
    <x v="15"/>
    <n v="30"/>
    <x v="2"/>
    <x v="0"/>
    <x v="411"/>
    <x v="411"/>
    <x v="0"/>
    <x v="411"/>
    <n v="9116256"/>
    <x v="5"/>
    <n v="0"/>
  </r>
  <r>
    <x v="412"/>
    <x v="5"/>
    <x v="10"/>
    <x v="10"/>
    <x v="10"/>
    <n v="18"/>
    <x v="0"/>
    <x v="1"/>
    <x v="412"/>
    <x v="412"/>
    <x v="2"/>
    <x v="412"/>
    <n v="8992883"/>
    <x v="12"/>
    <n v="0"/>
  </r>
  <r>
    <x v="413"/>
    <x v="2"/>
    <x v="10"/>
    <x v="10"/>
    <x v="14"/>
    <n v="39"/>
    <x v="1"/>
    <x v="0"/>
    <x v="413"/>
    <x v="413"/>
    <x v="2"/>
    <x v="413"/>
    <n v="9677922"/>
    <x v="5"/>
    <n v="0"/>
  </r>
  <r>
    <x v="414"/>
    <x v="5"/>
    <x v="23"/>
    <x v="23"/>
    <x v="5"/>
    <n v="24"/>
    <x v="0"/>
    <x v="0"/>
    <x v="414"/>
    <x v="414"/>
    <x v="2"/>
    <x v="414"/>
    <n v="8908497"/>
    <x v="12"/>
    <n v="0"/>
  </r>
  <r>
    <x v="415"/>
    <x v="3"/>
    <x v="7"/>
    <x v="7"/>
    <x v="24"/>
    <n v="56"/>
    <x v="3"/>
    <x v="0"/>
    <x v="415"/>
    <x v="415"/>
    <x v="0"/>
    <x v="415"/>
    <n v="577907"/>
    <x v="10"/>
    <n v="0"/>
  </r>
  <r>
    <x v="416"/>
    <x v="1"/>
    <x v="2"/>
    <x v="2"/>
    <x v="14"/>
    <n v="39"/>
    <x v="2"/>
    <x v="0"/>
    <x v="416"/>
    <x v="416"/>
    <x v="1"/>
    <x v="416"/>
    <n v="6593878"/>
    <x v="25"/>
    <n v="0"/>
  </r>
  <r>
    <x v="417"/>
    <x v="6"/>
    <x v="5"/>
    <x v="5"/>
    <x v="6"/>
    <n v="40"/>
    <x v="2"/>
    <x v="1"/>
    <x v="417"/>
    <x v="417"/>
    <x v="0"/>
    <x v="417"/>
    <n v="1148258"/>
    <x v="24"/>
    <n v="0"/>
  </r>
  <r>
    <x v="418"/>
    <x v="2"/>
    <x v="7"/>
    <x v="7"/>
    <x v="36"/>
    <n v="28"/>
    <x v="0"/>
    <x v="1"/>
    <x v="418"/>
    <x v="418"/>
    <x v="2"/>
    <x v="418"/>
    <n v="3089646"/>
    <x v="2"/>
    <n v="0"/>
  </r>
  <r>
    <x v="419"/>
    <x v="2"/>
    <x v="4"/>
    <x v="4"/>
    <x v="29"/>
    <n v="13"/>
    <x v="0"/>
    <x v="1"/>
    <x v="419"/>
    <x v="419"/>
    <x v="0"/>
    <x v="419"/>
    <n v="5993922"/>
    <x v="5"/>
    <n v="0"/>
  </r>
  <r>
    <x v="420"/>
    <x v="6"/>
    <x v="10"/>
    <x v="10"/>
    <x v="50"/>
    <n v="12"/>
    <x v="3"/>
    <x v="0"/>
    <x v="420"/>
    <x v="420"/>
    <x v="0"/>
    <x v="420"/>
    <n v="7155831"/>
    <x v="18"/>
    <n v="0"/>
  </r>
  <r>
    <x v="421"/>
    <x v="5"/>
    <x v="20"/>
    <x v="20"/>
    <x v="40"/>
    <n v="31"/>
    <x v="1"/>
    <x v="1"/>
    <x v="421"/>
    <x v="421"/>
    <x v="2"/>
    <x v="421"/>
    <n v="6719004"/>
    <x v="12"/>
    <n v="0"/>
  </r>
  <r>
    <x v="422"/>
    <x v="2"/>
    <x v="18"/>
    <x v="18"/>
    <x v="30"/>
    <n v="14"/>
    <x v="3"/>
    <x v="1"/>
    <x v="422"/>
    <x v="422"/>
    <x v="2"/>
    <x v="422"/>
    <n v="966054"/>
    <x v="5"/>
    <n v="0"/>
  </r>
  <r>
    <x v="423"/>
    <x v="0"/>
    <x v="21"/>
    <x v="21"/>
    <x v="6"/>
    <n v="40"/>
    <x v="1"/>
    <x v="0"/>
    <x v="423"/>
    <x v="423"/>
    <x v="0"/>
    <x v="423"/>
    <n v="1484237"/>
    <x v="23"/>
    <n v="0"/>
  </r>
  <r>
    <x v="424"/>
    <x v="3"/>
    <x v="2"/>
    <x v="2"/>
    <x v="12"/>
    <n v="54"/>
    <x v="2"/>
    <x v="1"/>
    <x v="424"/>
    <x v="424"/>
    <x v="0"/>
    <x v="424"/>
    <n v="1721575"/>
    <x v="10"/>
    <n v="0"/>
  </r>
  <r>
    <x v="425"/>
    <x v="1"/>
    <x v="18"/>
    <x v="18"/>
    <x v="12"/>
    <n v="54"/>
    <x v="1"/>
    <x v="0"/>
    <x v="425"/>
    <x v="425"/>
    <x v="0"/>
    <x v="425"/>
    <n v="1368437"/>
    <x v="11"/>
    <n v="0"/>
  </r>
  <r>
    <x v="426"/>
    <x v="6"/>
    <x v="2"/>
    <x v="2"/>
    <x v="38"/>
    <n v="43"/>
    <x v="1"/>
    <x v="1"/>
    <x v="426"/>
    <x v="426"/>
    <x v="0"/>
    <x v="426"/>
    <n v="2193227"/>
    <x v="24"/>
    <n v="0"/>
  </r>
  <r>
    <x v="427"/>
    <x v="1"/>
    <x v="16"/>
    <x v="16"/>
    <x v="28"/>
    <n v="21"/>
    <x v="2"/>
    <x v="1"/>
    <x v="427"/>
    <x v="427"/>
    <x v="1"/>
    <x v="427"/>
    <n v="7040634"/>
    <x v="1"/>
    <n v="0"/>
  </r>
  <r>
    <x v="428"/>
    <x v="0"/>
    <x v="20"/>
    <x v="20"/>
    <x v="7"/>
    <n v="53"/>
    <x v="2"/>
    <x v="1"/>
    <x v="428"/>
    <x v="428"/>
    <x v="0"/>
    <x v="428"/>
    <n v="8392954"/>
    <x v="9"/>
    <n v="0"/>
  </r>
  <r>
    <x v="429"/>
    <x v="2"/>
    <x v="2"/>
    <x v="2"/>
    <x v="12"/>
    <n v="54"/>
    <x v="2"/>
    <x v="1"/>
    <x v="429"/>
    <x v="429"/>
    <x v="1"/>
    <x v="429"/>
    <n v="4383732"/>
    <x v="6"/>
    <n v="0"/>
  </r>
  <r>
    <x v="430"/>
    <x v="2"/>
    <x v="5"/>
    <x v="5"/>
    <x v="13"/>
    <n v="20"/>
    <x v="3"/>
    <x v="0"/>
    <x v="430"/>
    <x v="430"/>
    <x v="2"/>
    <x v="430"/>
    <n v="7081424"/>
    <x v="13"/>
    <n v="0"/>
  </r>
  <r>
    <x v="431"/>
    <x v="0"/>
    <x v="23"/>
    <x v="23"/>
    <x v="11"/>
    <n v="47"/>
    <x v="2"/>
    <x v="0"/>
    <x v="431"/>
    <x v="431"/>
    <x v="1"/>
    <x v="431"/>
    <n v="2400154"/>
    <x v="3"/>
    <n v="0"/>
  </r>
  <r>
    <x v="432"/>
    <x v="6"/>
    <x v="23"/>
    <x v="23"/>
    <x v="5"/>
    <n v="24"/>
    <x v="0"/>
    <x v="1"/>
    <x v="432"/>
    <x v="432"/>
    <x v="2"/>
    <x v="432"/>
    <n v="9746161"/>
    <x v="24"/>
    <n v="0"/>
  </r>
  <r>
    <x v="433"/>
    <x v="3"/>
    <x v="22"/>
    <x v="22"/>
    <x v="31"/>
    <n v="50"/>
    <x v="2"/>
    <x v="0"/>
    <x v="433"/>
    <x v="433"/>
    <x v="1"/>
    <x v="433"/>
    <n v="3824976"/>
    <x v="10"/>
    <n v="0"/>
  </r>
  <r>
    <x v="434"/>
    <x v="4"/>
    <x v="14"/>
    <x v="14"/>
    <x v="49"/>
    <n v="60"/>
    <x v="2"/>
    <x v="1"/>
    <x v="434"/>
    <x v="434"/>
    <x v="2"/>
    <x v="434"/>
    <n v="8535736"/>
    <x v="19"/>
    <n v="0"/>
  </r>
  <r>
    <x v="435"/>
    <x v="6"/>
    <x v="15"/>
    <x v="15"/>
    <x v="50"/>
    <n v="12"/>
    <x v="2"/>
    <x v="1"/>
    <x v="435"/>
    <x v="435"/>
    <x v="0"/>
    <x v="435"/>
    <n v="9480981"/>
    <x v="18"/>
    <n v="0"/>
  </r>
  <r>
    <x v="436"/>
    <x v="4"/>
    <x v="6"/>
    <x v="6"/>
    <x v="37"/>
    <n v="55"/>
    <x v="1"/>
    <x v="1"/>
    <x v="436"/>
    <x v="436"/>
    <x v="1"/>
    <x v="436"/>
    <n v="8714783"/>
    <x v="22"/>
    <n v="0"/>
  </r>
  <r>
    <x v="437"/>
    <x v="0"/>
    <x v="10"/>
    <x v="10"/>
    <x v="3"/>
    <n v="41"/>
    <x v="3"/>
    <x v="1"/>
    <x v="437"/>
    <x v="437"/>
    <x v="1"/>
    <x v="437"/>
    <n v="1137143"/>
    <x v="23"/>
    <n v="0"/>
  </r>
  <r>
    <x v="438"/>
    <x v="5"/>
    <x v="17"/>
    <x v="17"/>
    <x v="21"/>
    <n v="59"/>
    <x v="2"/>
    <x v="1"/>
    <x v="438"/>
    <x v="438"/>
    <x v="2"/>
    <x v="438"/>
    <n v="6677918"/>
    <x v="15"/>
    <n v="0"/>
  </r>
  <r>
    <x v="439"/>
    <x v="4"/>
    <x v="6"/>
    <x v="6"/>
    <x v="17"/>
    <n v="33"/>
    <x v="3"/>
    <x v="1"/>
    <x v="439"/>
    <x v="439"/>
    <x v="2"/>
    <x v="439"/>
    <n v="1640862"/>
    <x v="7"/>
    <n v="0"/>
  </r>
  <r>
    <x v="440"/>
    <x v="3"/>
    <x v="10"/>
    <x v="10"/>
    <x v="19"/>
    <n v="52"/>
    <x v="0"/>
    <x v="0"/>
    <x v="440"/>
    <x v="440"/>
    <x v="1"/>
    <x v="440"/>
    <n v="553799"/>
    <x v="4"/>
    <n v="0"/>
  </r>
  <r>
    <x v="441"/>
    <x v="5"/>
    <x v="21"/>
    <x v="21"/>
    <x v="29"/>
    <n v="13"/>
    <x v="0"/>
    <x v="0"/>
    <x v="441"/>
    <x v="441"/>
    <x v="2"/>
    <x v="441"/>
    <n v="991943"/>
    <x v="12"/>
    <n v="0"/>
  </r>
  <r>
    <x v="442"/>
    <x v="4"/>
    <x v="12"/>
    <x v="12"/>
    <x v="46"/>
    <n v="27"/>
    <x v="2"/>
    <x v="1"/>
    <x v="442"/>
    <x v="442"/>
    <x v="0"/>
    <x v="442"/>
    <n v="9203417"/>
    <x v="7"/>
    <n v="0"/>
  </r>
  <r>
    <x v="443"/>
    <x v="0"/>
    <x v="21"/>
    <x v="21"/>
    <x v="29"/>
    <n v="13"/>
    <x v="0"/>
    <x v="0"/>
    <x v="443"/>
    <x v="443"/>
    <x v="1"/>
    <x v="443"/>
    <n v="9130403"/>
    <x v="9"/>
    <n v="0"/>
  </r>
  <r>
    <x v="444"/>
    <x v="5"/>
    <x v="15"/>
    <x v="15"/>
    <x v="21"/>
    <n v="59"/>
    <x v="3"/>
    <x v="1"/>
    <x v="444"/>
    <x v="444"/>
    <x v="0"/>
    <x v="444"/>
    <n v="2645332"/>
    <x v="15"/>
    <n v="0"/>
  </r>
  <r>
    <x v="445"/>
    <x v="0"/>
    <x v="3"/>
    <x v="3"/>
    <x v="32"/>
    <n v="51"/>
    <x v="1"/>
    <x v="0"/>
    <x v="445"/>
    <x v="445"/>
    <x v="1"/>
    <x v="445"/>
    <n v="5697082"/>
    <x v="3"/>
    <n v="0"/>
  </r>
  <r>
    <x v="446"/>
    <x v="4"/>
    <x v="15"/>
    <x v="15"/>
    <x v="7"/>
    <n v="53"/>
    <x v="2"/>
    <x v="0"/>
    <x v="446"/>
    <x v="446"/>
    <x v="0"/>
    <x v="446"/>
    <n v="9572768"/>
    <x v="19"/>
    <n v="0"/>
  </r>
  <r>
    <x v="447"/>
    <x v="0"/>
    <x v="2"/>
    <x v="2"/>
    <x v="8"/>
    <n v="57"/>
    <x v="0"/>
    <x v="0"/>
    <x v="447"/>
    <x v="447"/>
    <x v="1"/>
    <x v="447"/>
    <n v="5218708"/>
    <x v="3"/>
    <n v="0"/>
  </r>
  <r>
    <x v="448"/>
    <x v="3"/>
    <x v="5"/>
    <x v="5"/>
    <x v="30"/>
    <n v="14"/>
    <x v="3"/>
    <x v="1"/>
    <x v="448"/>
    <x v="448"/>
    <x v="2"/>
    <x v="448"/>
    <n v="4238989"/>
    <x v="4"/>
    <n v="0"/>
  </r>
  <r>
    <x v="449"/>
    <x v="4"/>
    <x v="7"/>
    <x v="7"/>
    <x v="35"/>
    <n v="29"/>
    <x v="3"/>
    <x v="0"/>
    <x v="449"/>
    <x v="449"/>
    <x v="1"/>
    <x v="449"/>
    <n v="5090863"/>
    <x v="17"/>
    <n v="0"/>
  </r>
  <r>
    <x v="450"/>
    <x v="4"/>
    <x v="14"/>
    <x v="14"/>
    <x v="30"/>
    <n v="14"/>
    <x v="0"/>
    <x v="1"/>
    <x v="450"/>
    <x v="450"/>
    <x v="0"/>
    <x v="450"/>
    <n v="800705"/>
    <x v="22"/>
    <n v="0"/>
  </r>
  <r>
    <x v="451"/>
    <x v="4"/>
    <x v="9"/>
    <x v="9"/>
    <x v="28"/>
    <n v="21"/>
    <x v="3"/>
    <x v="1"/>
    <x v="451"/>
    <x v="451"/>
    <x v="1"/>
    <x v="451"/>
    <n v="5034138"/>
    <x v="7"/>
    <n v="0"/>
  </r>
  <r>
    <x v="452"/>
    <x v="6"/>
    <x v="10"/>
    <x v="10"/>
    <x v="28"/>
    <n v="21"/>
    <x v="3"/>
    <x v="1"/>
    <x v="452"/>
    <x v="452"/>
    <x v="0"/>
    <x v="452"/>
    <n v="7941138"/>
    <x v="18"/>
    <n v="0"/>
  </r>
  <r>
    <x v="453"/>
    <x v="6"/>
    <x v="13"/>
    <x v="13"/>
    <x v="17"/>
    <n v="33"/>
    <x v="2"/>
    <x v="0"/>
    <x v="453"/>
    <x v="453"/>
    <x v="0"/>
    <x v="453"/>
    <n v="4601126"/>
    <x v="21"/>
    <n v="0"/>
  </r>
  <r>
    <x v="454"/>
    <x v="6"/>
    <x v="1"/>
    <x v="1"/>
    <x v="0"/>
    <n v="23"/>
    <x v="3"/>
    <x v="0"/>
    <x v="454"/>
    <x v="454"/>
    <x v="0"/>
    <x v="454"/>
    <n v="2894054"/>
    <x v="26"/>
    <n v="0"/>
  </r>
  <r>
    <x v="455"/>
    <x v="3"/>
    <x v="1"/>
    <x v="1"/>
    <x v="9"/>
    <n v="15"/>
    <x v="0"/>
    <x v="0"/>
    <x v="455"/>
    <x v="455"/>
    <x v="2"/>
    <x v="455"/>
    <n v="3601491"/>
    <x v="8"/>
    <n v="0"/>
  </r>
  <r>
    <x v="456"/>
    <x v="5"/>
    <x v="19"/>
    <x v="19"/>
    <x v="10"/>
    <n v="18"/>
    <x v="2"/>
    <x v="1"/>
    <x v="456"/>
    <x v="456"/>
    <x v="1"/>
    <x v="456"/>
    <n v="1239323"/>
    <x v="15"/>
    <n v="0"/>
  </r>
  <r>
    <x v="457"/>
    <x v="0"/>
    <x v="1"/>
    <x v="1"/>
    <x v="47"/>
    <n v="17"/>
    <x v="0"/>
    <x v="1"/>
    <x v="457"/>
    <x v="457"/>
    <x v="0"/>
    <x v="457"/>
    <n v="5225121"/>
    <x v="0"/>
    <n v="0"/>
  </r>
  <r>
    <x v="458"/>
    <x v="2"/>
    <x v="10"/>
    <x v="10"/>
    <x v="21"/>
    <n v="59"/>
    <x v="1"/>
    <x v="0"/>
    <x v="458"/>
    <x v="458"/>
    <x v="2"/>
    <x v="458"/>
    <n v="1907054"/>
    <x v="6"/>
    <n v="0"/>
  </r>
  <r>
    <x v="459"/>
    <x v="4"/>
    <x v="4"/>
    <x v="4"/>
    <x v="43"/>
    <n v="48"/>
    <x v="0"/>
    <x v="1"/>
    <x v="459"/>
    <x v="459"/>
    <x v="0"/>
    <x v="459"/>
    <n v="8209697"/>
    <x v="19"/>
    <n v="0"/>
  </r>
  <r>
    <x v="460"/>
    <x v="0"/>
    <x v="10"/>
    <x v="10"/>
    <x v="18"/>
    <n v="58"/>
    <x v="0"/>
    <x v="0"/>
    <x v="460"/>
    <x v="460"/>
    <x v="1"/>
    <x v="460"/>
    <n v="449561"/>
    <x v="23"/>
    <n v="0"/>
  </r>
  <r>
    <x v="461"/>
    <x v="4"/>
    <x v="9"/>
    <x v="9"/>
    <x v="23"/>
    <n v="32"/>
    <x v="2"/>
    <x v="0"/>
    <x v="461"/>
    <x v="461"/>
    <x v="2"/>
    <x v="461"/>
    <n v="7767522"/>
    <x v="17"/>
    <n v="0"/>
  </r>
  <r>
    <x v="462"/>
    <x v="3"/>
    <x v="7"/>
    <x v="7"/>
    <x v="5"/>
    <n v="24"/>
    <x v="3"/>
    <x v="0"/>
    <x v="462"/>
    <x v="462"/>
    <x v="0"/>
    <x v="462"/>
    <n v="9567374"/>
    <x v="8"/>
    <n v="0"/>
  </r>
  <r>
    <x v="463"/>
    <x v="4"/>
    <x v="8"/>
    <x v="8"/>
    <x v="31"/>
    <n v="50"/>
    <x v="0"/>
    <x v="0"/>
    <x v="463"/>
    <x v="463"/>
    <x v="0"/>
    <x v="463"/>
    <n v="8570041"/>
    <x v="19"/>
    <n v="0"/>
  </r>
  <r>
    <x v="464"/>
    <x v="6"/>
    <x v="12"/>
    <x v="12"/>
    <x v="4"/>
    <n v="26"/>
    <x v="2"/>
    <x v="1"/>
    <x v="464"/>
    <x v="464"/>
    <x v="0"/>
    <x v="464"/>
    <n v="9538905"/>
    <x v="18"/>
    <n v="0"/>
  </r>
  <r>
    <x v="465"/>
    <x v="2"/>
    <x v="22"/>
    <x v="22"/>
    <x v="41"/>
    <n v="25"/>
    <x v="1"/>
    <x v="0"/>
    <x v="465"/>
    <x v="465"/>
    <x v="1"/>
    <x v="465"/>
    <n v="5895397"/>
    <x v="5"/>
    <n v="0"/>
  </r>
  <r>
    <x v="466"/>
    <x v="1"/>
    <x v="13"/>
    <x v="13"/>
    <x v="27"/>
    <n v="22"/>
    <x v="2"/>
    <x v="0"/>
    <x v="466"/>
    <x v="466"/>
    <x v="2"/>
    <x v="466"/>
    <n v="2070582"/>
    <x v="11"/>
    <n v="0"/>
  </r>
  <r>
    <x v="467"/>
    <x v="4"/>
    <x v="1"/>
    <x v="1"/>
    <x v="44"/>
    <n v="16"/>
    <x v="2"/>
    <x v="0"/>
    <x v="467"/>
    <x v="467"/>
    <x v="2"/>
    <x v="467"/>
    <n v="9386262"/>
    <x v="19"/>
    <n v="0"/>
  </r>
  <r>
    <x v="468"/>
    <x v="0"/>
    <x v="22"/>
    <x v="22"/>
    <x v="0"/>
    <n v="23"/>
    <x v="3"/>
    <x v="0"/>
    <x v="468"/>
    <x v="468"/>
    <x v="2"/>
    <x v="468"/>
    <n v="8750792"/>
    <x v="0"/>
    <n v="0"/>
  </r>
  <r>
    <x v="469"/>
    <x v="6"/>
    <x v="23"/>
    <x v="23"/>
    <x v="36"/>
    <n v="28"/>
    <x v="0"/>
    <x v="0"/>
    <x v="469"/>
    <x v="469"/>
    <x v="0"/>
    <x v="469"/>
    <n v="8711923"/>
    <x v="21"/>
    <n v="0"/>
  </r>
  <r>
    <x v="470"/>
    <x v="1"/>
    <x v="6"/>
    <x v="6"/>
    <x v="1"/>
    <n v="44"/>
    <x v="1"/>
    <x v="0"/>
    <x v="470"/>
    <x v="470"/>
    <x v="2"/>
    <x v="470"/>
    <n v="7086107"/>
    <x v="25"/>
    <n v="0"/>
  </r>
  <r>
    <x v="471"/>
    <x v="2"/>
    <x v="22"/>
    <x v="22"/>
    <x v="29"/>
    <n v="13"/>
    <x v="2"/>
    <x v="0"/>
    <x v="471"/>
    <x v="471"/>
    <x v="0"/>
    <x v="471"/>
    <n v="6436704"/>
    <x v="5"/>
    <n v="0"/>
  </r>
  <r>
    <x v="472"/>
    <x v="1"/>
    <x v="2"/>
    <x v="2"/>
    <x v="28"/>
    <n v="21"/>
    <x v="0"/>
    <x v="1"/>
    <x v="472"/>
    <x v="472"/>
    <x v="1"/>
    <x v="472"/>
    <n v="639877"/>
    <x v="14"/>
    <n v="0"/>
  </r>
  <r>
    <x v="473"/>
    <x v="6"/>
    <x v="1"/>
    <x v="1"/>
    <x v="31"/>
    <n v="50"/>
    <x v="0"/>
    <x v="1"/>
    <x v="473"/>
    <x v="473"/>
    <x v="2"/>
    <x v="473"/>
    <n v="7606514"/>
    <x v="21"/>
    <n v="0"/>
  </r>
  <r>
    <x v="474"/>
    <x v="5"/>
    <x v="11"/>
    <x v="11"/>
    <x v="47"/>
    <n v="17"/>
    <x v="2"/>
    <x v="1"/>
    <x v="474"/>
    <x v="474"/>
    <x v="0"/>
    <x v="474"/>
    <n v="1369584"/>
    <x v="16"/>
    <n v="0"/>
  </r>
  <r>
    <x v="475"/>
    <x v="5"/>
    <x v="16"/>
    <x v="16"/>
    <x v="46"/>
    <n v="27"/>
    <x v="0"/>
    <x v="1"/>
    <x v="475"/>
    <x v="475"/>
    <x v="2"/>
    <x v="475"/>
    <n v="2967634"/>
    <x v="12"/>
    <n v="0"/>
  </r>
  <r>
    <x v="476"/>
    <x v="1"/>
    <x v="16"/>
    <x v="16"/>
    <x v="7"/>
    <n v="53"/>
    <x v="2"/>
    <x v="0"/>
    <x v="476"/>
    <x v="476"/>
    <x v="2"/>
    <x v="476"/>
    <n v="5739158"/>
    <x v="11"/>
    <n v="0"/>
  </r>
  <r>
    <x v="477"/>
    <x v="3"/>
    <x v="18"/>
    <x v="18"/>
    <x v="10"/>
    <n v="18"/>
    <x v="2"/>
    <x v="1"/>
    <x v="477"/>
    <x v="477"/>
    <x v="1"/>
    <x v="477"/>
    <n v="479146"/>
    <x v="10"/>
    <n v="0"/>
  </r>
  <r>
    <x v="478"/>
    <x v="0"/>
    <x v="21"/>
    <x v="21"/>
    <x v="30"/>
    <n v="14"/>
    <x v="2"/>
    <x v="1"/>
    <x v="478"/>
    <x v="478"/>
    <x v="2"/>
    <x v="478"/>
    <n v="649857"/>
    <x v="0"/>
    <n v="0"/>
  </r>
  <r>
    <x v="479"/>
    <x v="0"/>
    <x v="21"/>
    <x v="21"/>
    <x v="48"/>
    <n v="34"/>
    <x v="1"/>
    <x v="1"/>
    <x v="479"/>
    <x v="479"/>
    <x v="1"/>
    <x v="479"/>
    <n v="8327858"/>
    <x v="23"/>
    <n v="0"/>
  </r>
  <r>
    <x v="480"/>
    <x v="1"/>
    <x v="11"/>
    <x v="11"/>
    <x v="41"/>
    <n v="25"/>
    <x v="2"/>
    <x v="0"/>
    <x v="480"/>
    <x v="480"/>
    <x v="2"/>
    <x v="480"/>
    <n v="8848609"/>
    <x v="11"/>
    <n v="0"/>
  </r>
  <r>
    <x v="481"/>
    <x v="4"/>
    <x v="17"/>
    <x v="17"/>
    <x v="45"/>
    <n v="38"/>
    <x v="3"/>
    <x v="1"/>
    <x v="481"/>
    <x v="481"/>
    <x v="2"/>
    <x v="481"/>
    <n v="6977793"/>
    <x v="22"/>
    <n v="0"/>
  </r>
  <r>
    <x v="482"/>
    <x v="4"/>
    <x v="0"/>
    <x v="0"/>
    <x v="31"/>
    <n v="50"/>
    <x v="0"/>
    <x v="1"/>
    <x v="482"/>
    <x v="482"/>
    <x v="2"/>
    <x v="482"/>
    <n v="5640145"/>
    <x v="19"/>
    <n v="0"/>
  </r>
  <r>
    <x v="483"/>
    <x v="0"/>
    <x v="19"/>
    <x v="19"/>
    <x v="47"/>
    <n v="17"/>
    <x v="1"/>
    <x v="0"/>
    <x v="483"/>
    <x v="483"/>
    <x v="2"/>
    <x v="483"/>
    <n v="9627009"/>
    <x v="0"/>
    <n v="0"/>
  </r>
  <r>
    <x v="484"/>
    <x v="0"/>
    <x v="11"/>
    <x v="11"/>
    <x v="14"/>
    <n v="39"/>
    <x v="0"/>
    <x v="1"/>
    <x v="484"/>
    <x v="484"/>
    <x v="2"/>
    <x v="484"/>
    <n v="1639584"/>
    <x v="9"/>
    <n v="0"/>
  </r>
  <r>
    <x v="485"/>
    <x v="5"/>
    <x v="5"/>
    <x v="5"/>
    <x v="42"/>
    <n v="35"/>
    <x v="1"/>
    <x v="0"/>
    <x v="485"/>
    <x v="485"/>
    <x v="2"/>
    <x v="485"/>
    <n v="7510146"/>
    <x v="12"/>
    <n v="0"/>
  </r>
  <r>
    <x v="486"/>
    <x v="3"/>
    <x v="5"/>
    <x v="5"/>
    <x v="47"/>
    <n v="17"/>
    <x v="3"/>
    <x v="1"/>
    <x v="486"/>
    <x v="486"/>
    <x v="1"/>
    <x v="486"/>
    <n v="1719426"/>
    <x v="8"/>
    <n v="0"/>
  </r>
  <r>
    <x v="487"/>
    <x v="6"/>
    <x v="21"/>
    <x v="21"/>
    <x v="3"/>
    <n v="41"/>
    <x v="1"/>
    <x v="0"/>
    <x v="487"/>
    <x v="487"/>
    <x v="1"/>
    <x v="487"/>
    <n v="4127526"/>
    <x v="24"/>
    <n v="0"/>
  </r>
  <r>
    <x v="488"/>
    <x v="4"/>
    <x v="14"/>
    <x v="14"/>
    <x v="5"/>
    <n v="24"/>
    <x v="1"/>
    <x v="1"/>
    <x v="488"/>
    <x v="488"/>
    <x v="0"/>
    <x v="488"/>
    <n v="6062103"/>
    <x v="7"/>
    <n v="0"/>
  </r>
  <r>
    <x v="489"/>
    <x v="0"/>
    <x v="11"/>
    <x v="11"/>
    <x v="48"/>
    <n v="34"/>
    <x v="1"/>
    <x v="1"/>
    <x v="489"/>
    <x v="489"/>
    <x v="2"/>
    <x v="489"/>
    <n v="7502333"/>
    <x v="23"/>
    <n v="0"/>
  </r>
  <r>
    <x v="490"/>
    <x v="5"/>
    <x v="7"/>
    <x v="7"/>
    <x v="30"/>
    <n v="14"/>
    <x v="0"/>
    <x v="1"/>
    <x v="490"/>
    <x v="490"/>
    <x v="1"/>
    <x v="490"/>
    <n v="535303"/>
    <x v="12"/>
    <n v="0"/>
  </r>
  <r>
    <x v="491"/>
    <x v="2"/>
    <x v="19"/>
    <x v="19"/>
    <x v="17"/>
    <n v="33"/>
    <x v="2"/>
    <x v="0"/>
    <x v="491"/>
    <x v="491"/>
    <x v="2"/>
    <x v="491"/>
    <n v="297568"/>
    <x v="6"/>
    <n v="0"/>
  </r>
  <r>
    <x v="492"/>
    <x v="5"/>
    <x v="5"/>
    <x v="5"/>
    <x v="41"/>
    <n v="25"/>
    <x v="0"/>
    <x v="1"/>
    <x v="492"/>
    <x v="492"/>
    <x v="2"/>
    <x v="492"/>
    <n v="5612904"/>
    <x v="12"/>
    <n v="0"/>
  </r>
  <r>
    <x v="493"/>
    <x v="4"/>
    <x v="23"/>
    <x v="23"/>
    <x v="32"/>
    <n v="51"/>
    <x v="2"/>
    <x v="0"/>
    <x v="493"/>
    <x v="493"/>
    <x v="1"/>
    <x v="493"/>
    <n v="556230"/>
    <x v="22"/>
    <n v="0"/>
  </r>
  <r>
    <x v="494"/>
    <x v="4"/>
    <x v="11"/>
    <x v="11"/>
    <x v="29"/>
    <n v="13"/>
    <x v="0"/>
    <x v="0"/>
    <x v="494"/>
    <x v="494"/>
    <x v="2"/>
    <x v="494"/>
    <n v="6557451"/>
    <x v="7"/>
    <n v="0"/>
  </r>
  <r>
    <x v="495"/>
    <x v="5"/>
    <x v="20"/>
    <x v="20"/>
    <x v="40"/>
    <n v="31"/>
    <x v="3"/>
    <x v="0"/>
    <x v="495"/>
    <x v="495"/>
    <x v="1"/>
    <x v="495"/>
    <n v="3386609"/>
    <x v="15"/>
    <n v="0"/>
  </r>
  <r>
    <x v="496"/>
    <x v="6"/>
    <x v="2"/>
    <x v="2"/>
    <x v="17"/>
    <n v="33"/>
    <x v="3"/>
    <x v="0"/>
    <x v="496"/>
    <x v="496"/>
    <x v="1"/>
    <x v="496"/>
    <n v="5635028"/>
    <x v="21"/>
    <n v="0"/>
  </r>
  <r>
    <x v="497"/>
    <x v="1"/>
    <x v="11"/>
    <x v="11"/>
    <x v="25"/>
    <n v="46"/>
    <x v="1"/>
    <x v="1"/>
    <x v="497"/>
    <x v="497"/>
    <x v="0"/>
    <x v="497"/>
    <n v="2302974"/>
    <x v="1"/>
    <n v="0"/>
  </r>
  <r>
    <x v="498"/>
    <x v="4"/>
    <x v="19"/>
    <x v="19"/>
    <x v="14"/>
    <n v="39"/>
    <x v="3"/>
    <x v="1"/>
    <x v="498"/>
    <x v="498"/>
    <x v="0"/>
    <x v="498"/>
    <n v="2275286"/>
    <x v="17"/>
    <n v="0"/>
  </r>
  <r>
    <x v="499"/>
    <x v="5"/>
    <x v="20"/>
    <x v="20"/>
    <x v="38"/>
    <n v="43"/>
    <x v="1"/>
    <x v="1"/>
    <x v="499"/>
    <x v="499"/>
    <x v="0"/>
    <x v="499"/>
    <n v="5977358"/>
    <x v="12"/>
    <n v="0"/>
  </r>
  <r>
    <x v="500"/>
    <x v="0"/>
    <x v="19"/>
    <x v="19"/>
    <x v="39"/>
    <n v="49"/>
    <x v="2"/>
    <x v="0"/>
    <x v="500"/>
    <x v="500"/>
    <x v="0"/>
    <x v="500"/>
    <n v="701199"/>
    <x v="0"/>
    <n v="0"/>
  </r>
  <r>
    <x v="501"/>
    <x v="5"/>
    <x v="13"/>
    <x v="13"/>
    <x v="7"/>
    <n v="53"/>
    <x v="3"/>
    <x v="1"/>
    <x v="501"/>
    <x v="501"/>
    <x v="2"/>
    <x v="501"/>
    <n v="164380"/>
    <x v="12"/>
    <n v="0"/>
  </r>
  <r>
    <x v="502"/>
    <x v="3"/>
    <x v="10"/>
    <x v="10"/>
    <x v="4"/>
    <n v="26"/>
    <x v="2"/>
    <x v="0"/>
    <x v="502"/>
    <x v="502"/>
    <x v="2"/>
    <x v="502"/>
    <n v="1666504"/>
    <x v="4"/>
    <n v="0"/>
  </r>
  <r>
    <x v="503"/>
    <x v="1"/>
    <x v="6"/>
    <x v="6"/>
    <x v="33"/>
    <n v="37"/>
    <x v="0"/>
    <x v="0"/>
    <x v="503"/>
    <x v="503"/>
    <x v="0"/>
    <x v="503"/>
    <n v="5870376"/>
    <x v="1"/>
    <n v="0"/>
  </r>
  <r>
    <x v="504"/>
    <x v="2"/>
    <x v="20"/>
    <x v="20"/>
    <x v="19"/>
    <n v="52"/>
    <x v="2"/>
    <x v="0"/>
    <x v="504"/>
    <x v="504"/>
    <x v="1"/>
    <x v="504"/>
    <n v="306591"/>
    <x v="5"/>
    <n v="0"/>
  </r>
  <r>
    <x v="505"/>
    <x v="6"/>
    <x v="14"/>
    <x v="14"/>
    <x v="21"/>
    <n v="59"/>
    <x v="0"/>
    <x v="1"/>
    <x v="505"/>
    <x v="505"/>
    <x v="1"/>
    <x v="505"/>
    <n v="4227791"/>
    <x v="21"/>
    <n v="0"/>
  </r>
  <r>
    <x v="506"/>
    <x v="2"/>
    <x v="12"/>
    <x v="12"/>
    <x v="12"/>
    <n v="54"/>
    <x v="2"/>
    <x v="1"/>
    <x v="506"/>
    <x v="506"/>
    <x v="1"/>
    <x v="506"/>
    <n v="430711"/>
    <x v="13"/>
    <n v="0"/>
  </r>
  <r>
    <x v="507"/>
    <x v="1"/>
    <x v="6"/>
    <x v="6"/>
    <x v="35"/>
    <n v="29"/>
    <x v="2"/>
    <x v="0"/>
    <x v="507"/>
    <x v="507"/>
    <x v="1"/>
    <x v="507"/>
    <n v="2196252"/>
    <x v="11"/>
    <n v="0"/>
  </r>
  <r>
    <x v="508"/>
    <x v="1"/>
    <x v="4"/>
    <x v="4"/>
    <x v="13"/>
    <n v="20"/>
    <x v="3"/>
    <x v="1"/>
    <x v="508"/>
    <x v="508"/>
    <x v="2"/>
    <x v="508"/>
    <n v="512489"/>
    <x v="25"/>
    <n v="0"/>
  </r>
  <r>
    <x v="509"/>
    <x v="1"/>
    <x v="13"/>
    <x v="13"/>
    <x v="48"/>
    <n v="34"/>
    <x v="2"/>
    <x v="1"/>
    <x v="509"/>
    <x v="509"/>
    <x v="1"/>
    <x v="509"/>
    <n v="8604942"/>
    <x v="1"/>
    <n v="0"/>
  </r>
  <r>
    <x v="510"/>
    <x v="2"/>
    <x v="8"/>
    <x v="8"/>
    <x v="11"/>
    <n v="47"/>
    <x v="3"/>
    <x v="0"/>
    <x v="510"/>
    <x v="510"/>
    <x v="1"/>
    <x v="510"/>
    <n v="7292519"/>
    <x v="5"/>
    <n v="0"/>
  </r>
  <r>
    <x v="511"/>
    <x v="0"/>
    <x v="11"/>
    <x v="11"/>
    <x v="42"/>
    <n v="35"/>
    <x v="3"/>
    <x v="0"/>
    <x v="511"/>
    <x v="511"/>
    <x v="0"/>
    <x v="511"/>
    <n v="7060116"/>
    <x v="9"/>
    <n v="0"/>
  </r>
  <r>
    <x v="512"/>
    <x v="1"/>
    <x v="19"/>
    <x v="19"/>
    <x v="48"/>
    <n v="34"/>
    <x v="1"/>
    <x v="1"/>
    <x v="512"/>
    <x v="512"/>
    <x v="1"/>
    <x v="512"/>
    <n v="5691799"/>
    <x v="25"/>
    <n v="0"/>
  </r>
  <r>
    <x v="513"/>
    <x v="5"/>
    <x v="18"/>
    <x v="18"/>
    <x v="19"/>
    <n v="52"/>
    <x v="1"/>
    <x v="0"/>
    <x v="513"/>
    <x v="513"/>
    <x v="2"/>
    <x v="513"/>
    <n v="7159212"/>
    <x v="16"/>
    <n v="0"/>
  </r>
  <r>
    <x v="514"/>
    <x v="2"/>
    <x v="15"/>
    <x v="15"/>
    <x v="36"/>
    <n v="28"/>
    <x v="0"/>
    <x v="0"/>
    <x v="514"/>
    <x v="514"/>
    <x v="1"/>
    <x v="514"/>
    <n v="938904"/>
    <x v="2"/>
    <n v="0"/>
  </r>
  <r>
    <x v="515"/>
    <x v="1"/>
    <x v="6"/>
    <x v="6"/>
    <x v="7"/>
    <n v="53"/>
    <x v="2"/>
    <x v="1"/>
    <x v="515"/>
    <x v="515"/>
    <x v="1"/>
    <x v="515"/>
    <n v="682390"/>
    <x v="14"/>
    <n v="0"/>
  </r>
  <r>
    <x v="516"/>
    <x v="5"/>
    <x v="7"/>
    <x v="7"/>
    <x v="15"/>
    <n v="30"/>
    <x v="0"/>
    <x v="1"/>
    <x v="516"/>
    <x v="516"/>
    <x v="2"/>
    <x v="516"/>
    <n v="3018368"/>
    <x v="12"/>
    <n v="0"/>
  </r>
  <r>
    <x v="517"/>
    <x v="0"/>
    <x v="15"/>
    <x v="15"/>
    <x v="4"/>
    <n v="26"/>
    <x v="2"/>
    <x v="0"/>
    <x v="517"/>
    <x v="517"/>
    <x v="0"/>
    <x v="517"/>
    <n v="592032"/>
    <x v="0"/>
    <n v="0"/>
  </r>
  <r>
    <x v="518"/>
    <x v="3"/>
    <x v="6"/>
    <x v="6"/>
    <x v="17"/>
    <n v="33"/>
    <x v="1"/>
    <x v="1"/>
    <x v="518"/>
    <x v="518"/>
    <x v="2"/>
    <x v="518"/>
    <n v="4702082"/>
    <x v="10"/>
    <n v="0"/>
  </r>
  <r>
    <x v="519"/>
    <x v="0"/>
    <x v="6"/>
    <x v="6"/>
    <x v="43"/>
    <n v="48"/>
    <x v="1"/>
    <x v="0"/>
    <x v="519"/>
    <x v="519"/>
    <x v="0"/>
    <x v="519"/>
    <n v="5785982"/>
    <x v="3"/>
    <n v="0"/>
  </r>
  <r>
    <x v="520"/>
    <x v="1"/>
    <x v="7"/>
    <x v="7"/>
    <x v="44"/>
    <n v="16"/>
    <x v="2"/>
    <x v="0"/>
    <x v="520"/>
    <x v="520"/>
    <x v="1"/>
    <x v="520"/>
    <n v="541730"/>
    <x v="1"/>
    <n v="0"/>
  </r>
  <r>
    <x v="521"/>
    <x v="2"/>
    <x v="19"/>
    <x v="19"/>
    <x v="13"/>
    <n v="20"/>
    <x v="2"/>
    <x v="1"/>
    <x v="521"/>
    <x v="521"/>
    <x v="0"/>
    <x v="521"/>
    <n v="8658365"/>
    <x v="2"/>
    <n v="0"/>
  </r>
  <r>
    <x v="522"/>
    <x v="4"/>
    <x v="15"/>
    <x v="15"/>
    <x v="18"/>
    <n v="58"/>
    <x v="1"/>
    <x v="0"/>
    <x v="522"/>
    <x v="522"/>
    <x v="0"/>
    <x v="522"/>
    <n v="6692101"/>
    <x v="17"/>
    <n v="0"/>
  </r>
  <r>
    <x v="523"/>
    <x v="1"/>
    <x v="21"/>
    <x v="21"/>
    <x v="20"/>
    <n v="19"/>
    <x v="1"/>
    <x v="0"/>
    <x v="523"/>
    <x v="523"/>
    <x v="0"/>
    <x v="523"/>
    <n v="2293206"/>
    <x v="25"/>
    <n v="0"/>
  </r>
  <r>
    <x v="524"/>
    <x v="4"/>
    <x v="0"/>
    <x v="0"/>
    <x v="45"/>
    <n v="38"/>
    <x v="0"/>
    <x v="0"/>
    <x v="524"/>
    <x v="524"/>
    <x v="1"/>
    <x v="524"/>
    <n v="1098659"/>
    <x v="19"/>
    <n v="0"/>
  </r>
  <r>
    <x v="525"/>
    <x v="5"/>
    <x v="23"/>
    <x v="23"/>
    <x v="14"/>
    <n v="39"/>
    <x v="1"/>
    <x v="1"/>
    <x v="525"/>
    <x v="525"/>
    <x v="0"/>
    <x v="525"/>
    <n v="4531456"/>
    <x v="16"/>
    <n v="0"/>
  </r>
  <r>
    <x v="526"/>
    <x v="3"/>
    <x v="0"/>
    <x v="0"/>
    <x v="48"/>
    <n v="34"/>
    <x v="2"/>
    <x v="1"/>
    <x v="526"/>
    <x v="526"/>
    <x v="0"/>
    <x v="526"/>
    <n v="648301"/>
    <x v="27"/>
    <n v="0"/>
  </r>
  <r>
    <x v="527"/>
    <x v="6"/>
    <x v="9"/>
    <x v="9"/>
    <x v="26"/>
    <n v="42"/>
    <x v="0"/>
    <x v="1"/>
    <x v="527"/>
    <x v="527"/>
    <x v="1"/>
    <x v="527"/>
    <n v="3523825"/>
    <x v="26"/>
    <n v="0"/>
  </r>
  <r>
    <x v="528"/>
    <x v="0"/>
    <x v="6"/>
    <x v="6"/>
    <x v="28"/>
    <n v="21"/>
    <x v="2"/>
    <x v="0"/>
    <x v="528"/>
    <x v="528"/>
    <x v="2"/>
    <x v="528"/>
    <n v="3996204"/>
    <x v="3"/>
    <n v="0"/>
  </r>
  <r>
    <x v="529"/>
    <x v="3"/>
    <x v="5"/>
    <x v="5"/>
    <x v="45"/>
    <n v="38"/>
    <x v="3"/>
    <x v="0"/>
    <x v="529"/>
    <x v="529"/>
    <x v="2"/>
    <x v="529"/>
    <n v="4068094"/>
    <x v="8"/>
    <n v="0"/>
  </r>
  <r>
    <x v="530"/>
    <x v="1"/>
    <x v="13"/>
    <x v="13"/>
    <x v="35"/>
    <n v="29"/>
    <x v="0"/>
    <x v="1"/>
    <x v="530"/>
    <x v="530"/>
    <x v="2"/>
    <x v="530"/>
    <n v="9803825"/>
    <x v="11"/>
    <n v="0"/>
  </r>
  <r>
    <x v="531"/>
    <x v="4"/>
    <x v="6"/>
    <x v="6"/>
    <x v="38"/>
    <n v="43"/>
    <x v="2"/>
    <x v="1"/>
    <x v="531"/>
    <x v="531"/>
    <x v="1"/>
    <x v="531"/>
    <n v="3387058"/>
    <x v="7"/>
    <n v="0"/>
  </r>
  <r>
    <x v="532"/>
    <x v="0"/>
    <x v="21"/>
    <x v="21"/>
    <x v="47"/>
    <n v="17"/>
    <x v="1"/>
    <x v="1"/>
    <x v="532"/>
    <x v="532"/>
    <x v="1"/>
    <x v="532"/>
    <n v="3019661"/>
    <x v="0"/>
    <n v="0"/>
  </r>
  <r>
    <x v="533"/>
    <x v="4"/>
    <x v="10"/>
    <x v="10"/>
    <x v="14"/>
    <n v="39"/>
    <x v="3"/>
    <x v="0"/>
    <x v="533"/>
    <x v="533"/>
    <x v="2"/>
    <x v="533"/>
    <n v="1729119"/>
    <x v="19"/>
    <n v="0"/>
  </r>
  <r>
    <x v="534"/>
    <x v="2"/>
    <x v="5"/>
    <x v="5"/>
    <x v="20"/>
    <n v="19"/>
    <x v="2"/>
    <x v="1"/>
    <x v="534"/>
    <x v="534"/>
    <x v="0"/>
    <x v="534"/>
    <n v="5354584"/>
    <x v="2"/>
    <n v="0"/>
  </r>
  <r>
    <x v="535"/>
    <x v="4"/>
    <x v="16"/>
    <x v="16"/>
    <x v="5"/>
    <n v="24"/>
    <x v="0"/>
    <x v="0"/>
    <x v="535"/>
    <x v="535"/>
    <x v="2"/>
    <x v="535"/>
    <n v="1959906"/>
    <x v="22"/>
    <n v="0"/>
  </r>
  <r>
    <x v="536"/>
    <x v="2"/>
    <x v="7"/>
    <x v="7"/>
    <x v="28"/>
    <n v="21"/>
    <x v="2"/>
    <x v="1"/>
    <x v="536"/>
    <x v="536"/>
    <x v="1"/>
    <x v="536"/>
    <n v="635480"/>
    <x v="13"/>
    <n v="0"/>
  </r>
  <r>
    <x v="537"/>
    <x v="5"/>
    <x v="17"/>
    <x v="17"/>
    <x v="20"/>
    <n v="19"/>
    <x v="3"/>
    <x v="0"/>
    <x v="537"/>
    <x v="537"/>
    <x v="0"/>
    <x v="537"/>
    <n v="1974018"/>
    <x v="16"/>
    <n v="0"/>
  </r>
  <r>
    <x v="538"/>
    <x v="0"/>
    <x v="23"/>
    <x v="23"/>
    <x v="32"/>
    <n v="51"/>
    <x v="0"/>
    <x v="0"/>
    <x v="538"/>
    <x v="538"/>
    <x v="0"/>
    <x v="538"/>
    <n v="5978397"/>
    <x v="0"/>
    <n v="0"/>
  </r>
  <r>
    <x v="539"/>
    <x v="0"/>
    <x v="22"/>
    <x v="22"/>
    <x v="5"/>
    <n v="24"/>
    <x v="3"/>
    <x v="1"/>
    <x v="539"/>
    <x v="539"/>
    <x v="1"/>
    <x v="539"/>
    <n v="8349558"/>
    <x v="23"/>
    <n v="0"/>
  </r>
  <r>
    <x v="540"/>
    <x v="6"/>
    <x v="5"/>
    <x v="5"/>
    <x v="24"/>
    <n v="56"/>
    <x v="2"/>
    <x v="0"/>
    <x v="540"/>
    <x v="540"/>
    <x v="0"/>
    <x v="540"/>
    <n v="903984"/>
    <x v="26"/>
    <n v="0"/>
  </r>
  <r>
    <x v="541"/>
    <x v="1"/>
    <x v="14"/>
    <x v="14"/>
    <x v="18"/>
    <n v="58"/>
    <x v="1"/>
    <x v="1"/>
    <x v="541"/>
    <x v="541"/>
    <x v="2"/>
    <x v="541"/>
    <n v="4487596"/>
    <x v="1"/>
    <n v="0"/>
  </r>
  <r>
    <x v="542"/>
    <x v="2"/>
    <x v="4"/>
    <x v="4"/>
    <x v="14"/>
    <n v="39"/>
    <x v="1"/>
    <x v="0"/>
    <x v="542"/>
    <x v="542"/>
    <x v="1"/>
    <x v="542"/>
    <n v="4879965"/>
    <x v="13"/>
    <n v="0"/>
  </r>
  <r>
    <x v="543"/>
    <x v="6"/>
    <x v="6"/>
    <x v="6"/>
    <x v="47"/>
    <n v="17"/>
    <x v="2"/>
    <x v="0"/>
    <x v="543"/>
    <x v="543"/>
    <x v="1"/>
    <x v="543"/>
    <n v="8015185"/>
    <x v="24"/>
    <n v="0"/>
  </r>
  <r>
    <x v="544"/>
    <x v="4"/>
    <x v="4"/>
    <x v="4"/>
    <x v="35"/>
    <n v="29"/>
    <x v="2"/>
    <x v="1"/>
    <x v="544"/>
    <x v="544"/>
    <x v="1"/>
    <x v="544"/>
    <n v="4945199"/>
    <x v="17"/>
    <n v="0"/>
  </r>
  <r>
    <x v="545"/>
    <x v="4"/>
    <x v="15"/>
    <x v="15"/>
    <x v="31"/>
    <n v="50"/>
    <x v="2"/>
    <x v="0"/>
    <x v="545"/>
    <x v="545"/>
    <x v="1"/>
    <x v="545"/>
    <n v="589159"/>
    <x v="19"/>
    <n v="0"/>
  </r>
  <r>
    <x v="546"/>
    <x v="6"/>
    <x v="0"/>
    <x v="0"/>
    <x v="36"/>
    <n v="28"/>
    <x v="0"/>
    <x v="1"/>
    <x v="546"/>
    <x v="546"/>
    <x v="0"/>
    <x v="546"/>
    <n v="801644"/>
    <x v="24"/>
    <n v="0"/>
  </r>
  <r>
    <x v="547"/>
    <x v="0"/>
    <x v="22"/>
    <x v="22"/>
    <x v="30"/>
    <n v="14"/>
    <x v="3"/>
    <x v="1"/>
    <x v="547"/>
    <x v="547"/>
    <x v="1"/>
    <x v="547"/>
    <n v="5817706"/>
    <x v="23"/>
    <n v="0"/>
  </r>
  <r>
    <x v="548"/>
    <x v="4"/>
    <x v="0"/>
    <x v="0"/>
    <x v="45"/>
    <n v="38"/>
    <x v="3"/>
    <x v="1"/>
    <x v="548"/>
    <x v="548"/>
    <x v="1"/>
    <x v="548"/>
    <n v="3903844"/>
    <x v="19"/>
    <n v="0"/>
  </r>
  <r>
    <x v="549"/>
    <x v="5"/>
    <x v="8"/>
    <x v="8"/>
    <x v="19"/>
    <n v="52"/>
    <x v="3"/>
    <x v="0"/>
    <x v="549"/>
    <x v="549"/>
    <x v="0"/>
    <x v="549"/>
    <n v="1315502"/>
    <x v="15"/>
    <n v="0"/>
  </r>
  <r>
    <x v="550"/>
    <x v="5"/>
    <x v="22"/>
    <x v="22"/>
    <x v="31"/>
    <n v="50"/>
    <x v="2"/>
    <x v="0"/>
    <x v="550"/>
    <x v="550"/>
    <x v="1"/>
    <x v="550"/>
    <n v="7434198"/>
    <x v="20"/>
    <n v="0"/>
  </r>
  <r>
    <x v="551"/>
    <x v="6"/>
    <x v="22"/>
    <x v="22"/>
    <x v="20"/>
    <n v="19"/>
    <x v="3"/>
    <x v="0"/>
    <x v="551"/>
    <x v="551"/>
    <x v="0"/>
    <x v="551"/>
    <n v="8775812"/>
    <x v="26"/>
    <n v="0"/>
  </r>
  <r>
    <x v="552"/>
    <x v="2"/>
    <x v="18"/>
    <x v="18"/>
    <x v="1"/>
    <n v="44"/>
    <x v="2"/>
    <x v="1"/>
    <x v="552"/>
    <x v="552"/>
    <x v="0"/>
    <x v="552"/>
    <n v="9715613"/>
    <x v="2"/>
    <n v="0"/>
  </r>
  <r>
    <x v="553"/>
    <x v="2"/>
    <x v="10"/>
    <x v="10"/>
    <x v="28"/>
    <n v="21"/>
    <x v="0"/>
    <x v="1"/>
    <x v="553"/>
    <x v="553"/>
    <x v="1"/>
    <x v="553"/>
    <n v="9302699"/>
    <x v="2"/>
    <n v="0"/>
  </r>
  <r>
    <x v="554"/>
    <x v="6"/>
    <x v="16"/>
    <x v="16"/>
    <x v="28"/>
    <n v="21"/>
    <x v="1"/>
    <x v="0"/>
    <x v="554"/>
    <x v="554"/>
    <x v="2"/>
    <x v="554"/>
    <n v="807547"/>
    <x v="21"/>
    <n v="0"/>
  </r>
  <r>
    <x v="555"/>
    <x v="2"/>
    <x v="18"/>
    <x v="18"/>
    <x v="12"/>
    <n v="54"/>
    <x v="2"/>
    <x v="0"/>
    <x v="555"/>
    <x v="555"/>
    <x v="1"/>
    <x v="555"/>
    <n v="6612983"/>
    <x v="6"/>
    <n v="0"/>
  </r>
  <r>
    <x v="556"/>
    <x v="0"/>
    <x v="4"/>
    <x v="4"/>
    <x v="27"/>
    <n v="22"/>
    <x v="2"/>
    <x v="1"/>
    <x v="556"/>
    <x v="556"/>
    <x v="2"/>
    <x v="556"/>
    <n v="7923871"/>
    <x v="0"/>
    <n v="0"/>
  </r>
  <r>
    <x v="557"/>
    <x v="0"/>
    <x v="7"/>
    <x v="7"/>
    <x v="0"/>
    <n v="23"/>
    <x v="1"/>
    <x v="0"/>
    <x v="557"/>
    <x v="557"/>
    <x v="0"/>
    <x v="557"/>
    <n v="4604795"/>
    <x v="0"/>
    <n v="0"/>
  </r>
  <r>
    <x v="558"/>
    <x v="2"/>
    <x v="17"/>
    <x v="17"/>
    <x v="22"/>
    <n v="10"/>
    <x v="1"/>
    <x v="1"/>
    <x v="558"/>
    <x v="558"/>
    <x v="2"/>
    <x v="558"/>
    <n v="6150374"/>
    <x v="2"/>
    <n v="0"/>
  </r>
  <r>
    <x v="559"/>
    <x v="5"/>
    <x v="6"/>
    <x v="6"/>
    <x v="12"/>
    <n v="54"/>
    <x v="0"/>
    <x v="0"/>
    <x v="559"/>
    <x v="559"/>
    <x v="1"/>
    <x v="559"/>
    <n v="3812648"/>
    <x v="12"/>
    <n v="0"/>
  </r>
  <r>
    <x v="560"/>
    <x v="2"/>
    <x v="9"/>
    <x v="9"/>
    <x v="31"/>
    <n v="50"/>
    <x v="3"/>
    <x v="1"/>
    <x v="560"/>
    <x v="560"/>
    <x v="1"/>
    <x v="560"/>
    <n v="3603738"/>
    <x v="5"/>
    <n v="0"/>
  </r>
  <r>
    <x v="561"/>
    <x v="0"/>
    <x v="13"/>
    <x v="13"/>
    <x v="3"/>
    <n v="41"/>
    <x v="2"/>
    <x v="0"/>
    <x v="561"/>
    <x v="561"/>
    <x v="2"/>
    <x v="561"/>
    <n v="7688572"/>
    <x v="0"/>
    <n v="0"/>
  </r>
  <r>
    <x v="562"/>
    <x v="3"/>
    <x v="10"/>
    <x v="10"/>
    <x v="43"/>
    <n v="48"/>
    <x v="3"/>
    <x v="0"/>
    <x v="562"/>
    <x v="562"/>
    <x v="1"/>
    <x v="562"/>
    <n v="4812361"/>
    <x v="8"/>
    <n v="0"/>
  </r>
  <r>
    <x v="563"/>
    <x v="1"/>
    <x v="17"/>
    <x v="17"/>
    <x v="10"/>
    <n v="18"/>
    <x v="2"/>
    <x v="1"/>
    <x v="563"/>
    <x v="563"/>
    <x v="2"/>
    <x v="563"/>
    <n v="2515532"/>
    <x v="14"/>
    <n v="0"/>
  </r>
  <r>
    <x v="564"/>
    <x v="4"/>
    <x v="20"/>
    <x v="20"/>
    <x v="17"/>
    <n v="33"/>
    <x v="0"/>
    <x v="1"/>
    <x v="564"/>
    <x v="564"/>
    <x v="0"/>
    <x v="564"/>
    <n v="2418413"/>
    <x v="17"/>
    <n v="0"/>
  </r>
  <r>
    <x v="565"/>
    <x v="3"/>
    <x v="17"/>
    <x v="17"/>
    <x v="36"/>
    <n v="28"/>
    <x v="1"/>
    <x v="1"/>
    <x v="565"/>
    <x v="565"/>
    <x v="2"/>
    <x v="565"/>
    <n v="8662137"/>
    <x v="4"/>
    <n v="0"/>
  </r>
  <r>
    <x v="566"/>
    <x v="2"/>
    <x v="0"/>
    <x v="0"/>
    <x v="9"/>
    <n v="15"/>
    <x v="0"/>
    <x v="0"/>
    <x v="566"/>
    <x v="566"/>
    <x v="2"/>
    <x v="566"/>
    <n v="6938725"/>
    <x v="2"/>
    <n v="0"/>
  </r>
  <r>
    <x v="567"/>
    <x v="5"/>
    <x v="12"/>
    <x v="12"/>
    <x v="48"/>
    <n v="34"/>
    <x v="1"/>
    <x v="1"/>
    <x v="567"/>
    <x v="567"/>
    <x v="2"/>
    <x v="567"/>
    <n v="5687438"/>
    <x v="20"/>
    <n v="0"/>
  </r>
  <r>
    <x v="568"/>
    <x v="6"/>
    <x v="0"/>
    <x v="0"/>
    <x v="24"/>
    <n v="56"/>
    <x v="3"/>
    <x v="1"/>
    <x v="568"/>
    <x v="568"/>
    <x v="2"/>
    <x v="568"/>
    <n v="4308918"/>
    <x v="21"/>
    <n v="0"/>
  </r>
  <r>
    <x v="569"/>
    <x v="2"/>
    <x v="13"/>
    <x v="13"/>
    <x v="50"/>
    <n v="12"/>
    <x v="3"/>
    <x v="0"/>
    <x v="569"/>
    <x v="569"/>
    <x v="0"/>
    <x v="569"/>
    <n v="4592765"/>
    <x v="6"/>
    <n v="0"/>
  </r>
  <r>
    <x v="570"/>
    <x v="5"/>
    <x v="8"/>
    <x v="8"/>
    <x v="41"/>
    <n v="25"/>
    <x v="0"/>
    <x v="1"/>
    <x v="570"/>
    <x v="570"/>
    <x v="0"/>
    <x v="570"/>
    <n v="1045634"/>
    <x v="12"/>
    <n v="0"/>
  </r>
  <r>
    <x v="571"/>
    <x v="1"/>
    <x v="15"/>
    <x v="15"/>
    <x v="13"/>
    <n v="20"/>
    <x v="1"/>
    <x v="1"/>
    <x v="571"/>
    <x v="571"/>
    <x v="0"/>
    <x v="571"/>
    <n v="4821646"/>
    <x v="25"/>
    <n v="0"/>
  </r>
  <r>
    <x v="572"/>
    <x v="2"/>
    <x v="1"/>
    <x v="1"/>
    <x v="27"/>
    <n v="22"/>
    <x v="0"/>
    <x v="1"/>
    <x v="572"/>
    <x v="572"/>
    <x v="2"/>
    <x v="572"/>
    <n v="8056822"/>
    <x v="6"/>
    <n v="0"/>
  </r>
  <r>
    <x v="573"/>
    <x v="0"/>
    <x v="19"/>
    <x v="19"/>
    <x v="37"/>
    <n v="55"/>
    <x v="1"/>
    <x v="0"/>
    <x v="573"/>
    <x v="573"/>
    <x v="0"/>
    <x v="573"/>
    <n v="4185872"/>
    <x v="0"/>
    <n v="0"/>
  </r>
  <r>
    <x v="574"/>
    <x v="6"/>
    <x v="3"/>
    <x v="3"/>
    <x v="17"/>
    <n v="33"/>
    <x v="1"/>
    <x v="0"/>
    <x v="574"/>
    <x v="574"/>
    <x v="1"/>
    <x v="574"/>
    <n v="4144022"/>
    <x v="18"/>
    <n v="0"/>
  </r>
  <r>
    <x v="575"/>
    <x v="5"/>
    <x v="18"/>
    <x v="18"/>
    <x v="17"/>
    <n v="33"/>
    <x v="3"/>
    <x v="0"/>
    <x v="575"/>
    <x v="575"/>
    <x v="0"/>
    <x v="575"/>
    <n v="649308"/>
    <x v="12"/>
    <n v="0"/>
  </r>
  <r>
    <x v="576"/>
    <x v="5"/>
    <x v="13"/>
    <x v="13"/>
    <x v="43"/>
    <n v="48"/>
    <x v="3"/>
    <x v="1"/>
    <x v="576"/>
    <x v="576"/>
    <x v="2"/>
    <x v="576"/>
    <n v="4849435"/>
    <x v="16"/>
    <n v="0"/>
  </r>
  <r>
    <x v="577"/>
    <x v="5"/>
    <x v="19"/>
    <x v="19"/>
    <x v="10"/>
    <n v="18"/>
    <x v="1"/>
    <x v="0"/>
    <x v="577"/>
    <x v="577"/>
    <x v="1"/>
    <x v="577"/>
    <n v="740708"/>
    <x v="15"/>
    <n v="0"/>
  </r>
  <r>
    <x v="578"/>
    <x v="1"/>
    <x v="17"/>
    <x v="17"/>
    <x v="48"/>
    <n v="34"/>
    <x v="1"/>
    <x v="1"/>
    <x v="578"/>
    <x v="578"/>
    <x v="2"/>
    <x v="578"/>
    <n v="591832"/>
    <x v="1"/>
    <n v="0"/>
  </r>
  <r>
    <x v="579"/>
    <x v="2"/>
    <x v="15"/>
    <x v="15"/>
    <x v="40"/>
    <n v="31"/>
    <x v="1"/>
    <x v="1"/>
    <x v="579"/>
    <x v="579"/>
    <x v="1"/>
    <x v="579"/>
    <n v="5314442"/>
    <x v="6"/>
    <n v="0"/>
  </r>
  <r>
    <x v="580"/>
    <x v="1"/>
    <x v="17"/>
    <x v="17"/>
    <x v="6"/>
    <n v="40"/>
    <x v="3"/>
    <x v="1"/>
    <x v="580"/>
    <x v="580"/>
    <x v="2"/>
    <x v="580"/>
    <n v="8480081"/>
    <x v="25"/>
    <n v="0"/>
  </r>
  <r>
    <x v="581"/>
    <x v="4"/>
    <x v="13"/>
    <x v="13"/>
    <x v="49"/>
    <n v="60"/>
    <x v="3"/>
    <x v="0"/>
    <x v="581"/>
    <x v="581"/>
    <x v="2"/>
    <x v="581"/>
    <n v="6026916"/>
    <x v="19"/>
    <n v="0"/>
  </r>
  <r>
    <x v="582"/>
    <x v="4"/>
    <x v="9"/>
    <x v="9"/>
    <x v="43"/>
    <n v="48"/>
    <x v="2"/>
    <x v="0"/>
    <x v="582"/>
    <x v="582"/>
    <x v="1"/>
    <x v="582"/>
    <n v="357256"/>
    <x v="19"/>
    <n v="0"/>
  </r>
  <r>
    <x v="583"/>
    <x v="2"/>
    <x v="18"/>
    <x v="18"/>
    <x v="15"/>
    <n v="30"/>
    <x v="1"/>
    <x v="1"/>
    <x v="583"/>
    <x v="583"/>
    <x v="0"/>
    <x v="583"/>
    <n v="5404195"/>
    <x v="5"/>
    <n v="0"/>
  </r>
  <r>
    <x v="584"/>
    <x v="0"/>
    <x v="15"/>
    <x v="15"/>
    <x v="32"/>
    <n v="51"/>
    <x v="2"/>
    <x v="1"/>
    <x v="584"/>
    <x v="584"/>
    <x v="1"/>
    <x v="584"/>
    <n v="714721"/>
    <x v="3"/>
    <n v="0"/>
  </r>
  <r>
    <x v="585"/>
    <x v="1"/>
    <x v="1"/>
    <x v="1"/>
    <x v="20"/>
    <n v="19"/>
    <x v="1"/>
    <x v="0"/>
    <x v="585"/>
    <x v="585"/>
    <x v="1"/>
    <x v="585"/>
    <n v="1392656"/>
    <x v="14"/>
    <n v="0"/>
  </r>
  <r>
    <x v="586"/>
    <x v="6"/>
    <x v="8"/>
    <x v="8"/>
    <x v="50"/>
    <n v="12"/>
    <x v="3"/>
    <x v="0"/>
    <x v="586"/>
    <x v="586"/>
    <x v="1"/>
    <x v="586"/>
    <n v="6400204"/>
    <x v="26"/>
    <n v="0"/>
  </r>
  <r>
    <x v="587"/>
    <x v="5"/>
    <x v="23"/>
    <x v="23"/>
    <x v="13"/>
    <n v="20"/>
    <x v="2"/>
    <x v="0"/>
    <x v="587"/>
    <x v="587"/>
    <x v="1"/>
    <x v="587"/>
    <n v="920795"/>
    <x v="16"/>
    <n v="0"/>
  </r>
  <r>
    <x v="588"/>
    <x v="5"/>
    <x v="8"/>
    <x v="8"/>
    <x v="46"/>
    <n v="27"/>
    <x v="2"/>
    <x v="1"/>
    <x v="588"/>
    <x v="588"/>
    <x v="1"/>
    <x v="588"/>
    <n v="3341738"/>
    <x v="20"/>
    <n v="0"/>
  </r>
  <r>
    <x v="589"/>
    <x v="2"/>
    <x v="0"/>
    <x v="0"/>
    <x v="34"/>
    <n v="36"/>
    <x v="0"/>
    <x v="0"/>
    <x v="589"/>
    <x v="589"/>
    <x v="2"/>
    <x v="589"/>
    <n v="6452938"/>
    <x v="2"/>
    <n v="0"/>
  </r>
  <r>
    <x v="590"/>
    <x v="0"/>
    <x v="19"/>
    <x v="19"/>
    <x v="3"/>
    <n v="41"/>
    <x v="1"/>
    <x v="0"/>
    <x v="590"/>
    <x v="590"/>
    <x v="2"/>
    <x v="590"/>
    <n v="830263"/>
    <x v="9"/>
    <n v="0"/>
  </r>
  <r>
    <x v="591"/>
    <x v="4"/>
    <x v="5"/>
    <x v="5"/>
    <x v="24"/>
    <n v="56"/>
    <x v="3"/>
    <x v="0"/>
    <x v="591"/>
    <x v="591"/>
    <x v="0"/>
    <x v="591"/>
    <n v="5362161"/>
    <x v="19"/>
    <n v="0"/>
  </r>
  <r>
    <x v="592"/>
    <x v="4"/>
    <x v="6"/>
    <x v="6"/>
    <x v="42"/>
    <n v="35"/>
    <x v="0"/>
    <x v="1"/>
    <x v="592"/>
    <x v="592"/>
    <x v="0"/>
    <x v="592"/>
    <n v="7320806"/>
    <x v="19"/>
    <n v="0"/>
  </r>
  <r>
    <x v="593"/>
    <x v="5"/>
    <x v="17"/>
    <x v="17"/>
    <x v="42"/>
    <n v="35"/>
    <x v="0"/>
    <x v="0"/>
    <x v="593"/>
    <x v="593"/>
    <x v="1"/>
    <x v="593"/>
    <n v="3454598"/>
    <x v="15"/>
    <n v="0"/>
  </r>
  <r>
    <x v="594"/>
    <x v="2"/>
    <x v="2"/>
    <x v="2"/>
    <x v="29"/>
    <n v="13"/>
    <x v="1"/>
    <x v="1"/>
    <x v="594"/>
    <x v="594"/>
    <x v="0"/>
    <x v="594"/>
    <n v="3407555"/>
    <x v="13"/>
    <n v="0"/>
  </r>
  <r>
    <x v="595"/>
    <x v="1"/>
    <x v="21"/>
    <x v="21"/>
    <x v="50"/>
    <n v="12"/>
    <x v="0"/>
    <x v="1"/>
    <x v="595"/>
    <x v="595"/>
    <x v="0"/>
    <x v="595"/>
    <n v="6842048"/>
    <x v="11"/>
    <n v="0"/>
  </r>
  <r>
    <x v="596"/>
    <x v="4"/>
    <x v="9"/>
    <x v="9"/>
    <x v="45"/>
    <n v="38"/>
    <x v="1"/>
    <x v="1"/>
    <x v="596"/>
    <x v="596"/>
    <x v="1"/>
    <x v="596"/>
    <n v="7201384"/>
    <x v="7"/>
    <n v="0"/>
  </r>
  <r>
    <x v="597"/>
    <x v="1"/>
    <x v="5"/>
    <x v="5"/>
    <x v="23"/>
    <n v="32"/>
    <x v="0"/>
    <x v="0"/>
    <x v="597"/>
    <x v="597"/>
    <x v="2"/>
    <x v="597"/>
    <n v="9401592"/>
    <x v="14"/>
    <n v="0"/>
  </r>
  <r>
    <x v="598"/>
    <x v="0"/>
    <x v="12"/>
    <x v="12"/>
    <x v="19"/>
    <n v="52"/>
    <x v="1"/>
    <x v="0"/>
    <x v="598"/>
    <x v="598"/>
    <x v="2"/>
    <x v="598"/>
    <n v="2635966"/>
    <x v="3"/>
    <n v="0"/>
  </r>
  <r>
    <x v="599"/>
    <x v="4"/>
    <x v="1"/>
    <x v="1"/>
    <x v="10"/>
    <n v="18"/>
    <x v="3"/>
    <x v="0"/>
    <x v="599"/>
    <x v="599"/>
    <x v="0"/>
    <x v="599"/>
    <n v="4948067"/>
    <x v="7"/>
    <n v="0"/>
  </r>
  <r>
    <x v="600"/>
    <x v="4"/>
    <x v="11"/>
    <x v="11"/>
    <x v="16"/>
    <n v="11"/>
    <x v="1"/>
    <x v="1"/>
    <x v="600"/>
    <x v="600"/>
    <x v="2"/>
    <x v="600"/>
    <n v="2879878"/>
    <x v="17"/>
    <n v="0"/>
  </r>
  <r>
    <x v="601"/>
    <x v="3"/>
    <x v="1"/>
    <x v="1"/>
    <x v="23"/>
    <n v="32"/>
    <x v="1"/>
    <x v="0"/>
    <x v="601"/>
    <x v="601"/>
    <x v="2"/>
    <x v="601"/>
    <n v="1260876"/>
    <x v="27"/>
    <n v="0"/>
  </r>
  <r>
    <x v="602"/>
    <x v="4"/>
    <x v="1"/>
    <x v="1"/>
    <x v="27"/>
    <n v="22"/>
    <x v="2"/>
    <x v="1"/>
    <x v="602"/>
    <x v="602"/>
    <x v="0"/>
    <x v="602"/>
    <n v="433069"/>
    <x v="22"/>
    <n v="0"/>
  </r>
  <r>
    <x v="603"/>
    <x v="6"/>
    <x v="9"/>
    <x v="9"/>
    <x v="50"/>
    <n v="12"/>
    <x v="3"/>
    <x v="0"/>
    <x v="603"/>
    <x v="603"/>
    <x v="1"/>
    <x v="603"/>
    <n v="4053767"/>
    <x v="24"/>
    <n v="0"/>
  </r>
  <r>
    <x v="604"/>
    <x v="2"/>
    <x v="19"/>
    <x v="19"/>
    <x v="25"/>
    <n v="46"/>
    <x v="3"/>
    <x v="0"/>
    <x v="604"/>
    <x v="604"/>
    <x v="0"/>
    <x v="604"/>
    <n v="3069124"/>
    <x v="2"/>
    <n v="0"/>
  </r>
  <r>
    <x v="605"/>
    <x v="2"/>
    <x v="19"/>
    <x v="19"/>
    <x v="44"/>
    <n v="16"/>
    <x v="3"/>
    <x v="0"/>
    <x v="605"/>
    <x v="605"/>
    <x v="0"/>
    <x v="605"/>
    <n v="3321451"/>
    <x v="2"/>
    <n v="0"/>
  </r>
  <r>
    <x v="606"/>
    <x v="1"/>
    <x v="20"/>
    <x v="20"/>
    <x v="6"/>
    <n v="40"/>
    <x v="0"/>
    <x v="0"/>
    <x v="606"/>
    <x v="606"/>
    <x v="0"/>
    <x v="606"/>
    <n v="3923912"/>
    <x v="25"/>
    <n v="0"/>
  </r>
  <r>
    <x v="607"/>
    <x v="0"/>
    <x v="17"/>
    <x v="17"/>
    <x v="5"/>
    <n v="24"/>
    <x v="2"/>
    <x v="1"/>
    <x v="607"/>
    <x v="607"/>
    <x v="1"/>
    <x v="607"/>
    <n v="9893958"/>
    <x v="9"/>
    <n v="0"/>
  </r>
  <r>
    <x v="608"/>
    <x v="4"/>
    <x v="4"/>
    <x v="4"/>
    <x v="20"/>
    <n v="19"/>
    <x v="3"/>
    <x v="1"/>
    <x v="608"/>
    <x v="608"/>
    <x v="1"/>
    <x v="608"/>
    <n v="7938099"/>
    <x v="7"/>
    <n v="0"/>
  </r>
  <r>
    <x v="609"/>
    <x v="6"/>
    <x v="14"/>
    <x v="14"/>
    <x v="35"/>
    <n v="29"/>
    <x v="0"/>
    <x v="1"/>
    <x v="609"/>
    <x v="609"/>
    <x v="1"/>
    <x v="609"/>
    <n v="1178311"/>
    <x v="24"/>
    <n v="0"/>
  </r>
  <r>
    <x v="610"/>
    <x v="1"/>
    <x v="12"/>
    <x v="12"/>
    <x v="31"/>
    <n v="50"/>
    <x v="0"/>
    <x v="1"/>
    <x v="610"/>
    <x v="610"/>
    <x v="1"/>
    <x v="610"/>
    <n v="8787925"/>
    <x v="1"/>
    <n v="0"/>
  </r>
  <r>
    <x v="611"/>
    <x v="3"/>
    <x v="16"/>
    <x v="16"/>
    <x v="15"/>
    <n v="30"/>
    <x v="0"/>
    <x v="0"/>
    <x v="611"/>
    <x v="611"/>
    <x v="0"/>
    <x v="611"/>
    <n v="6516382"/>
    <x v="10"/>
    <n v="0"/>
  </r>
  <r>
    <x v="612"/>
    <x v="1"/>
    <x v="0"/>
    <x v="0"/>
    <x v="43"/>
    <n v="48"/>
    <x v="2"/>
    <x v="1"/>
    <x v="612"/>
    <x v="612"/>
    <x v="2"/>
    <x v="612"/>
    <n v="8960641"/>
    <x v="14"/>
    <n v="0"/>
  </r>
  <r>
    <x v="613"/>
    <x v="1"/>
    <x v="17"/>
    <x v="17"/>
    <x v="44"/>
    <n v="16"/>
    <x v="0"/>
    <x v="1"/>
    <x v="613"/>
    <x v="613"/>
    <x v="0"/>
    <x v="613"/>
    <n v="3746242"/>
    <x v="14"/>
    <n v="0"/>
  </r>
  <r>
    <x v="614"/>
    <x v="4"/>
    <x v="17"/>
    <x v="17"/>
    <x v="39"/>
    <n v="49"/>
    <x v="2"/>
    <x v="1"/>
    <x v="614"/>
    <x v="614"/>
    <x v="1"/>
    <x v="614"/>
    <n v="4912929"/>
    <x v="22"/>
    <n v="0"/>
  </r>
  <r>
    <x v="615"/>
    <x v="3"/>
    <x v="22"/>
    <x v="22"/>
    <x v="27"/>
    <n v="22"/>
    <x v="1"/>
    <x v="0"/>
    <x v="615"/>
    <x v="615"/>
    <x v="2"/>
    <x v="615"/>
    <n v="9014157"/>
    <x v="27"/>
    <n v="0"/>
  </r>
  <r>
    <x v="616"/>
    <x v="1"/>
    <x v="10"/>
    <x v="10"/>
    <x v="1"/>
    <n v="44"/>
    <x v="0"/>
    <x v="1"/>
    <x v="616"/>
    <x v="616"/>
    <x v="0"/>
    <x v="616"/>
    <n v="3089445"/>
    <x v="11"/>
    <n v="0"/>
  </r>
  <r>
    <x v="617"/>
    <x v="6"/>
    <x v="12"/>
    <x v="12"/>
    <x v="45"/>
    <n v="38"/>
    <x v="3"/>
    <x v="1"/>
    <x v="617"/>
    <x v="617"/>
    <x v="2"/>
    <x v="617"/>
    <n v="9197258"/>
    <x v="26"/>
    <n v="0"/>
  </r>
  <r>
    <x v="618"/>
    <x v="6"/>
    <x v="7"/>
    <x v="7"/>
    <x v="24"/>
    <n v="56"/>
    <x v="0"/>
    <x v="0"/>
    <x v="618"/>
    <x v="618"/>
    <x v="1"/>
    <x v="618"/>
    <n v="8370747"/>
    <x v="18"/>
    <n v="0"/>
  </r>
  <r>
    <x v="619"/>
    <x v="2"/>
    <x v="23"/>
    <x v="23"/>
    <x v="35"/>
    <n v="29"/>
    <x v="1"/>
    <x v="0"/>
    <x v="619"/>
    <x v="619"/>
    <x v="2"/>
    <x v="619"/>
    <n v="981530"/>
    <x v="5"/>
    <n v="0"/>
  </r>
  <r>
    <x v="620"/>
    <x v="3"/>
    <x v="0"/>
    <x v="0"/>
    <x v="29"/>
    <n v="13"/>
    <x v="1"/>
    <x v="1"/>
    <x v="620"/>
    <x v="620"/>
    <x v="2"/>
    <x v="620"/>
    <n v="3580447"/>
    <x v="4"/>
    <n v="0"/>
  </r>
  <r>
    <x v="621"/>
    <x v="3"/>
    <x v="21"/>
    <x v="21"/>
    <x v="16"/>
    <n v="11"/>
    <x v="0"/>
    <x v="1"/>
    <x v="621"/>
    <x v="621"/>
    <x v="1"/>
    <x v="621"/>
    <n v="2739655"/>
    <x v="27"/>
    <n v="0"/>
  </r>
  <r>
    <x v="622"/>
    <x v="2"/>
    <x v="21"/>
    <x v="21"/>
    <x v="32"/>
    <n v="51"/>
    <x v="1"/>
    <x v="0"/>
    <x v="622"/>
    <x v="622"/>
    <x v="2"/>
    <x v="622"/>
    <n v="3643236"/>
    <x v="5"/>
    <n v="0"/>
  </r>
  <r>
    <x v="623"/>
    <x v="1"/>
    <x v="2"/>
    <x v="2"/>
    <x v="34"/>
    <n v="36"/>
    <x v="2"/>
    <x v="1"/>
    <x v="623"/>
    <x v="623"/>
    <x v="0"/>
    <x v="623"/>
    <n v="9569173"/>
    <x v="25"/>
    <n v="0"/>
  </r>
  <r>
    <x v="624"/>
    <x v="3"/>
    <x v="22"/>
    <x v="22"/>
    <x v="39"/>
    <n v="49"/>
    <x v="2"/>
    <x v="0"/>
    <x v="624"/>
    <x v="624"/>
    <x v="2"/>
    <x v="624"/>
    <n v="3664196"/>
    <x v="10"/>
    <n v="0"/>
  </r>
  <r>
    <x v="625"/>
    <x v="6"/>
    <x v="22"/>
    <x v="22"/>
    <x v="27"/>
    <n v="22"/>
    <x v="0"/>
    <x v="1"/>
    <x v="625"/>
    <x v="625"/>
    <x v="0"/>
    <x v="625"/>
    <n v="5869512"/>
    <x v="24"/>
    <n v="0"/>
  </r>
  <r>
    <x v="626"/>
    <x v="6"/>
    <x v="13"/>
    <x v="13"/>
    <x v="46"/>
    <n v="27"/>
    <x v="2"/>
    <x v="1"/>
    <x v="626"/>
    <x v="626"/>
    <x v="2"/>
    <x v="626"/>
    <n v="4334953"/>
    <x v="18"/>
    <n v="0"/>
  </r>
  <r>
    <x v="627"/>
    <x v="4"/>
    <x v="7"/>
    <x v="7"/>
    <x v="50"/>
    <n v="12"/>
    <x v="2"/>
    <x v="1"/>
    <x v="627"/>
    <x v="627"/>
    <x v="2"/>
    <x v="627"/>
    <n v="4264091"/>
    <x v="22"/>
    <n v="0"/>
  </r>
  <r>
    <x v="628"/>
    <x v="3"/>
    <x v="4"/>
    <x v="4"/>
    <x v="18"/>
    <n v="58"/>
    <x v="3"/>
    <x v="1"/>
    <x v="628"/>
    <x v="628"/>
    <x v="1"/>
    <x v="628"/>
    <n v="2337097"/>
    <x v="8"/>
    <n v="0"/>
  </r>
  <r>
    <x v="629"/>
    <x v="1"/>
    <x v="6"/>
    <x v="6"/>
    <x v="38"/>
    <n v="43"/>
    <x v="0"/>
    <x v="1"/>
    <x v="629"/>
    <x v="629"/>
    <x v="1"/>
    <x v="629"/>
    <n v="5602256"/>
    <x v="14"/>
    <n v="0"/>
  </r>
  <r>
    <x v="630"/>
    <x v="2"/>
    <x v="21"/>
    <x v="21"/>
    <x v="8"/>
    <n v="57"/>
    <x v="1"/>
    <x v="0"/>
    <x v="630"/>
    <x v="630"/>
    <x v="0"/>
    <x v="630"/>
    <n v="856934"/>
    <x v="2"/>
    <n v="0"/>
  </r>
  <r>
    <x v="631"/>
    <x v="2"/>
    <x v="3"/>
    <x v="3"/>
    <x v="0"/>
    <n v="23"/>
    <x v="0"/>
    <x v="0"/>
    <x v="631"/>
    <x v="631"/>
    <x v="1"/>
    <x v="631"/>
    <n v="970108"/>
    <x v="5"/>
    <n v="0"/>
  </r>
  <r>
    <x v="632"/>
    <x v="1"/>
    <x v="17"/>
    <x v="17"/>
    <x v="3"/>
    <n v="41"/>
    <x v="2"/>
    <x v="1"/>
    <x v="632"/>
    <x v="632"/>
    <x v="1"/>
    <x v="632"/>
    <n v="8947653"/>
    <x v="11"/>
    <n v="0"/>
  </r>
  <r>
    <x v="633"/>
    <x v="0"/>
    <x v="10"/>
    <x v="10"/>
    <x v="1"/>
    <n v="44"/>
    <x v="3"/>
    <x v="1"/>
    <x v="633"/>
    <x v="633"/>
    <x v="1"/>
    <x v="633"/>
    <n v="6821993"/>
    <x v="9"/>
    <n v="0"/>
  </r>
  <r>
    <x v="634"/>
    <x v="5"/>
    <x v="20"/>
    <x v="20"/>
    <x v="4"/>
    <n v="26"/>
    <x v="0"/>
    <x v="1"/>
    <x v="634"/>
    <x v="634"/>
    <x v="1"/>
    <x v="634"/>
    <n v="6359012"/>
    <x v="12"/>
    <n v="0"/>
  </r>
  <r>
    <x v="635"/>
    <x v="4"/>
    <x v="15"/>
    <x v="15"/>
    <x v="19"/>
    <n v="52"/>
    <x v="0"/>
    <x v="0"/>
    <x v="635"/>
    <x v="635"/>
    <x v="1"/>
    <x v="635"/>
    <n v="6446052"/>
    <x v="7"/>
    <n v="0"/>
  </r>
  <r>
    <x v="636"/>
    <x v="2"/>
    <x v="6"/>
    <x v="6"/>
    <x v="8"/>
    <n v="57"/>
    <x v="2"/>
    <x v="0"/>
    <x v="636"/>
    <x v="636"/>
    <x v="0"/>
    <x v="636"/>
    <n v="3314563"/>
    <x v="5"/>
    <n v="0"/>
  </r>
  <r>
    <x v="637"/>
    <x v="3"/>
    <x v="16"/>
    <x v="16"/>
    <x v="12"/>
    <n v="54"/>
    <x v="2"/>
    <x v="0"/>
    <x v="637"/>
    <x v="637"/>
    <x v="0"/>
    <x v="637"/>
    <n v="4443873"/>
    <x v="27"/>
    <n v="0"/>
  </r>
  <r>
    <x v="638"/>
    <x v="4"/>
    <x v="10"/>
    <x v="10"/>
    <x v="11"/>
    <n v="47"/>
    <x v="0"/>
    <x v="0"/>
    <x v="638"/>
    <x v="638"/>
    <x v="1"/>
    <x v="638"/>
    <n v="8093255"/>
    <x v="7"/>
    <n v="0"/>
  </r>
  <r>
    <x v="639"/>
    <x v="3"/>
    <x v="9"/>
    <x v="9"/>
    <x v="5"/>
    <n v="24"/>
    <x v="2"/>
    <x v="0"/>
    <x v="639"/>
    <x v="639"/>
    <x v="1"/>
    <x v="639"/>
    <n v="341062"/>
    <x v="27"/>
    <n v="0"/>
  </r>
  <r>
    <x v="640"/>
    <x v="0"/>
    <x v="4"/>
    <x v="4"/>
    <x v="5"/>
    <n v="24"/>
    <x v="2"/>
    <x v="0"/>
    <x v="640"/>
    <x v="640"/>
    <x v="0"/>
    <x v="640"/>
    <n v="4965192"/>
    <x v="0"/>
    <n v="0"/>
  </r>
  <r>
    <x v="641"/>
    <x v="6"/>
    <x v="12"/>
    <x v="12"/>
    <x v="18"/>
    <n v="58"/>
    <x v="2"/>
    <x v="0"/>
    <x v="641"/>
    <x v="641"/>
    <x v="2"/>
    <x v="641"/>
    <n v="686507"/>
    <x v="21"/>
    <n v="0"/>
  </r>
  <r>
    <x v="642"/>
    <x v="4"/>
    <x v="0"/>
    <x v="0"/>
    <x v="16"/>
    <n v="11"/>
    <x v="2"/>
    <x v="0"/>
    <x v="642"/>
    <x v="642"/>
    <x v="0"/>
    <x v="642"/>
    <n v="7468804"/>
    <x v="17"/>
    <n v="0"/>
  </r>
  <r>
    <x v="643"/>
    <x v="2"/>
    <x v="17"/>
    <x v="17"/>
    <x v="25"/>
    <n v="46"/>
    <x v="2"/>
    <x v="1"/>
    <x v="643"/>
    <x v="643"/>
    <x v="2"/>
    <x v="643"/>
    <n v="4468171"/>
    <x v="2"/>
    <n v="0"/>
  </r>
  <r>
    <x v="644"/>
    <x v="4"/>
    <x v="7"/>
    <x v="7"/>
    <x v="2"/>
    <n v="45"/>
    <x v="3"/>
    <x v="0"/>
    <x v="644"/>
    <x v="644"/>
    <x v="1"/>
    <x v="644"/>
    <n v="5490908"/>
    <x v="19"/>
    <n v="0"/>
  </r>
  <r>
    <x v="645"/>
    <x v="4"/>
    <x v="13"/>
    <x v="13"/>
    <x v="3"/>
    <n v="41"/>
    <x v="2"/>
    <x v="0"/>
    <x v="645"/>
    <x v="645"/>
    <x v="1"/>
    <x v="645"/>
    <n v="1589549"/>
    <x v="7"/>
    <n v="0"/>
  </r>
  <r>
    <x v="646"/>
    <x v="4"/>
    <x v="22"/>
    <x v="22"/>
    <x v="49"/>
    <n v="60"/>
    <x v="1"/>
    <x v="0"/>
    <x v="646"/>
    <x v="646"/>
    <x v="0"/>
    <x v="646"/>
    <n v="9921285"/>
    <x v="19"/>
    <n v="0"/>
  </r>
  <r>
    <x v="647"/>
    <x v="5"/>
    <x v="17"/>
    <x v="17"/>
    <x v="4"/>
    <n v="26"/>
    <x v="0"/>
    <x v="0"/>
    <x v="647"/>
    <x v="647"/>
    <x v="1"/>
    <x v="647"/>
    <n v="3373444"/>
    <x v="12"/>
    <n v="0"/>
  </r>
  <r>
    <x v="648"/>
    <x v="4"/>
    <x v="2"/>
    <x v="2"/>
    <x v="46"/>
    <n v="27"/>
    <x v="3"/>
    <x v="1"/>
    <x v="648"/>
    <x v="648"/>
    <x v="2"/>
    <x v="648"/>
    <n v="6532402"/>
    <x v="7"/>
    <n v="0"/>
  </r>
  <r>
    <x v="649"/>
    <x v="3"/>
    <x v="7"/>
    <x v="7"/>
    <x v="30"/>
    <n v="14"/>
    <x v="3"/>
    <x v="0"/>
    <x v="649"/>
    <x v="649"/>
    <x v="2"/>
    <x v="649"/>
    <n v="6021745"/>
    <x v="10"/>
    <n v="0"/>
  </r>
  <r>
    <x v="650"/>
    <x v="6"/>
    <x v="20"/>
    <x v="20"/>
    <x v="23"/>
    <n v="32"/>
    <x v="2"/>
    <x v="1"/>
    <x v="650"/>
    <x v="650"/>
    <x v="0"/>
    <x v="650"/>
    <n v="7958376"/>
    <x v="18"/>
    <n v="0"/>
  </r>
  <r>
    <x v="651"/>
    <x v="0"/>
    <x v="5"/>
    <x v="5"/>
    <x v="0"/>
    <n v="23"/>
    <x v="0"/>
    <x v="1"/>
    <x v="651"/>
    <x v="651"/>
    <x v="2"/>
    <x v="651"/>
    <n v="3291451"/>
    <x v="23"/>
    <n v="0"/>
  </r>
  <r>
    <x v="652"/>
    <x v="1"/>
    <x v="5"/>
    <x v="5"/>
    <x v="46"/>
    <n v="27"/>
    <x v="1"/>
    <x v="1"/>
    <x v="652"/>
    <x v="652"/>
    <x v="0"/>
    <x v="652"/>
    <n v="768131"/>
    <x v="11"/>
    <n v="0"/>
  </r>
  <r>
    <x v="653"/>
    <x v="4"/>
    <x v="6"/>
    <x v="6"/>
    <x v="19"/>
    <n v="52"/>
    <x v="2"/>
    <x v="0"/>
    <x v="653"/>
    <x v="653"/>
    <x v="0"/>
    <x v="653"/>
    <n v="4133766"/>
    <x v="17"/>
    <n v="0"/>
  </r>
  <r>
    <x v="654"/>
    <x v="2"/>
    <x v="3"/>
    <x v="3"/>
    <x v="8"/>
    <n v="57"/>
    <x v="0"/>
    <x v="0"/>
    <x v="654"/>
    <x v="654"/>
    <x v="2"/>
    <x v="654"/>
    <n v="4406029"/>
    <x v="6"/>
    <n v="0"/>
  </r>
  <r>
    <x v="655"/>
    <x v="4"/>
    <x v="1"/>
    <x v="1"/>
    <x v="20"/>
    <n v="19"/>
    <x v="2"/>
    <x v="0"/>
    <x v="655"/>
    <x v="655"/>
    <x v="2"/>
    <x v="655"/>
    <n v="6890769"/>
    <x v="19"/>
    <n v="0"/>
  </r>
  <r>
    <x v="656"/>
    <x v="2"/>
    <x v="2"/>
    <x v="2"/>
    <x v="35"/>
    <n v="29"/>
    <x v="2"/>
    <x v="1"/>
    <x v="656"/>
    <x v="656"/>
    <x v="2"/>
    <x v="656"/>
    <n v="7950715"/>
    <x v="13"/>
    <n v="0"/>
  </r>
  <r>
    <x v="657"/>
    <x v="3"/>
    <x v="0"/>
    <x v="0"/>
    <x v="24"/>
    <n v="56"/>
    <x v="2"/>
    <x v="1"/>
    <x v="657"/>
    <x v="657"/>
    <x v="2"/>
    <x v="657"/>
    <n v="6835233"/>
    <x v="8"/>
    <n v="0"/>
  </r>
  <r>
    <x v="658"/>
    <x v="2"/>
    <x v="8"/>
    <x v="8"/>
    <x v="29"/>
    <n v="13"/>
    <x v="2"/>
    <x v="1"/>
    <x v="658"/>
    <x v="658"/>
    <x v="2"/>
    <x v="658"/>
    <n v="9048855"/>
    <x v="5"/>
    <n v="0"/>
  </r>
  <r>
    <x v="659"/>
    <x v="1"/>
    <x v="6"/>
    <x v="6"/>
    <x v="9"/>
    <n v="15"/>
    <x v="2"/>
    <x v="1"/>
    <x v="659"/>
    <x v="659"/>
    <x v="2"/>
    <x v="659"/>
    <n v="3209011"/>
    <x v="25"/>
    <n v="0"/>
  </r>
  <r>
    <x v="660"/>
    <x v="6"/>
    <x v="23"/>
    <x v="23"/>
    <x v="10"/>
    <n v="18"/>
    <x v="2"/>
    <x v="0"/>
    <x v="660"/>
    <x v="660"/>
    <x v="2"/>
    <x v="660"/>
    <n v="9055859"/>
    <x v="21"/>
    <n v="0"/>
  </r>
  <r>
    <x v="661"/>
    <x v="2"/>
    <x v="13"/>
    <x v="13"/>
    <x v="6"/>
    <n v="40"/>
    <x v="2"/>
    <x v="0"/>
    <x v="661"/>
    <x v="661"/>
    <x v="1"/>
    <x v="661"/>
    <n v="1743203"/>
    <x v="2"/>
    <n v="0"/>
  </r>
  <r>
    <x v="662"/>
    <x v="2"/>
    <x v="11"/>
    <x v="11"/>
    <x v="10"/>
    <n v="18"/>
    <x v="1"/>
    <x v="0"/>
    <x v="662"/>
    <x v="662"/>
    <x v="0"/>
    <x v="662"/>
    <n v="6765538"/>
    <x v="2"/>
    <n v="0"/>
  </r>
  <r>
    <x v="663"/>
    <x v="6"/>
    <x v="0"/>
    <x v="0"/>
    <x v="18"/>
    <n v="58"/>
    <x v="3"/>
    <x v="1"/>
    <x v="663"/>
    <x v="663"/>
    <x v="0"/>
    <x v="663"/>
    <n v="5702491"/>
    <x v="21"/>
    <n v="0"/>
  </r>
  <r>
    <x v="664"/>
    <x v="1"/>
    <x v="3"/>
    <x v="3"/>
    <x v="23"/>
    <n v="32"/>
    <x v="1"/>
    <x v="1"/>
    <x v="664"/>
    <x v="664"/>
    <x v="2"/>
    <x v="664"/>
    <n v="5199041"/>
    <x v="14"/>
    <n v="0"/>
  </r>
  <r>
    <x v="665"/>
    <x v="4"/>
    <x v="22"/>
    <x v="22"/>
    <x v="42"/>
    <n v="35"/>
    <x v="2"/>
    <x v="0"/>
    <x v="665"/>
    <x v="665"/>
    <x v="0"/>
    <x v="665"/>
    <n v="3453664"/>
    <x v="7"/>
    <n v="0"/>
  </r>
  <r>
    <x v="666"/>
    <x v="2"/>
    <x v="12"/>
    <x v="12"/>
    <x v="27"/>
    <n v="22"/>
    <x v="2"/>
    <x v="0"/>
    <x v="666"/>
    <x v="666"/>
    <x v="2"/>
    <x v="666"/>
    <n v="5285461"/>
    <x v="13"/>
    <n v="0"/>
  </r>
  <r>
    <x v="667"/>
    <x v="6"/>
    <x v="7"/>
    <x v="7"/>
    <x v="48"/>
    <n v="34"/>
    <x v="1"/>
    <x v="1"/>
    <x v="667"/>
    <x v="667"/>
    <x v="1"/>
    <x v="667"/>
    <n v="2036847"/>
    <x v="18"/>
    <n v="0"/>
  </r>
  <r>
    <x v="668"/>
    <x v="3"/>
    <x v="6"/>
    <x v="6"/>
    <x v="38"/>
    <n v="43"/>
    <x v="1"/>
    <x v="0"/>
    <x v="668"/>
    <x v="668"/>
    <x v="0"/>
    <x v="668"/>
    <n v="4008549"/>
    <x v="8"/>
    <n v="0"/>
  </r>
  <r>
    <x v="669"/>
    <x v="6"/>
    <x v="15"/>
    <x v="15"/>
    <x v="43"/>
    <n v="48"/>
    <x v="3"/>
    <x v="0"/>
    <x v="669"/>
    <x v="669"/>
    <x v="0"/>
    <x v="669"/>
    <n v="1437469"/>
    <x v="18"/>
    <n v="0"/>
  </r>
  <r>
    <x v="670"/>
    <x v="3"/>
    <x v="6"/>
    <x v="6"/>
    <x v="43"/>
    <n v="48"/>
    <x v="1"/>
    <x v="1"/>
    <x v="670"/>
    <x v="670"/>
    <x v="1"/>
    <x v="670"/>
    <n v="5932543"/>
    <x v="27"/>
    <n v="0"/>
  </r>
  <r>
    <x v="671"/>
    <x v="1"/>
    <x v="17"/>
    <x v="17"/>
    <x v="14"/>
    <n v="39"/>
    <x v="3"/>
    <x v="1"/>
    <x v="671"/>
    <x v="671"/>
    <x v="1"/>
    <x v="671"/>
    <n v="1409795"/>
    <x v="14"/>
    <n v="0"/>
  </r>
  <r>
    <x v="672"/>
    <x v="4"/>
    <x v="2"/>
    <x v="2"/>
    <x v="37"/>
    <n v="55"/>
    <x v="2"/>
    <x v="1"/>
    <x v="672"/>
    <x v="672"/>
    <x v="1"/>
    <x v="672"/>
    <n v="2023274"/>
    <x v="22"/>
    <n v="0"/>
  </r>
  <r>
    <x v="673"/>
    <x v="6"/>
    <x v="17"/>
    <x v="17"/>
    <x v="32"/>
    <n v="51"/>
    <x v="0"/>
    <x v="0"/>
    <x v="673"/>
    <x v="673"/>
    <x v="0"/>
    <x v="673"/>
    <n v="1311935"/>
    <x v="26"/>
    <n v="0"/>
  </r>
  <r>
    <x v="674"/>
    <x v="0"/>
    <x v="2"/>
    <x v="2"/>
    <x v="43"/>
    <n v="48"/>
    <x v="0"/>
    <x v="1"/>
    <x v="674"/>
    <x v="674"/>
    <x v="0"/>
    <x v="674"/>
    <n v="4122451"/>
    <x v="0"/>
    <n v="0"/>
  </r>
  <r>
    <x v="675"/>
    <x v="0"/>
    <x v="11"/>
    <x v="11"/>
    <x v="29"/>
    <n v="13"/>
    <x v="0"/>
    <x v="0"/>
    <x v="675"/>
    <x v="675"/>
    <x v="1"/>
    <x v="675"/>
    <n v="8498605"/>
    <x v="3"/>
    <n v="0"/>
  </r>
  <r>
    <x v="676"/>
    <x v="5"/>
    <x v="13"/>
    <x v="13"/>
    <x v="22"/>
    <n v="10"/>
    <x v="0"/>
    <x v="0"/>
    <x v="676"/>
    <x v="676"/>
    <x v="1"/>
    <x v="676"/>
    <n v="9115516"/>
    <x v="20"/>
    <n v="0"/>
  </r>
  <r>
    <x v="677"/>
    <x v="2"/>
    <x v="3"/>
    <x v="3"/>
    <x v="28"/>
    <n v="21"/>
    <x v="2"/>
    <x v="1"/>
    <x v="677"/>
    <x v="677"/>
    <x v="1"/>
    <x v="677"/>
    <n v="118295"/>
    <x v="13"/>
    <n v="0"/>
  </r>
  <r>
    <x v="678"/>
    <x v="1"/>
    <x v="9"/>
    <x v="9"/>
    <x v="38"/>
    <n v="43"/>
    <x v="0"/>
    <x v="0"/>
    <x v="678"/>
    <x v="678"/>
    <x v="1"/>
    <x v="678"/>
    <n v="6528226"/>
    <x v="14"/>
    <n v="0"/>
  </r>
  <r>
    <x v="679"/>
    <x v="6"/>
    <x v="20"/>
    <x v="20"/>
    <x v="40"/>
    <n v="31"/>
    <x v="1"/>
    <x v="1"/>
    <x v="679"/>
    <x v="679"/>
    <x v="1"/>
    <x v="679"/>
    <n v="7001662"/>
    <x v="24"/>
    <n v="0"/>
  </r>
  <r>
    <x v="680"/>
    <x v="0"/>
    <x v="20"/>
    <x v="20"/>
    <x v="15"/>
    <n v="30"/>
    <x v="1"/>
    <x v="1"/>
    <x v="680"/>
    <x v="680"/>
    <x v="2"/>
    <x v="680"/>
    <n v="5570814"/>
    <x v="0"/>
    <n v="0"/>
  </r>
  <r>
    <x v="681"/>
    <x v="2"/>
    <x v="9"/>
    <x v="9"/>
    <x v="12"/>
    <n v="54"/>
    <x v="0"/>
    <x v="0"/>
    <x v="681"/>
    <x v="681"/>
    <x v="1"/>
    <x v="681"/>
    <n v="6836356"/>
    <x v="6"/>
    <n v="0"/>
  </r>
  <r>
    <x v="682"/>
    <x v="0"/>
    <x v="20"/>
    <x v="20"/>
    <x v="37"/>
    <n v="55"/>
    <x v="1"/>
    <x v="0"/>
    <x v="682"/>
    <x v="682"/>
    <x v="2"/>
    <x v="682"/>
    <n v="2720062"/>
    <x v="3"/>
    <n v="0"/>
  </r>
  <r>
    <x v="683"/>
    <x v="6"/>
    <x v="15"/>
    <x v="15"/>
    <x v="37"/>
    <n v="55"/>
    <x v="3"/>
    <x v="1"/>
    <x v="683"/>
    <x v="683"/>
    <x v="0"/>
    <x v="683"/>
    <n v="515162"/>
    <x v="26"/>
    <n v="0"/>
  </r>
  <r>
    <x v="684"/>
    <x v="3"/>
    <x v="7"/>
    <x v="7"/>
    <x v="4"/>
    <n v="26"/>
    <x v="2"/>
    <x v="1"/>
    <x v="684"/>
    <x v="684"/>
    <x v="0"/>
    <x v="684"/>
    <n v="4213321"/>
    <x v="8"/>
    <n v="0"/>
  </r>
  <r>
    <x v="685"/>
    <x v="6"/>
    <x v="10"/>
    <x v="10"/>
    <x v="2"/>
    <n v="45"/>
    <x v="0"/>
    <x v="1"/>
    <x v="685"/>
    <x v="685"/>
    <x v="2"/>
    <x v="685"/>
    <n v="1352226"/>
    <x v="24"/>
    <n v="0"/>
  </r>
  <r>
    <x v="686"/>
    <x v="5"/>
    <x v="6"/>
    <x v="6"/>
    <x v="5"/>
    <n v="24"/>
    <x v="0"/>
    <x v="1"/>
    <x v="686"/>
    <x v="686"/>
    <x v="1"/>
    <x v="686"/>
    <n v="6442786"/>
    <x v="15"/>
    <n v="0"/>
  </r>
  <r>
    <x v="687"/>
    <x v="6"/>
    <x v="12"/>
    <x v="12"/>
    <x v="13"/>
    <n v="20"/>
    <x v="2"/>
    <x v="1"/>
    <x v="687"/>
    <x v="687"/>
    <x v="0"/>
    <x v="687"/>
    <n v="5204544"/>
    <x v="21"/>
    <n v="0"/>
  </r>
  <r>
    <x v="688"/>
    <x v="6"/>
    <x v="5"/>
    <x v="5"/>
    <x v="20"/>
    <n v="19"/>
    <x v="1"/>
    <x v="1"/>
    <x v="688"/>
    <x v="688"/>
    <x v="1"/>
    <x v="688"/>
    <n v="3114153"/>
    <x v="26"/>
    <n v="0"/>
  </r>
  <r>
    <x v="689"/>
    <x v="5"/>
    <x v="7"/>
    <x v="7"/>
    <x v="46"/>
    <n v="27"/>
    <x v="2"/>
    <x v="0"/>
    <x v="689"/>
    <x v="689"/>
    <x v="1"/>
    <x v="689"/>
    <n v="500001"/>
    <x v="15"/>
    <n v="0"/>
  </r>
  <r>
    <x v="690"/>
    <x v="1"/>
    <x v="12"/>
    <x v="12"/>
    <x v="40"/>
    <n v="31"/>
    <x v="2"/>
    <x v="0"/>
    <x v="690"/>
    <x v="690"/>
    <x v="2"/>
    <x v="690"/>
    <n v="7865331"/>
    <x v="1"/>
    <n v="0"/>
  </r>
  <r>
    <x v="691"/>
    <x v="6"/>
    <x v="1"/>
    <x v="1"/>
    <x v="19"/>
    <n v="52"/>
    <x v="1"/>
    <x v="0"/>
    <x v="691"/>
    <x v="691"/>
    <x v="0"/>
    <x v="691"/>
    <n v="8115749"/>
    <x v="26"/>
    <n v="0"/>
  </r>
  <r>
    <x v="692"/>
    <x v="5"/>
    <x v="13"/>
    <x v="13"/>
    <x v="44"/>
    <n v="16"/>
    <x v="2"/>
    <x v="0"/>
    <x v="692"/>
    <x v="692"/>
    <x v="0"/>
    <x v="692"/>
    <n v="6670498"/>
    <x v="20"/>
    <n v="0"/>
  </r>
  <r>
    <x v="693"/>
    <x v="2"/>
    <x v="8"/>
    <x v="8"/>
    <x v="11"/>
    <n v="47"/>
    <x v="1"/>
    <x v="1"/>
    <x v="693"/>
    <x v="693"/>
    <x v="2"/>
    <x v="693"/>
    <n v="4943604"/>
    <x v="6"/>
    <n v="0"/>
  </r>
  <r>
    <x v="694"/>
    <x v="3"/>
    <x v="3"/>
    <x v="3"/>
    <x v="33"/>
    <n v="37"/>
    <x v="1"/>
    <x v="0"/>
    <x v="694"/>
    <x v="694"/>
    <x v="1"/>
    <x v="694"/>
    <n v="5969622"/>
    <x v="8"/>
    <n v="0"/>
  </r>
  <r>
    <x v="695"/>
    <x v="3"/>
    <x v="15"/>
    <x v="15"/>
    <x v="5"/>
    <n v="24"/>
    <x v="2"/>
    <x v="0"/>
    <x v="695"/>
    <x v="695"/>
    <x v="1"/>
    <x v="695"/>
    <n v="4157646"/>
    <x v="27"/>
    <n v="0"/>
  </r>
  <r>
    <x v="696"/>
    <x v="6"/>
    <x v="20"/>
    <x v="20"/>
    <x v="42"/>
    <n v="35"/>
    <x v="3"/>
    <x v="1"/>
    <x v="696"/>
    <x v="696"/>
    <x v="0"/>
    <x v="696"/>
    <n v="1702285"/>
    <x v="26"/>
    <n v="0"/>
  </r>
  <r>
    <x v="697"/>
    <x v="1"/>
    <x v="9"/>
    <x v="9"/>
    <x v="41"/>
    <n v="25"/>
    <x v="1"/>
    <x v="0"/>
    <x v="697"/>
    <x v="697"/>
    <x v="2"/>
    <x v="697"/>
    <n v="4163396"/>
    <x v="14"/>
    <n v="0"/>
  </r>
  <r>
    <x v="698"/>
    <x v="1"/>
    <x v="19"/>
    <x v="19"/>
    <x v="6"/>
    <n v="40"/>
    <x v="2"/>
    <x v="1"/>
    <x v="698"/>
    <x v="698"/>
    <x v="2"/>
    <x v="698"/>
    <n v="5538161"/>
    <x v="11"/>
    <n v="0"/>
  </r>
  <r>
    <x v="699"/>
    <x v="2"/>
    <x v="18"/>
    <x v="18"/>
    <x v="23"/>
    <n v="32"/>
    <x v="1"/>
    <x v="1"/>
    <x v="699"/>
    <x v="699"/>
    <x v="1"/>
    <x v="699"/>
    <n v="6188923"/>
    <x v="5"/>
    <n v="0"/>
  </r>
  <r>
    <x v="700"/>
    <x v="6"/>
    <x v="8"/>
    <x v="8"/>
    <x v="10"/>
    <n v="18"/>
    <x v="3"/>
    <x v="1"/>
    <x v="700"/>
    <x v="700"/>
    <x v="1"/>
    <x v="700"/>
    <n v="9390109"/>
    <x v="21"/>
    <n v="0"/>
  </r>
  <r>
    <x v="701"/>
    <x v="3"/>
    <x v="23"/>
    <x v="23"/>
    <x v="44"/>
    <n v="16"/>
    <x v="3"/>
    <x v="1"/>
    <x v="701"/>
    <x v="701"/>
    <x v="2"/>
    <x v="701"/>
    <n v="7884668"/>
    <x v="10"/>
    <n v="0"/>
  </r>
  <r>
    <x v="702"/>
    <x v="1"/>
    <x v="20"/>
    <x v="20"/>
    <x v="33"/>
    <n v="37"/>
    <x v="0"/>
    <x v="1"/>
    <x v="702"/>
    <x v="702"/>
    <x v="0"/>
    <x v="702"/>
    <n v="1943929"/>
    <x v="11"/>
    <n v="0"/>
  </r>
  <r>
    <x v="703"/>
    <x v="6"/>
    <x v="1"/>
    <x v="1"/>
    <x v="37"/>
    <n v="55"/>
    <x v="1"/>
    <x v="0"/>
    <x v="703"/>
    <x v="703"/>
    <x v="1"/>
    <x v="703"/>
    <n v="2154731"/>
    <x v="24"/>
    <n v="0"/>
  </r>
  <r>
    <x v="704"/>
    <x v="0"/>
    <x v="13"/>
    <x v="13"/>
    <x v="46"/>
    <n v="27"/>
    <x v="1"/>
    <x v="0"/>
    <x v="704"/>
    <x v="704"/>
    <x v="2"/>
    <x v="704"/>
    <n v="145470"/>
    <x v="9"/>
    <n v="0"/>
  </r>
  <r>
    <x v="705"/>
    <x v="1"/>
    <x v="11"/>
    <x v="11"/>
    <x v="11"/>
    <n v="47"/>
    <x v="2"/>
    <x v="0"/>
    <x v="705"/>
    <x v="705"/>
    <x v="2"/>
    <x v="705"/>
    <n v="7512726"/>
    <x v="25"/>
    <n v="0"/>
  </r>
  <r>
    <x v="706"/>
    <x v="5"/>
    <x v="3"/>
    <x v="3"/>
    <x v="38"/>
    <n v="43"/>
    <x v="1"/>
    <x v="1"/>
    <x v="706"/>
    <x v="706"/>
    <x v="2"/>
    <x v="706"/>
    <n v="7208162"/>
    <x v="15"/>
    <n v="0"/>
  </r>
  <r>
    <x v="707"/>
    <x v="0"/>
    <x v="12"/>
    <x v="12"/>
    <x v="8"/>
    <n v="57"/>
    <x v="0"/>
    <x v="0"/>
    <x v="707"/>
    <x v="707"/>
    <x v="0"/>
    <x v="707"/>
    <n v="9870448"/>
    <x v="9"/>
    <n v="0"/>
  </r>
  <r>
    <x v="708"/>
    <x v="1"/>
    <x v="19"/>
    <x v="19"/>
    <x v="32"/>
    <n v="51"/>
    <x v="3"/>
    <x v="0"/>
    <x v="708"/>
    <x v="708"/>
    <x v="1"/>
    <x v="708"/>
    <n v="5459222"/>
    <x v="14"/>
    <n v="0"/>
  </r>
  <r>
    <x v="709"/>
    <x v="3"/>
    <x v="12"/>
    <x v="12"/>
    <x v="45"/>
    <n v="38"/>
    <x v="3"/>
    <x v="0"/>
    <x v="709"/>
    <x v="709"/>
    <x v="1"/>
    <x v="709"/>
    <n v="8350942"/>
    <x v="27"/>
    <n v="0"/>
  </r>
  <r>
    <x v="710"/>
    <x v="4"/>
    <x v="17"/>
    <x v="17"/>
    <x v="38"/>
    <n v="43"/>
    <x v="0"/>
    <x v="0"/>
    <x v="710"/>
    <x v="710"/>
    <x v="1"/>
    <x v="710"/>
    <n v="5976179"/>
    <x v="17"/>
    <n v="0"/>
  </r>
  <r>
    <x v="711"/>
    <x v="0"/>
    <x v="4"/>
    <x v="4"/>
    <x v="37"/>
    <n v="55"/>
    <x v="1"/>
    <x v="1"/>
    <x v="711"/>
    <x v="711"/>
    <x v="0"/>
    <x v="711"/>
    <n v="8803824"/>
    <x v="3"/>
    <n v="0"/>
  </r>
  <r>
    <x v="712"/>
    <x v="2"/>
    <x v="16"/>
    <x v="16"/>
    <x v="15"/>
    <n v="30"/>
    <x v="1"/>
    <x v="0"/>
    <x v="712"/>
    <x v="712"/>
    <x v="1"/>
    <x v="712"/>
    <n v="734970"/>
    <x v="2"/>
    <n v="0"/>
  </r>
  <r>
    <x v="713"/>
    <x v="2"/>
    <x v="17"/>
    <x v="17"/>
    <x v="4"/>
    <n v="26"/>
    <x v="0"/>
    <x v="1"/>
    <x v="713"/>
    <x v="713"/>
    <x v="1"/>
    <x v="713"/>
    <n v="6607398"/>
    <x v="13"/>
    <n v="0"/>
  </r>
  <r>
    <x v="714"/>
    <x v="3"/>
    <x v="18"/>
    <x v="18"/>
    <x v="16"/>
    <n v="11"/>
    <x v="2"/>
    <x v="1"/>
    <x v="714"/>
    <x v="714"/>
    <x v="1"/>
    <x v="714"/>
    <n v="5868665"/>
    <x v="4"/>
    <n v="0"/>
  </r>
  <r>
    <x v="715"/>
    <x v="1"/>
    <x v="3"/>
    <x v="3"/>
    <x v="32"/>
    <n v="51"/>
    <x v="3"/>
    <x v="0"/>
    <x v="715"/>
    <x v="715"/>
    <x v="1"/>
    <x v="715"/>
    <n v="736822"/>
    <x v="25"/>
    <n v="0"/>
  </r>
  <r>
    <x v="716"/>
    <x v="6"/>
    <x v="19"/>
    <x v="19"/>
    <x v="31"/>
    <n v="50"/>
    <x v="0"/>
    <x v="1"/>
    <x v="716"/>
    <x v="716"/>
    <x v="0"/>
    <x v="716"/>
    <n v="4486712"/>
    <x v="24"/>
    <n v="0"/>
  </r>
  <r>
    <x v="717"/>
    <x v="1"/>
    <x v="23"/>
    <x v="23"/>
    <x v="9"/>
    <n v="15"/>
    <x v="0"/>
    <x v="1"/>
    <x v="717"/>
    <x v="717"/>
    <x v="2"/>
    <x v="717"/>
    <n v="1417478"/>
    <x v="11"/>
    <n v="0"/>
  </r>
  <r>
    <x v="718"/>
    <x v="3"/>
    <x v="18"/>
    <x v="18"/>
    <x v="14"/>
    <n v="39"/>
    <x v="1"/>
    <x v="1"/>
    <x v="718"/>
    <x v="718"/>
    <x v="2"/>
    <x v="718"/>
    <n v="879868"/>
    <x v="27"/>
    <n v="0"/>
  </r>
  <r>
    <x v="719"/>
    <x v="2"/>
    <x v="21"/>
    <x v="21"/>
    <x v="17"/>
    <n v="33"/>
    <x v="3"/>
    <x v="1"/>
    <x v="719"/>
    <x v="719"/>
    <x v="1"/>
    <x v="719"/>
    <n v="5050725"/>
    <x v="5"/>
    <n v="0"/>
  </r>
  <r>
    <x v="720"/>
    <x v="1"/>
    <x v="17"/>
    <x v="17"/>
    <x v="44"/>
    <n v="16"/>
    <x v="1"/>
    <x v="1"/>
    <x v="720"/>
    <x v="720"/>
    <x v="1"/>
    <x v="720"/>
    <n v="619327"/>
    <x v="25"/>
    <n v="0"/>
  </r>
  <r>
    <x v="721"/>
    <x v="2"/>
    <x v="23"/>
    <x v="23"/>
    <x v="21"/>
    <n v="59"/>
    <x v="0"/>
    <x v="1"/>
    <x v="721"/>
    <x v="721"/>
    <x v="1"/>
    <x v="721"/>
    <n v="1249066"/>
    <x v="13"/>
    <n v="0"/>
  </r>
  <r>
    <x v="722"/>
    <x v="0"/>
    <x v="4"/>
    <x v="4"/>
    <x v="28"/>
    <n v="21"/>
    <x v="2"/>
    <x v="1"/>
    <x v="722"/>
    <x v="722"/>
    <x v="0"/>
    <x v="722"/>
    <n v="3225584"/>
    <x v="23"/>
    <n v="0"/>
  </r>
  <r>
    <x v="723"/>
    <x v="6"/>
    <x v="10"/>
    <x v="10"/>
    <x v="29"/>
    <n v="13"/>
    <x v="3"/>
    <x v="0"/>
    <x v="723"/>
    <x v="723"/>
    <x v="1"/>
    <x v="723"/>
    <n v="3559306"/>
    <x v="21"/>
    <n v="0"/>
  </r>
  <r>
    <x v="724"/>
    <x v="0"/>
    <x v="9"/>
    <x v="9"/>
    <x v="6"/>
    <n v="40"/>
    <x v="0"/>
    <x v="0"/>
    <x v="724"/>
    <x v="724"/>
    <x v="0"/>
    <x v="724"/>
    <n v="5846558"/>
    <x v="3"/>
    <n v="0"/>
  </r>
  <r>
    <x v="725"/>
    <x v="2"/>
    <x v="4"/>
    <x v="4"/>
    <x v="11"/>
    <n v="47"/>
    <x v="0"/>
    <x v="1"/>
    <x v="725"/>
    <x v="725"/>
    <x v="1"/>
    <x v="725"/>
    <n v="3145583"/>
    <x v="6"/>
    <n v="0"/>
  </r>
  <r>
    <x v="726"/>
    <x v="2"/>
    <x v="6"/>
    <x v="6"/>
    <x v="50"/>
    <n v="12"/>
    <x v="2"/>
    <x v="1"/>
    <x v="726"/>
    <x v="726"/>
    <x v="1"/>
    <x v="726"/>
    <n v="1408662"/>
    <x v="13"/>
    <n v="0"/>
  </r>
  <r>
    <x v="727"/>
    <x v="4"/>
    <x v="2"/>
    <x v="2"/>
    <x v="38"/>
    <n v="43"/>
    <x v="0"/>
    <x v="0"/>
    <x v="727"/>
    <x v="727"/>
    <x v="2"/>
    <x v="727"/>
    <n v="2066139"/>
    <x v="19"/>
    <n v="0"/>
  </r>
  <r>
    <x v="728"/>
    <x v="4"/>
    <x v="11"/>
    <x v="11"/>
    <x v="33"/>
    <n v="37"/>
    <x v="0"/>
    <x v="0"/>
    <x v="728"/>
    <x v="728"/>
    <x v="1"/>
    <x v="728"/>
    <n v="2152504"/>
    <x v="7"/>
    <n v="0"/>
  </r>
  <r>
    <x v="729"/>
    <x v="0"/>
    <x v="10"/>
    <x v="10"/>
    <x v="9"/>
    <n v="15"/>
    <x v="3"/>
    <x v="0"/>
    <x v="729"/>
    <x v="729"/>
    <x v="0"/>
    <x v="729"/>
    <n v="8505602"/>
    <x v="23"/>
    <n v="0"/>
  </r>
  <r>
    <x v="730"/>
    <x v="5"/>
    <x v="22"/>
    <x v="22"/>
    <x v="20"/>
    <n v="19"/>
    <x v="3"/>
    <x v="0"/>
    <x v="730"/>
    <x v="730"/>
    <x v="2"/>
    <x v="730"/>
    <n v="3201037"/>
    <x v="20"/>
    <n v="0"/>
  </r>
  <r>
    <x v="731"/>
    <x v="0"/>
    <x v="16"/>
    <x v="16"/>
    <x v="45"/>
    <n v="38"/>
    <x v="3"/>
    <x v="1"/>
    <x v="731"/>
    <x v="731"/>
    <x v="0"/>
    <x v="731"/>
    <n v="7289571"/>
    <x v="0"/>
    <n v="0"/>
  </r>
  <r>
    <x v="732"/>
    <x v="4"/>
    <x v="15"/>
    <x v="15"/>
    <x v="41"/>
    <n v="25"/>
    <x v="1"/>
    <x v="1"/>
    <x v="732"/>
    <x v="732"/>
    <x v="2"/>
    <x v="732"/>
    <n v="5894468"/>
    <x v="22"/>
    <n v="0"/>
  </r>
  <r>
    <x v="733"/>
    <x v="2"/>
    <x v="22"/>
    <x v="22"/>
    <x v="8"/>
    <n v="57"/>
    <x v="2"/>
    <x v="0"/>
    <x v="733"/>
    <x v="733"/>
    <x v="0"/>
    <x v="733"/>
    <n v="9781868"/>
    <x v="2"/>
    <n v="0"/>
  </r>
  <r>
    <x v="734"/>
    <x v="3"/>
    <x v="5"/>
    <x v="5"/>
    <x v="32"/>
    <n v="51"/>
    <x v="3"/>
    <x v="0"/>
    <x v="734"/>
    <x v="734"/>
    <x v="2"/>
    <x v="734"/>
    <n v="3091815"/>
    <x v="10"/>
    <n v="0"/>
  </r>
  <r>
    <x v="735"/>
    <x v="0"/>
    <x v="21"/>
    <x v="21"/>
    <x v="21"/>
    <n v="59"/>
    <x v="1"/>
    <x v="0"/>
    <x v="735"/>
    <x v="735"/>
    <x v="0"/>
    <x v="735"/>
    <n v="2004544"/>
    <x v="23"/>
    <n v="0"/>
  </r>
  <r>
    <x v="736"/>
    <x v="2"/>
    <x v="20"/>
    <x v="20"/>
    <x v="0"/>
    <n v="23"/>
    <x v="1"/>
    <x v="0"/>
    <x v="736"/>
    <x v="736"/>
    <x v="0"/>
    <x v="736"/>
    <n v="994359"/>
    <x v="13"/>
    <n v="0"/>
  </r>
  <r>
    <x v="737"/>
    <x v="3"/>
    <x v="4"/>
    <x v="4"/>
    <x v="18"/>
    <n v="58"/>
    <x v="2"/>
    <x v="1"/>
    <x v="737"/>
    <x v="737"/>
    <x v="1"/>
    <x v="737"/>
    <n v="2789117"/>
    <x v="8"/>
    <n v="0"/>
  </r>
  <r>
    <x v="738"/>
    <x v="3"/>
    <x v="20"/>
    <x v="20"/>
    <x v="23"/>
    <n v="32"/>
    <x v="2"/>
    <x v="0"/>
    <x v="738"/>
    <x v="738"/>
    <x v="2"/>
    <x v="738"/>
    <n v="6998673"/>
    <x v="27"/>
    <n v="0"/>
  </r>
  <r>
    <x v="739"/>
    <x v="4"/>
    <x v="3"/>
    <x v="3"/>
    <x v="46"/>
    <n v="27"/>
    <x v="0"/>
    <x v="0"/>
    <x v="739"/>
    <x v="739"/>
    <x v="2"/>
    <x v="739"/>
    <n v="1309953"/>
    <x v="17"/>
    <n v="0"/>
  </r>
  <r>
    <x v="740"/>
    <x v="0"/>
    <x v="0"/>
    <x v="0"/>
    <x v="29"/>
    <n v="13"/>
    <x v="1"/>
    <x v="0"/>
    <x v="740"/>
    <x v="740"/>
    <x v="1"/>
    <x v="740"/>
    <n v="2824668"/>
    <x v="9"/>
    <n v="0"/>
  </r>
  <r>
    <x v="741"/>
    <x v="1"/>
    <x v="2"/>
    <x v="2"/>
    <x v="29"/>
    <n v="13"/>
    <x v="3"/>
    <x v="1"/>
    <x v="741"/>
    <x v="741"/>
    <x v="0"/>
    <x v="741"/>
    <n v="8625429"/>
    <x v="25"/>
    <n v="0"/>
  </r>
  <r>
    <x v="742"/>
    <x v="6"/>
    <x v="2"/>
    <x v="2"/>
    <x v="2"/>
    <n v="45"/>
    <x v="2"/>
    <x v="1"/>
    <x v="742"/>
    <x v="742"/>
    <x v="0"/>
    <x v="742"/>
    <n v="6038053"/>
    <x v="26"/>
    <n v="0"/>
  </r>
  <r>
    <x v="743"/>
    <x v="4"/>
    <x v="10"/>
    <x v="10"/>
    <x v="17"/>
    <n v="33"/>
    <x v="1"/>
    <x v="1"/>
    <x v="743"/>
    <x v="743"/>
    <x v="2"/>
    <x v="743"/>
    <n v="1160455"/>
    <x v="22"/>
    <n v="0"/>
  </r>
  <r>
    <x v="744"/>
    <x v="4"/>
    <x v="6"/>
    <x v="6"/>
    <x v="28"/>
    <n v="21"/>
    <x v="3"/>
    <x v="0"/>
    <x v="744"/>
    <x v="744"/>
    <x v="0"/>
    <x v="744"/>
    <n v="95299"/>
    <x v="7"/>
    <n v="0"/>
  </r>
  <r>
    <x v="745"/>
    <x v="1"/>
    <x v="5"/>
    <x v="5"/>
    <x v="3"/>
    <n v="41"/>
    <x v="1"/>
    <x v="0"/>
    <x v="745"/>
    <x v="745"/>
    <x v="2"/>
    <x v="745"/>
    <n v="1080667"/>
    <x v="14"/>
    <n v="0"/>
  </r>
  <r>
    <x v="746"/>
    <x v="6"/>
    <x v="9"/>
    <x v="9"/>
    <x v="0"/>
    <n v="23"/>
    <x v="2"/>
    <x v="0"/>
    <x v="746"/>
    <x v="746"/>
    <x v="2"/>
    <x v="746"/>
    <n v="9447813"/>
    <x v="24"/>
    <n v="0"/>
  </r>
  <r>
    <x v="747"/>
    <x v="2"/>
    <x v="16"/>
    <x v="16"/>
    <x v="14"/>
    <n v="39"/>
    <x v="0"/>
    <x v="1"/>
    <x v="747"/>
    <x v="747"/>
    <x v="0"/>
    <x v="747"/>
    <n v="8573779"/>
    <x v="6"/>
    <n v="0"/>
  </r>
  <r>
    <x v="748"/>
    <x v="5"/>
    <x v="1"/>
    <x v="1"/>
    <x v="36"/>
    <n v="28"/>
    <x v="1"/>
    <x v="1"/>
    <x v="748"/>
    <x v="748"/>
    <x v="0"/>
    <x v="748"/>
    <n v="852693"/>
    <x v="15"/>
    <n v="0"/>
  </r>
  <r>
    <x v="749"/>
    <x v="0"/>
    <x v="13"/>
    <x v="13"/>
    <x v="32"/>
    <n v="51"/>
    <x v="3"/>
    <x v="0"/>
    <x v="749"/>
    <x v="749"/>
    <x v="0"/>
    <x v="749"/>
    <n v="9280059"/>
    <x v="9"/>
    <n v="0"/>
  </r>
  <r>
    <x v="750"/>
    <x v="5"/>
    <x v="14"/>
    <x v="14"/>
    <x v="32"/>
    <n v="51"/>
    <x v="2"/>
    <x v="0"/>
    <x v="750"/>
    <x v="750"/>
    <x v="1"/>
    <x v="750"/>
    <n v="5299926"/>
    <x v="15"/>
    <n v="0"/>
  </r>
  <r>
    <x v="751"/>
    <x v="2"/>
    <x v="8"/>
    <x v="8"/>
    <x v="48"/>
    <n v="34"/>
    <x v="0"/>
    <x v="1"/>
    <x v="751"/>
    <x v="751"/>
    <x v="2"/>
    <x v="751"/>
    <n v="2849774"/>
    <x v="5"/>
    <n v="0"/>
  </r>
  <r>
    <x v="752"/>
    <x v="4"/>
    <x v="1"/>
    <x v="1"/>
    <x v="36"/>
    <n v="28"/>
    <x v="3"/>
    <x v="0"/>
    <x v="752"/>
    <x v="752"/>
    <x v="0"/>
    <x v="752"/>
    <n v="4312806"/>
    <x v="22"/>
    <n v="0"/>
  </r>
  <r>
    <x v="753"/>
    <x v="6"/>
    <x v="19"/>
    <x v="19"/>
    <x v="36"/>
    <n v="28"/>
    <x v="3"/>
    <x v="0"/>
    <x v="753"/>
    <x v="753"/>
    <x v="1"/>
    <x v="753"/>
    <n v="7329209"/>
    <x v="24"/>
    <n v="0"/>
  </r>
  <r>
    <x v="754"/>
    <x v="4"/>
    <x v="21"/>
    <x v="21"/>
    <x v="31"/>
    <n v="50"/>
    <x v="3"/>
    <x v="0"/>
    <x v="754"/>
    <x v="754"/>
    <x v="0"/>
    <x v="754"/>
    <n v="8822312"/>
    <x v="19"/>
    <n v="0"/>
  </r>
  <r>
    <x v="755"/>
    <x v="3"/>
    <x v="12"/>
    <x v="12"/>
    <x v="4"/>
    <n v="26"/>
    <x v="1"/>
    <x v="1"/>
    <x v="755"/>
    <x v="755"/>
    <x v="2"/>
    <x v="755"/>
    <n v="4633364"/>
    <x v="10"/>
    <n v="0"/>
  </r>
  <r>
    <x v="756"/>
    <x v="4"/>
    <x v="21"/>
    <x v="21"/>
    <x v="13"/>
    <n v="20"/>
    <x v="2"/>
    <x v="0"/>
    <x v="756"/>
    <x v="756"/>
    <x v="1"/>
    <x v="756"/>
    <n v="5586119"/>
    <x v="22"/>
    <n v="0"/>
  </r>
  <r>
    <x v="757"/>
    <x v="4"/>
    <x v="5"/>
    <x v="5"/>
    <x v="30"/>
    <n v="14"/>
    <x v="3"/>
    <x v="0"/>
    <x v="757"/>
    <x v="757"/>
    <x v="2"/>
    <x v="757"/>
    <n v="9351938"/>
    <x v="19"/>
    <n v="0"/>
  </r>
  <r>
    <x v="758"/>
    <x v="2"/>
    <x v="4"/>
    <x v="4"/>
    <x v="17"/>
    <n v="33"/>
    <x v="1"/>
    <x v="0"/>
    <x v="758"/>
    <x v="758"/>
    <x v="0"/>
    <x v="758"/>
    <n v="1521237"/>
    <x v="13"/>
    <n v="0"/>
  </r>
  <r>
    <x v="759"/>
    <x v="2"/>
    <x v="8"/>
    <x v="8"/>
    <x v="48"/>
    <n v="34"/>
    <x v="2"/>
    <x v="0"/>
    <x v="759"/>
    <x v="759"/>
    <x v="0"/>
    <x v="759"/>
    <n v="8691843"/>
    <x v="2"/>
    <n v="0"/>
  </r>
  <r>
    <x v="760"/>
    <x v="2"/>
    <x v="20"/>
    <x v="20"/>
    <x v="19"/>
    <n v="52"/>
    <x v="2"/>
    <x v="1"/>
    <x v="760"/>
    <x v="760"/>
    <x v="0"/>
    <x v="760"/>
    <n v="2013421"/>
    <x v="13"/>
    <n v="0"/>
  </r>
  <r>
    <x v="761"/>
    <x v="5"/>
    <x v="23"/>
    <x v="23"/>
    <x v="28"/>
    <n v="21"/>
    <x v="1"/>
    <x v="1"/>
    <x v="761"/>
    <x v="761"/>
    <x v="1"/>
    <x v="761"/>
    <n v="5096683"/>
    <x v="16"/>
    <n v="0"/>
  </r>
  <r>
    <x v="762"/>
    <x v="3"/>
    <x v="19"/>
    <x v="19"/>
    <x v="35"/>
    <n v="29"/>
    <x v="1"/>
    <x v="1"/>
    <x v="762"/>
    <x v="762"/>
    <x v="1"/>
    <x v="762"/>
    <n v="257502"/>
    <x v="4"/>
    <n v="0"/>
  </r>
  <r>
    <x v="763"/>
    <x v="2"/>
    <x v="14"/>
    <x v="14"/>
    <x v="31"/>
    <n v="50"/>
    <x v="3"/>
    <x v="0"/>
    <x v="763"/>
    <x v="763"/>
    <x v="1"/>
    <x v="763"/>
    <n v="6228002"/>
    <x v="13"/>
    <n v="0"/>
  </r>
  <r>
    <x v="764"/>
    <x v="6"/>
    <x v="6"/>
    <x v="6"/>
    <x v="32"/>
    <n v="51"/>
    <x v="2"/>
    <x v="1"/>
    <x v="764"/>
    <x v="764"/>
    <x v="1"/>
    <x v="764"/>
    <n v="5806448"/>
    <x v="18"/>
    <n v="0"/>
  </r>
  <r>
    <x v="765"/>
    <x v="5"/>
    <x v="20"/>
    <x v="20"/>
    <x v="35"/>
    <n v="29"/>
    <x v="0"/>
    <x v="0"/>
    <x v="765"/>
    <x v="765"/>
    <x v="0"/>
    <x v="765"/>
    <n v="411007"/>
    <x v="20"/>
    <n v="0"/>
  </r>
  <r>
    <x v="766"/>
    <x v="1"/>
    <x v="17"/>
    <x v="17"/>
    <x v="17"/>
    <n v="33"/>
    <x v="1"/>
    <x v="1"/>
    <x v="766"/>
    <x v="766"/>
    <x v="0"/>
    <x v="766"/>
    <n v="8701383"/>
    <x v="11"/>
    <n v="0"/>
  </r>
  <r>
    <x v="767"/>
    <x v="6"/>
    <x v="11"/>
    <x v="11"/>
    <x v="41"/>
    <n v="25"/>
    <x v="2"/>
    <x v="0"/>
    <x v="767"/>
    <x v="767"/>
    <x v="0"/>
    <x v="767"/>
    <n v="6768227"/>
    <x v="18"/>
    <n v="0"/>
  </r>
  <r>
    <x v="768"/>
    <x v="0"/>
    <x v="6"/>
    <x v="6"/>
    <x v="8"/>
    <n v="57"/>
    <x v="2"/>
    <x v="1"/>
    <x v="768"/>
    <x v="768"/>
    <x v="1"/>
    <x v="768"/>
    <n v="7351449"/>
    <x v="3"/>
    <n v="0"/>
  </r>
  <r>
    <x v="769"/>
    <x v="0"/>
    <x v="4"/>
    <x v="4"/>
    <x v="44"/>
    <n v="16"/>
    <x v="3"/>
    <x v="1"/>
    <x v="769"/>
    <x v="769"/>
    <x v="1"/>
    <x v="769"/>
    <n v="1931268"/>
    <x v="0"/>
    <n v="0"/>
  </r>
  <r>
    <x v="770"/>
    <x v="6"/>
    <x v="14"/>
    <x v="14"/>
    <x v="8"/>
    <n v="57"/>
    <x v="0"/>
    <x v="1"/>
    <x v="770"/>
    <x v="770"/>
    <x v="0"/>
    <x v="770"/>
    <n v="8890074"/>
    <x v="26"/>
    <n v="0"/>
  </r>
  <r>
    <x v="771"/>
    <x v="2"/>
    <x v="2"/>
    <x v="2"/>
    <x v="1"/>
    <n v="44"/>
    <x v="3"/>
    <x v="0"/>
    <x v="771"/>
    <x v="771"/>
    <x v="0"/>
    <x v="771"/>
    <n v="2086882"/>
    <x v="6"/>
    <n v="0"/>
  </r>
  <r>
    <x v="772"/>
    <x v="1"/>
    <x v="21"/>
    <x v="21"/>
    <x v="33"/>
    <n v="37"/>
    <x v="0"/>
    <x v="0"/>
    <x v="772"/>
    <x v="772"/>
    <x v="1"/>
    <x v="772"/>
    <n v="2616457"/>
    <x v="14"/>
    <n v="0"/>
  </r>
  <r>
    <x v="773"/>
    <x v="1"/>
    <x v="15"/>
    <x v="15"/>
    <x v="50"/>
    <n v="12"/>
    <x v="0"/>
    <x v="0"/>
    <x v="773"/>
    <x v="773"/>
    <x v="2"/>
    <x v="773"/>
    <n v="1716524"/>
    <x v="25"/>
    <n v="0"/>
  </r>
  <r>
    <x v="774"/>
    <x v="5"/>
    <x v="5"/>
    <x v="5"/>
    <x v="48"/>
    <n v="34"/>
    <x v="1"/>
    <x v="1"/>
    <x v="774"/>
    <x v="774"/>
    <x v="0"/>
    <x v="774"/>
    <n v="4683412"/>
    <x v="20"/>
    <n v="0"/>
  </r>
  <r>
    <x v="775"/>
    <x v="1"/>
    <x v="0"/>
    <x v="0"/>
    <x v="15"/>
    <n v="30"/>
    <x v="2"/>
    <x v="0"/>
    <x v="775"/>
    <x v="775"/>
    <x v="0"/>
    <x v="775"/>
    <n v="8933238"/>
    <x v="1"/>
    <n v="0"/>
  </r>
  <r>
    <x v="776"/>
    <x v="0"/>
    <x v="13"/>
    <x v="13"/>
    <x v="10"/>
    <n v="18"/>
    <x v="2"/>
    <x v="0"/>
    <x v="776"/>
    <x v="776"/>
    <x v="0"/>
    <x v="776"/>
    <n v="2898251"/>
    <x v="9"/>
    <n v="0"/>
  </r>
  <r>
    <x v="777"/>
    <x v="3"/>
    <x v="11"/>
    <x v="11"/>
    <x v="38"/>
    <n v="43"/>
    <x v="2"/>
    <x v="0"/>
    <x v="777"/>
    <x v="777"/>
    <x v="1"/>
    <x v="777"/>
    <n v="4050657"/>
    <x v="4"/>
    <n v="0"/>
  </r>
  <r>
    <x v="778"/>
    <x v="2"/>
    <x v="21"/>
    <x v="21"/>
    <x v="21"/>
    <n v="59"/>
    <x v="0"/>
    <x v="0"/>
    <x v="778"/>
    <x v="778"/>
    <x v="0"/>
    <x v="778"/>
    <n v="8537631"/>
    <x v="13"/>
    <n v="0"/>
  </r>
  <r>
    <x v="779"/>
    <x v="1"/>
    <x v="2"/>
    <x v="2"/>
    <x v="45"/>
    <n v="38"/>
    <x v="2"/>
    <x v="0"/>
    <x v="779"/>
    <x v="779"/>
    <x v="0"/>
    <x v="779"/>
    <n v="6369245"/>
    <x v="25"/>
    <n v="0"/>
  </r>
  <r>
    <x v="780"/>
    <x v="5"/>
    <x v="23"/>
    <x v="23"/>
    <x v="25"/>
    <n v="46"/>
    <x v="1"/>
    <x v="0"/>
    <x v="780"/>
    <x v="780"/>
    <x v="0"/>
    <x v="780"/>
    <n v="7640356"/>
    <x v="12"/>
    <n v="0"/>
  </r>
  <r>
    <x v="781"/>
    <x v="0"/>
    <x v="8"/>
    <x v="8"/>
    <x v="29"/>
    <n v="13"/>
    <x v="0"/>
    <x v="1"/>
    <x v="781"/>
    <x v="781"/>
    <x v="0"/>
    <x v="781"/>
    <n v="253300"/>
    <x v="0"/>
    <n v="0"/>
  </r>
  <r>
    <x v="782"/>
    <x v="3"/>
    <x v="19"/>
    <x v="19"/>
    <x v="40"/>
    <n v="31"/>
    <x v="0"/>
    <x v="1"/>
    <x v="782"/>
    <x v="782"/>
    <x v="0"/>
    <x v="782"/>
    <n v="7306654"/>
    <x v="27"/>
    <n v="0"/>
  </r>
  <r>
    <x v="783"/>
    <x v="4"/>
    <x v="16"/>
    <x v="16"/>
    <x v="44"/>
    <n v="16"/>
    <x v="0"/>
    <x v="0"/>
    <x v="783"/>
    <x v="783"/>
    <x v="2"/>
    <x v="783"/>
    <n v="266230"/>
    <x v="17"/>
    <n v="0"/>
  </r>
  <r>
    <x v="784"/>
    <x v="4"/>
    <x v="13"/>
    <x v="13"/>
    <x v="3"/>
    <n v="41"/>
    <x v="0"/>
    <x v="1"/>
    <x v="784"/>
    <x v="784"/>
    <x v="2"/>
    <x v="784"/>
    <n v="9879483"/>
    <x v="17"/>
    <n v="0"/>
  </r>
  <r>
    <x v="785"/>
    <x v="3"/>
    <x v="5"/>
    <x v="5"/>
    <x v="8"/>
    <n v="57"/>
    <x v="1"/>
    <x v="1"/>
    <x v="785"/>
    <x v="785"/>
    <x v="0"/>
    <x v="785"/>
    <n v="5818918"/>
    <x v="10"/>
    <n v="0"/>
  </r>
  <r>
    <x v="786"/>
    <x v="0"/>
    <x v="21"/>
    <x v="21"/>
    <x v="38"/>
    <n v="43"/>
    <x v="2"/>
    <x v="0"/>
    <x v="786"/>
    <x v="786"/>
    <x v="0"/>
    <x v="786"/>
    <n v="7108573"/>
    <x v="9"/>
    <n v="0"/>
  </r>
  <r>
    <x v="787"/>
    <x v="5"/>
    <x v="8"/>
    <x v="8"/>
    <x v="30"/>
    <n v="14"/>
    <x v="1"/>
    <x v="0"/>
    <x v="787"/>
    <x v="787"/>
    <x v="0"/>
    <x v="787"/>
    <n v="1624815"/>
    <x v="16"/>
    <n v="0"/>
  </r>
  <r>
    <x v="788"/>
    <x v="3"/>
    <x v="8"/>
    <x v="8"/>
    <x v="36"/>
    <n v="28"/>
    <x v="2"/>
    <x v="1"/>
    <x v="788"/>
    <x v="788"/>
    <x v="0"/>
    <x v="788"/>
    <n v="2881232"/>
    <x v="4"/>
    <n v="0"/>
  </r>
  <r>
    <x v="789"/>
    <x v="2"/>
    <x v="10"/>
    <x v="10"/>
    <x v="45"/>
    <n v="38"/>
    <x v="1"/>
    <x v="0"/>
    <x v="789"/>
    <x v="789"/>
    <x v="1"/>
    <x v="789"/>
    <n v="1827536"/>
    <x v="13"/>
    <n v="0"/>
  </r>
  <r>
    <x v="790"/>
    <x v="2"/>
    <x v="7"/>
    <x v="7"/>
    <x v="15"/>
    <n v="30"/>
    <x v="3"/>
    <x v="1"/>
    <x v="790"/>
    <x v="790"/>
    <x v="1"/>
    <x v="790"/>
    <n v="4206622"/>
    <x v="6"/>
    <n v="0"/>
  </r>
  <r>
    <x v="791"/>
    <x v="4"/>
    <x v="1"/>
    <x v="1"/>
    <x v="19"/>
    <n v="52"/>
    <x v="3"/>
    <x v="1"/>
    <x v="791"/>
    <x v="791"/>
    <x v="1"/>
    <x v="791"/>
    <n v="3199291"/>
    <x v="22"/>
    <n v="0"/>
  </r>
  <r>
    <x v="792"/>
    <x v="1"/>
    <x v="1"/>
    <x v="1"/>
    <x v="32"/>
    <n v="51"/>
    <x v="3"/>
    <x v="1"/>
    <x v="792"/>
    <x v="792"/>
    <x v="2"/>
    <x v="792"/>
    <n v="7462761"/>
    <x v="1"/>
    <n v="0"/>
  </r>
  <r>
    <x v="793"/>
    <x v="5"/>
    <x v="0"/>
    <x v="0"/>
    <x v="3"/>
    <n v="41"/>
    <x v="3"/>
    <x v="0"/>
    <x v="793"/>
    <x v="793"/>
    <x v="0"/>
    <x v="793"/>
    <n v="1532735"/>
    <x v="16"/>
    <n v="0"/>
  </r>
  <r>
    <x v="794"/>
    <x v="4"/>
    <x v="2"/>
    <x v="2"/>
    <x v="35"/>
    <n v="29"/>
    <x v="0"/>
    <x v="1"/>
    <x v="794"/>
    <x v="794"/>
    <x v="1"/>
    <x v="794"/>
    <n v="7644564"/>
    <x v="22"/>
    <n v="0"/>
  </r>
  <r>
    <x v="795"/>
    <x v="1"/>
    <x v="1"/>
    <x v="1"/>
    <x v="0"/>
    <n v="23"/>
    <x v="0"/>
    <x v="0"/>
    <x v="795"/>
    <x v="795"/>
    <x v="0"/>
    <x v="795"/>
    <n v="934196"/>
    <x v="11"/>
    <n v="0"/>
  </r>
  <r>
    <x v="796"/>
    <x v="1"/>
    <x v="20"/>
    <x v="20"/>
    <x v="9"/>
    <n v="15"/>
    <x v="1"/>
    <x v="0"/>
    <x v="796"/>
    <x v="796"/>
    <x v="0"/>
    <x v="796"/>
    <n v="2419169"/>
    <x v="11"/>
    <n v="0"/>
  </r>
  <r>
    <x v="797"/>
    <x v="2"/>
    <x v="8"/>
    <x v="8"/>
    <x v="36"/>
    <n v="28"/>
    <x v="1"/>
    <x v="0"/>
    <x v="797"/>
    <x v="797"/>
    <x v="2"/>
    <x v="797"/>
    <n v="8023667"/>
    <x v="2"/>
    <n v="0"/>
  </r>
  <r>
    <x v="798"/>
    <x v="0"/>
    <x v="15"/>
    <x v="15"/>
    <x v="40"/>
    <n v="31"/>
    <x v="3"/>
    <x v="0"/>
    <x v="798"/>
    <x v="798"/>
    <x v="2"/>
    <x v="798"/>
    <n v="7556378"/>
    <x v="0"/>
    <n v="0"/>
  </r>
  <r>
    <x v="799"/>
    <x v="6"/>
    <x v="3"/>
    <x v="3"/>
    <x v="1"/>
    <n v="44"/>
    <x v="2"/>
    <x v="0"/>
    <x v="799"/>
    <x v="799"/>
    <x v="1"/>
    <x v="799"/>
    <n v="5025098"/>
    <x v="18"/>
    <n v="0"/>
  </r>
  <r>
    <x v="800"/>
    <x v="0"/>
    <x v="14"/>
    <x v="14"/>
    <x v="38"/>
    <n v="43"/>
    <x v="3"/>
    <x v="1"/>
    <x v="800"/>
    <x v="800"/>
    <x v="1"/>
    <x v="800"/>
    <n v="974836"/>
    <x v="3"/>
    <n v="0"/>
  </r>
  <r>
    <x v="801"/>
    <x v="6"/>
    <x v="6"/>
    <x v="6"/>
    <x v="30"/>
    <n v="14"/>
    <x v="1"/>
    <x v="0"/>
    <x v="801"/>
    <x v="801"/>
    <x v="2"/>
    <x v="801"/>
    <n v="6293991"/>
    <x v="18"/>
    <n v="0"/>
  </r>
  <r>
    <x v="802"/>
    <x v="3"/>
    <x v="21"/>
    <x v="21"/>
    <x v="15"/>
    <n v="30"/>
    <x v="3"/>
    <x v="0"/>
    <x v="802"/>
    <x v="802"/>
    <x v="2"/>
    <x v="802"/>
    <n v="4363879"/>
    <x v="27"/>
    <n v="0"/>
  </r>
  <r>
    <x v="803"/>
    <x v="2"/>
    <x v="1"/>
    <x v="1"/>
    <x v="20"/>
    <n v="19"/>
    <x v="1"/>
    <x v="0"/>
    <x v="803"/>
    <x v="803"/>
    <x v="0"/>
    <x v="803"/>
    <n v="3507017"/>
    <x v="5"/>
    <n v="0"/>
  </r>
  <r>
    <x v="804"/>
    <x v="1"/>
    <x v="16"/>
    <x v="16"/>
    <x v="10"/>
    <n v="18"/>
    <x v="3"/>
    <x v="0"/>
    <x v="804"/>
    <x v="804"/>
    <x v="0"/>
    <x v="804"/>
    <n v="6583901"/>
    <x v="1"/>
    <n v="0"/>
  </r>
  <r>
    <x v="805"/>
    <x v="5"/>
    <x v="15"/>
    <x v="15"/>
    <x v="32"/>
    <n v="51"/>
    <x v="2"/>
    <x v="0"/>
    <x v="805"/>
    <x v="805"/>
    <x v="1"/>
    <x v="805"/>
    <n v="4647838"/>
    <x v="12"/>
    <n v="0"/>
  </r>
  <r>
    <x v="806"/>
    <x v="6"/>
    <x v="21"/>
    <x v="21"/>
    <x v="50"/>
    <n v="12"/>
    <x v="3"/>
    <x v="1"/>
    <x v="806"/>
    <x v="806"/>
    <x v="1"/>
    <x v="806"/>
    <n v="137800"/>
    <x v="21"/>
    <n v="0"/>
  </r>
  <r>
    <x v="807"/>
    <x v="0"/>
    <x v="13"/>
    <x v="13"/>
    <x v="40"/>
    <n v="31"/>
    <x v="2"/>
    <x v="0"/>
    <x v="807"/>
    <x v="807"/>
    <x v="2"/>
    <x v="807"/>
    <n v="9201529"/>
    <x v="23"/>
    <n v="0"/>
  </r>
  <r>
    <x v="808"/>
    <x v="1"/>
    <x v="0"/>
    <x v="0"/>
    <x v="10"/>
    <n v="18"/>
    <x v="2"/>
    <x v="0"/>
    <x v="808"/>
    <x v="808"/>
    <x v="1"/>
    <x v="808"/>
    <n v="7895684"/>
    <x v="25"/>
    <n v="0"/>
  </r>
  <r>
    <x v="809"/>
    <x v="6"/>
    <x v="13"/>
    <x v="13"/>
    <x v="12"/>
    <n v="54"/>
    <x v="1"/>
    <x v="1"/>
    <x v="809"/>
    <x v="809"/>
    <x v="0"/>
    <x v="809"/>
    <n v="1035593"/>
    <x v="24"/>
    <n v="0"/>
  </r>
  <r>
    <x v="810"/>
    <x v="6"/>
    <x v="18"/>
    <x v="18"/>
    <x v="45"/>
    <n v="38"/>
    <x v="2"/>
    <x v="0"/>
    <x v="810"/>
    <x v="810"/>
    <x v="2"/>
    <x v="810"/>
    <n v="5488107"/>
    <x v="24"/>
    <n v="0"/>
  </r>
  <r>
    <x v="811"/>
    <x v="6"/>
    <x v="7"/>
    <x v="7"/>
    <x v="27"/>
    <n v="22"/>
    <x v="0"/>
    <x v="1"/>
    <x v="811"/>
    <x v="811"/>
    <x v="0"/>
    <x v="811"/>
    <n v="1292087"/>
    <x v="21"/>
    <n v="0"/>
  </r>
  <r>
    <x v="812"/>
    <x v="5"/>
    <x v="5"/>
    <x v="5"/>
    <x v="42"/>
    <n v="35"/>
    <x v="0"/>
    <x v="1"/>
    <x v="812"/>
    <x v="812"/>
    <x v="2"/>
    <x v="812"/>
    <n v="8454254"/>
    <x v="12"/>
    <n v="0"/>
  </r>
  <r>
    <x v="813"/>
    <x v="2"/>
    <x v="0"/>
    <x v="0"/>
    <x v="11"/>
    <n v="47"/>
    <x v="0"/>
    <x v="1"/>
    <x v="813"/>
    <x v="813"/>
    <x v="2"/>
    <x v="813"/>
    <n v="6323633"/>
    <x v="5"/>
    <n v="0"/>
  </r>
  <r>
    <x v="814"/>
    <x v="5"/>
    <x v="12"/>
    <x v="12"/>
    <x v="18"/>
    <n v="58"/>
    <x v="1"/>
    <x v="1"/>
    <x v="728"/>
    <x v="728"/>
    <x v="0"/>
    <x v="814"/>
    <n v="2138267"/>
    <x v="15"/>
    <n v="0"/>
  </r>
  <r>
    <x v="815"/>
    <x v="4"/>
    <x v="9"/>
    <x v="9"/>
    <x v="28"/>
    <n v="21"/>
    <x v="0"/>
    <x v="0"/>
    <x v="814"/>
    <x v="814"/>
    <x v="1"/>
    <x v="815"/>
    <n v="697043"/>
    <x v="17"/>
    <n v="0"/>
  </r>
  <r>
    <x v="816"/>
    <x v="1"/>
    <x v="20"/>
    <x v="20"/>
    <x v="12"/>
    <n v="54"/>
    <x v="1"/>
    <x v="0"/>
    <x v="815"/>
    <x v="815"/>
    <x v="1"/>
    <x v="816"/>
    <n v="80002"/>
    <x v="1"/>
    <n v="0"/>
  </r>
  <r>
    <x v="817"/>
    <x v="2"/>
    <x v="15"/>
    <x v="15"/>
    <x v="8"/>
    <n v="57"/>
    <x v="1"/>
    <x v="1"/>
    <x v="816"/>
    <x v="816"/>
    <x v="1"/>
    <x v="817"/>
    <n v="5319972"/>
    <x v="5"/>
    <n v="0"/>
  </r>
  <r>
    <x v="818"/>
    <x v="2"/>
    <x v="18"/>
    <x v="18"/>
    <x v="24"/>
    <n v="56"/>
    <x v="0"/>
    <x v="1"/>
    <x v="817"/>
    <x v="817"/>
    <x v="1"/>
    <x v="818"/>
    <n v="7476548"/>
    <x v="5"/>
    <n v="0"/>
  </r>
  <r>
    <x v="819"/>
    <x v="2"/>
    <x v="0"/>
    <x v="0"/>
    <x v="26"/>
    <n v="42"/>
    <x v="2"/>
    <x v="0"/>
    <x v="818"/>
    <x v="818"/>
    <x v="0"/>
    <x v="819"/>
    <n v="1647984"/>
    <x v="5"/>
    <n v="0"/>
  </r>
  <r>
    <x v="820"/>
    <x v="0"/>
    <x v="14"/>
    <x v="14"/>
    <x v="3"/>
    <n v="41"/>
    <x v="3"/>
    <x v="1"/>
    <x v="819"/>
    <x v="819"/>
    <x v="2"/>
    <x v="820"/>
    <n v="2602199"/>
    <x v="23"/>
    <n v="0"/>
  </r>
  <r>
    <x v="821"/>
    <x v="2"/>
    <x v="21"/>
    <x v="21"/>
    <x v="15"/>
    <n v="30"/>
    <x v="1"/>
    <x v="1"/>
    <x v="820"/>
    <x v="820"/>
    <x v="0"/>
    <x v="821"/>
    <n v="3608969"/>
    <x v="6"/>
    <n v="0"/>
  </r>
  <r>
    <x v="822"/>
    <x v="5"/>
    <x v="5"/>
    <x v="5"/>
    <x v="43"/>
    <n v="48"/>
    <x v="0"/>
    <x v="1"/>
    <x v="821"/>
    <x v="821"/>
    <x v="1"/>
    <x v="822"/>
    <n v="2571729"/>
    <x v="12"/>
    <n v="0"/>
  </r>
  <r>
    <x v="823"/>
    <x v="2"/>
    <x v="16"/>
    <x v="16"/>
    <x v="33"/>
    <n v="37"/>
    <x v="1"/>
    <x v="0"/>
    <x v="822"/>
    <x v="822"/>
    <x v="1"/>
    <x v="823"/>
    <n v="4217697"/>
    <x v="5"/>
    <n v="0"/>
  </r>
  <r>
    <x v="824"/>
    <x v="3"/>
    <x v="12"/>
    <x v="12"/>
    <x v="1"/>
    <n v="44"/>
    <x v="2"/>
    <x v="1"/>
    <x v="823"/>
    <x v="823"/>
    <x v="0"/>
    <x v="824"/>
    <n v="5816343"/>
    <x v="8"/>
    <n v="0"/>
  </r>
  <r>
    <x v="825"/>
    <x v="1"/>
    <x v="12"/>
    <x v="12"/>
    <x v="40"/>
    <n v="31"/>
    <x v="2"/>
    <x v="0"/>
    <x v="824"/>
    <x v="824"/>
    <x v="2"/>
    <x v="825"/>
    <n v="7006899"/>
    <x v="1"/>
    <n v="0"/>
  </r>
  <r>
    <x v="826"/>
    <x v="2"/>
    <x v="14"/>
    <x v="14"/>
    <x v="11"/>
    <n v="47"/>
    <x v="0"/>
    <x v="0"/>
    <x v="825"/>
    <x v="825"/>
    <x v="0"/>
    <x v="826"/>
    <n v="9655864"/>
    <x v="13"/>
    <n v="0"/>
  </r>
  <r>
    <x v="827"/>
    <x v="1"/>
    <x v="12"/>
    <x v="12"/>
    <x v="32"/>
    <n v="51"/>
    <x v="1"/>
    <x v="0"/>
    <x v="826"/>
    <x v="826"/>
    <x v="0"/>
    <x v="827"/>
    <n v="9343015"/>
    <x v="1"/>
    <n v="0"/>
  </r>
  <r>
    <x v="828"/>
    <x v="3"/>
    <x v="2"/>
    <x v="2"/>
    <x v="47"/>
    <n v="17"/>
    <x v="3"/>
    <x v="1"/>
    <x v="827"/>
    <x v="827"/>
    <x v="0"/>
    <x v="828"/>
    <n v="5916206"/>
    <x v="8"/>
    <n v="0"/>
  </r>
  <r>
    <x v="829"/>
    <x v="3"/>
    <x v="9"/>
    <x v="9"/>
    <x v="19"/>
    <n v="52"/>
    <x v="3"/>
    <x v="1"/>
    <x v="828"/>
    <x v="828"/>
    <x v="2"/>
    <x v="829"/>
    <n v="7474426"/>
    <x v="8"/>
    <n v="0"/>
  </r>
  <r>
    <x v="830"/>
    <x v="1"/>
    <x v="11"/>
    <x v="11"/>
    <x v="33"/>
    <n v="37"/>
    <x v="1"/>
    <x v="0"/>
    <x v="829"/>
    <x v="829"/>
    <x v="0"/>
    <x v="830"/>
    <n v="9533286"/>
    <x v="11"/>
    <n v="0"/>
  </r>
  <r>
    <x v="831"/>
    <x v="6"/>
    <x v="22"/>
    <x v="22"/>
    <x v="19"/>
    <n v="52"/>
    <x v="1"/>
    <x v="0"/>
    <x v="830"/>
    <x v="830"/>
    <x v="0"/>
    <x v="831"/>
    <n v="1292983"/>
    <x v="21"/>
    <n v="0"/>
  </r>
  <r>
    <x v="832"/>
    <x v="4"/>
    <x v="16"/>
    <x v="16"/>
    <x v="23"/>
    <n v="32"/>
    <x v="1"/>
    <x v="0"/>
    <x v="831"/>
    <x v="831"/>
    <x v="1"/>
    <x v="832"/>
    <n v="55353"/>
    <x v="7"/>
    <n v="0"/>
  </r>
  <r>
    <x v="833"/>
    <x v="0"/>
    <x v="19"/>
    <x v="19"/>
    <x v="35"/>
    <n v="29"/>
    <x v="0"/>
    <x v="1"/>
    <x v="832"/>
    <x v="832"/>
    <x v="0"/>
    <x v="833"/>
    <n v="783098"/>
    <x v="3"/>
    <n v="0"/>
  </r>
  <r>
    <x v="834"/>
    <x v="6"/>
    <x v="5"/>
    <x v="5"/>
    <x v="24"/>
    <n v="56"/>
    <x v="2"/>
    <x v="1"/>
    <x v="833"/>
    <x v="833"/>
    <x v="1"/>
    <x v="834"/>
    <n v="5851819"/>
    <x v="21"/>
    <n v="0"/>
  </r>
  <r>
    <x v="835"/>
    <x v="6"/>
    <x v="4"/>
    <x v="4"/>
    <x v="0"/>
    <n v="23"/>
    <x v="3"/>
    <x v="0"/>
    <x v="834"/>
    <x v="834"/>
    <x v="1"/>
    <x v="835"/>
    <n v="7746918"/>
    <x v="26"/>
    <n v="0"/>
  </r>
  <r>
    <x v="836"/>
    <x v="5"/>
    <x v="7"/>
    <x v="7"/>
    <x v="19"/>
    <n v="52"/>
    <x v="0"/>
    <x v="0"/>
    <x v="835"/>
    <x v="835"/>
    <x v="1"/>
    <x v="836"/>
    <n v="3987212"/>
    <x v="16"/>
    <n v="0"/>
  </r>
  <r>
    <x v="837"/>
    <x v="0"/>
    <x v="23"/>
    <x v="23"/>
    <x v="48"/>
    <n v="34"/>
    <x v="1"/>
    <x v="1"/>
    <x v="836"/>
    <x v="836"/>
    <x v="2"/>
    <x v="837"/>
    <n v="5679772"/>
    <x v="3"/>
    <n v="0"/>
  </r>
  <r>
    <x v="838"/>
    <x v="0"/>
    <x v="15"/>
    <x v="15"/>
    <x v="34"/>
    <n v="36"/>
    <x v="1"/>
    <x v="0"/>
    <x v="837"/>
    <x v="837"/>
    <x v="1"/>
    <x v="838"/>
    <n v="540548"/>
    <x v="3"/>
    <n v="0"/>
  </r>
  <r>
    <x v="839"/>
    <x v="6"/>
    <x v="9"/>
    <x v="9"/>
    <x v="41"/>
    <n v="25"/>
    <x v="2"/>
    <x v="1"/>
    <x v="838"/>
    <x v="838"/>
    <x v="0"/>
    <x v="839"/>
    <n v="1400323"/>
    <x v="21"/>
    <n v="0"/>
  </r>
  <r>
    <x v="840"/>
    <x v="2"/>
    <x v="0"/>
    <x v="0"/>
    <x v="14"/>
    <n v="39"/>
    <x v="1"/>
    <x v="1"/>
    <x v="839"/>
    <x v="839"/>
    <x v="0"/>
    <x v="840"/>
    <n v="3555089"/>
    <x v="2"/>
    <n v="0"/>
  </r>
  <r>
    <x v="841"/>
    <x v="5"/>
    <x v="20"/>
    <x v="20"/>
    <x v="4"/>
    <n v="26"/>
    <x v="0"/>
    <x v="0"/>
    <x v="840"/>
    <x v="840"/>
    <x v="1"/>
    <x v="841"/>
    <n v="684634"/>
    <x v="12"/>
    <n v="0"/>
  </r>
  <r>
    <x v="842"/>
    <x v="5"/>
    <x v="15"/>
    <x v="15"/>
    <x v="50"/>
    <n v="12"/>
    <x v="0"/>
    <x v="0"/>
    <x v="841"/>
    <x v="841"/>
    <x v="1"/>
    <x v="842"/>
    <n v="1551704"/>
    <x v="15"/>
    <n v="0"/>
  </r>
  <r>
    <x v="843"/>
    <x v="3"/>
    <x v="14"/>
    <x v="14"/>
    <x v="5"/>
    <n v="24"/>
    <x v="2"/>
    <x v="1"/>
    <x v="842"/>
    <x v="842"/>
    <x v="0"/>
    <x v="843"/>
    <n v="8212653"/>
    <x v="10"/>
    <n v="0"/>
  </r>
  <r>
    <x v="844"/>
    <x v="0"/>
    <x v="0"/>
    <x v="0"/>
    <x v="22"/>
    <n v="10"/>
    <x v="0"/>
    <x v="1"/>
    <x v="843"/>
    <x v="843"/>
    <x v="1"/>
    <x v="844"/>
    <n v="8379428"/>
    <x v="9"/>
    <n v="0"/>
  </r>
  <r>
    <x v="845"/>
    <x v="6"/>
    <x v="15"/>
    <x v="15"/>
    <x v="21"/>
    <n v="59"/>
    <x v="3"/>
    <x v="1"/>
    <x v="844"/>
    <x v="844"/>
    <x v="2"/>
    <x v="845"/>
    <n v="811849"/>
    <x v="18"/>
    <n v="0"/>
  </r>
  <r>
    <x v="846"/>
    <x v="3"/>
    <x v="1"/>
    <x v="1"/>
    <x v="18"/>
    <n v="58"/>
    <x v="0"/>
    <x v="1"/>
    <x v="845"/>
    <x v="845"/>
    <x v="1"/>
    <x v="846"/>
    <n v="7404777"/>
    <x v="27"/>
    <n v="0"/>
  </r>
  <r>
    <x v="847"/>
    <x v="1"/>
    <x v="6"/>
    <x v="6"/>
    <x v="15"/>
    <n v="30"/>
    <x v="0"/>
    <x v="1"/>
    <x v="846"/>
    <x v="846"/>
    <x v="2"/>
    <x v="847"/>
    <n v="8036472"/>
    <x v="14"/>
    <n v="0"/>
  </r>
  <r>
    <x v="848"/>
    <x v="4"/>
    <x v="1"/>
    <x v="1"/>
    <x v="25"/>
    <n v="46"/>
    <x v="0"/>
    <x v="0"/>
    <x v="847"/>
    <x v="847"/>
    <x v="2"/>
    <x v="848"/>
    <n v="6874332"/>
    <x v="7"/>
    <n v="0"/>
  </r>
  <r>
    <x v="849"/>
    <x v="5"/>
    <x v="4"/>
    <x v="4"/>
    <x v="46"/>
    <n v="27"/>
    <x v="3"/>
    <x v="1"/>
    <x v="848"/>
    <x v="848"/>
    <x v="2"/>
    <x v="849"/>
    <n v="6863417"/>
    <x v="20"/>
    <n v="0"/>
  </r>
  <r>
    <x v="850"/>
    <x v="1"/>
    <x v="23"/>
    <x v="23"/>
    <x v="1"/>
    <n v="44"/>
    <x v="1"/>
    <x v="1"/>
    <x v="849"/>
    <x v="849"/>
    <x v="1"/>
    <x v="850"/>
    <n v="6839937"/>
    <x v="25"/>
    <n v="0"/>
  </r>
  <r>
    <x v="851"/>
    <x v="1"/>
    <x v="2"/>
    <x v="2"/>
    <x v="31"/>
    <n v="50"/>
    <x v="0"/>
    <x v="1"/>
    <x v="850"/>
    <x v="850"/>
    <x v="2"/>
    <x v="851"/>
    <n v="5383407"/>
    <x v="25"/>
    <n v="0"/>
  </r>
  <r>
    <x v="852"/>
    <x v="2"/>
    <x v="1"/>
    <x v="1"/>
    <x v="8"/>
    <n v="57"/>
    <x v="2"/>
    <x v="0"/>
    <x v="851"/>
    <x v="851"/>
    <x v="2"/>
    <x v="852"/>
    <n v="3951799"/>
    <x v="5"/>
    <n v="0"/>
  </r>
  <r>
    <x v="853"/>
    <x v="4"/>
    <x v="19"/>
    <x v="19"/>
    <x v="15"/>
    <n v="30"/>
    <x v="3"/>
    <x v="0"/>
    <x v="852"/>
    <x v="852"/>
    <x v="1"/>
    <x v="853"/>
    <n v="7436855"/>
    <x v="7"/>
    <n v="0"/>
  </r>
  <r>
    <x v="854"/>
    <x v="1"/>
    <x v="19"/>
    <x v="19"/>
    <x v="39"/>
    <n v="49"/>
    <x v="2"/>
    <x v="1"/>
    <x v="853"/>
    <x v="853"/>
    <x v="2"/>
    <x v="854"/>
    <n v="3337137"/>
    <x v="1"/>
    <n v="0"/>
  </r>
  <r>
    <x v="855"/>
    <x v="1"/>
    <x v="5"/>
    <x v="5"/>
    <x v="0"/>
    <n v="23"/>
    <x v="0"/>
    <x v="1"/>
    <x v="854"/>
    <x v="854"/>
    <x v="1"/>
    <x v="855"/>
    <n v="565757"/>
    <x v="14"/>
    <n v="0"/>
  </r>
  <r>
    <x v="856"/>
    <x v="4"/>
    <x v="0"/>
    <x v="0"/>
    <x v="49"/>
    <n v="60"/>
    <x v="2"/>
    <x v="0"/>
    <x v="855"/>
    <x v="855"/>
    <x v="0"/>
    <x v="856"/>
    <n v="4616878"/>
    <x v="19"/>
    <n v="0"/>
  </r>
  <r>
    <x v="857"/>
    <x v="4"/>
    <x v="6"/>
    <x v="6"/>
    <x v="16"/>
    <n v="11"/>
    <x v="0"/>
    <x v="0"/>
    <x v="856"/>
    <x v="856"/>
    <x v="2"/>
    <x v="857"/>
    <n v="3127912"/>
    <x v="17"/>
    <n v="0"/>
  </r>
  <r>
    <x v="858"/>
    <x v="1"/>
    <x v="4"/>
    <x v="4"/>
    <x v="6"/>
    <n v="40"/>
    <x v="3"/>
    <x v="0"/>
    <x v="857"/>
    <x v="857"/>
    <x v="1"/>
    <x v="858"/>
    <n v="9759554"/>
    <x v="25"/>
    <n v="0"/>
  </r>
  <r>
    <x v="859"/>
    <x v="4"/>
    <x v="19"/>
    <x v="19"/>
    <x v="38"/>
    <n v="43"/>
    <x v="2"/>
    <x v="0"/>
    <x v="858"/>
    <x v="858"/>
    <x v="0"/>
    <x v="859"/>
    <n v="2958141"/>
    <x v="19"/>
    <n v="0"/>
  </r>
  <r>
    <x v="860"/>
    <x v="1"/>
    <x v="21"/>
    <x v="21"/>
    <x v="1"/>
    <n v="44"/>
    <x v="2"/>
    <x v="1"/>
    <x v="859"/>
    <x v="859"/>
    <x v="2"/>
    <x v="860"/>
    <n v="3438284"/>
    <x v="25"/>
    <n v="0"/>
  </r>
  <r>
    <x v="861"/>
    <x v="1"/>
    <x v="14"/>
    <x v="14"/>
    <x v="44"/>
    <n v="16"/>
    <x v="0"/>
    <x v="0"/>
    <x v="860"/>
    <x v="860"/>
    <x v="2"/>
    <x v="861"/>
    <n v="2035081"/>
    <x v="25"/>
    <n v="0"/>
  </r>
  <r>
    <x v="862"/>
    <x v="2"/>
    <x v="21"/>
    <x v="21"/>
    <x v="8"/>
    <n v="57"/>
    <x v="0"/>
    <x v="1"/>
    <x v="861"/>
    <x v="861"/>
    <x v="1"/>
    <x v="862"/>
    <n v="8318316"/>
    <x v="2"/>
    <n v="0"/>
  </r>
  <r>
    <x v="863"/>
    <x v="6"/>
    <x v="11"/>
    <x v="11"/>
    <x v="20"/>
    <n v="19"/>
    <x v="1"/>
    <x v="1"/>
    <x v="862"/>
    <x v="862"/>
    <x v="0"/>
    <x v="863"/>
    <n v="6072599"/>
    <x v="26"/>
    <n v="0"/>
  </r>
  <r>
    <x v="864"/>
    <x v="1"/>
    <x v="11"/>
    <x v="11"/>
    <x v="3"/>
    <n v="41"/>
    <x v="0"/>
    <x v="0"/>
    <x v="863"/>
    <x v="863"/>
    <x v="1"/>
    <x v="864"/>
    <n v="6323873"/>
    <x v="25"/>
    <n v="0"/>
  </r>
  <r>
    <x v="865"/>
    <x v="3"/>
    <x v="7"/>
    <x v="7"/>
    <x v="28"/>
    <n v="21"/>
    <x v="0"/>
    <x v="0"/>
    <x v="864"/>
    <x v="864"/>
    <x v="2"/>
    <x v="865"/>
    <n v="8295333"/>
    <x v="8"/>
    <n v="0"/>
  </r>
  <r>
    <x v="866"/>
    <x v="5"/>
    <x v="23"/>
    <x v="23"/>
    <x v="41"/>
    <n v="25"/>
    <x v="1"/>
    <x v="0"/>
    <x v="865"/>
    <x v="865"/>
    <x v="2"/>
    <x v="866"/>
    <n v="3757737"/>
    <x v="20"/>
    <n v="0"/>
  </r>
  <r>
    <x v="867"/>
    <x v="0"/>
    <x v="18"/>
    <x v="18"/>
    <x v="33"/>
    <n v="37"/>
    <x v="0"/>
    <x v="0"/>
    <x v="866"/>
    <x v="866"/>
    <x v="2"/>
    <x v="867"/>
    <n v="2339518"/>
    <x v="9"/>
    <n v="0"/>
  </r>
  <r>
    <x v="868"/>
    <x v="6"/>
    <x v="8"/>
    <x v="8"/>
    <x v="40"/>
    <n v="31"/>
    <x v="0"/>
    <x v="1"/>
    <x v="867"/>
    <x v="867"/>
    <x v="2"/>
    <x v="868"/>
    <n v="2384851"/>
    <x v="26"/>
    <n v="0"/>
  </r>
  <r>
    <x v="869"/>
    <x v="6"/>
    <x v="21"/>
    <x v="21"/>
    <x v="10"/>
    <n v="18"/>
    <x v="1"/>
    <x v="1"/>
    <x v="868"/>
    <x v="868"/>
    <x v="0"/>
    <x v="869"/>
    <n v="7459888"/>
    <x v="26"/>
    <n v="0"/>
  </r>
  <r>
    <x v="870"/>
    <x v="6"/>
    <x v="14"/>
    <x v="14"/>
    <x v="20"/>
    <n v="19"/>
    <x v="3"/>
    <x v="1"/>
    <x v="869"/>
    <x v="869"/>
    <x v="0"/>
    <x v="870"/>
    <n v="6334094"/>
    <x v="24"/>
    <n v="0"/>
  </r>
  <r>
    <x v="871"/>
    <x v="2"/>
    <x v="22"/>
    <x v="22"/>
    <x v="40"/>
    <n v="31"/>
    <x v="3"/>
    <x v="0"/>
    <x v="870"/>
    <x v="870"/>
    <x v="1"/>
    <x v="871"/>
    <n v="2460219"/>
    <x v="5"/>
    <n v="0"/>
  </r>
  <r>
    <x v="872"/>
    <x v="1"/>
    <x v="20"/>
    <x v="20"/>
    <x v="43"/>
    <n v="48"/>
    <x v="0"/>
    <x v="1"/>
    <x v="871"/>
    <x v="871"/>
    <x v="1"/>
    <x v="872"/>
    <n v="1878121"/>
    <x v="11"/>
    <n v="0"/>
  </r>
  <r>
    <x v="873"/>
    <x v="2"/>
    <x v="2"/>
    <x v="2"/>
    <x v="37"/>
    <n v="55"/>
    <x v="0"/>
    <x v="0"/>
    <x v="872"/>
    <x v="872"/>
    <x v="1"/>
    <x v="873"/>
    <n v="1646529"/>
    <x v="2"/>
    <n v="0"/>
  </r>
  <r>
    <x v="874"/>
    <x v="1"/>
    <x v="3"/>
    <x v="3"/>
    <x v="30"/>
    <n v="14"/>
    <x v="1"/>
    <x v="1"/>
    <x v="873"/>
    <x v="873"/>
    <x v="2"/>
    <x v="874"/>
    <n v="6464087"/>
    <x v="11"/>
    <n v="0"/>
  </r>
  <r>
    <x v="875"/>
    <x v="2"/>
    <x v="5"/>
    <x v="5"/>
    <x v="15"/>
    <n v="30"/>
    <x v="1"/>
    <x v="0"/>
    <x v="874"/>
    <x v="874"/>
    <x v="1"/>
    <x v="875"/>
    <n v="501127"/>
    <x v="2"/>
    <n v="0"/>
  </r>
  <r>
    <x v="876"/>
    <x v="2"/>
    <x v="8"/>
    <x v="8"/>
    <x v="9"/>
    <n v="15"/>
    <x v="3"/>
    <x v="1"/>
    <x v="875"/>
    <x v="875"/>
    <x v="0"/>
    <x v="876"/>
    <n v="674034"/>
    <x v="13"/>
    <n v="0"/>
  </r>
  <r>
    <x v="877"/>
    <x v="5"/>
    <x v="21"/>
    <x v="21"/>
    <x v="16"/>
    <n v="11"/>
    <x v="2"/>
    <x v="1"/>
    <x v="876"/>
    <x v="876"/>
    <x v="1"/>
    <x v="877"/>
    <n v="4200755"/>
    <x v="15"/>
    <n v="0"/>
  </r>
  <r>
    <x v="878"/>
    <x v="3"/>
    <x v="6"/>
    <x v="6"/>
    <x v="38"/>
    <n v="43"/>
    <x v="0"/>
    <x v="0"/>
    <x v="877"/>
    <x v="877"/>
    <x v="1"/>
    <x v="878"/>
    <n v="7067824"/>
    <x v="8"/>
    <n v="0"/>
  </r>
  <r>
    <x v="879"/>
    <x v="2"/>
    <x v="8"/>
    <x v="8"/>
    <x v="6"/>
    <n v="40"/>
    <x v="2"/>
    <x v="1"/>
    <x v="878"/>
    <x v="878"/>
    <x v="0"/>
    <x v="879"/>
    <n v="7102874"/>
    <x v="13"/>
    <n v="0"/>
  </r>
  <r>
    <x v="880"/>
    <x v="5"/>
    <x v="3"/>
    <x v="3"/>
    <x v="10"/>
    <n v="18"/>
    <x v="2"/>
    <x v="1"/>
    <x v="879"/>
    <x v="879"/>
    <x v="0"/>
    <x v="880"/>
    <n v="4586124"/>
    <x v="20"/>
    <n v="0"/>
  </r>
  <r>
    <x v="881"/>
    <x v="4"/>
    <x v="4"/>
    <x v="4"/>
    <x v="27"/>
    <n v="22"/>
    <x v="1"/>
    <x v="0"/>
    <x v="880"/>
    <x v="880"/>
    <x v="2"/>
    <x v="881"/>
    <n v="7065199"/>
    <x v="17"/>
    <n v="0"/>
  </r>
  <r>
    <x v="882"/>
    <x v="3"/>
    <x v="20"/>
    <x v="20"/>
    <x v="16"/>
    <n v="11"/>
    <x v="0"/>
    <x v="0"/>
    <x v="881"/>
    <x v="881"/>
    <x v="0"/>
    <x v="882"/>
    <n v="5450414"/>
    <x v="4"/>
    <n v="0"/>
  </r>
  <r>
    <x v="883"/>
    <x v="2"/>
    <x v="11"/>
    <x v="11"/>
    <x v="19"/>
    <n v="52"/>
    <x v="0"/>
    <x v="0"/>
    <x v="882"/>
    <x v="882"/>
    <x v="0"/>
    <x v="883"/>
    <n v="9780848"/>
    <x v="6"/>
    <n v="0"/>
  </r>
  <r>
    <x v="884"/>
    <x v="0"/>
    <x v="23"/>
    <x v="23"/>
    <x v="21"/>
    <n v="59"/>
    <x v="1"/>
    <x v="0"/>
    <x v="883"/>
    <x v="883"/>
    <x v="1"/>
    <x v="884"/>
    <n v="2043372"/>
    <x v="3"/>
    <n v="0"/>
  </r>
  <r>
    <x v="885"/>
    <x v="6"/>
    <x v="13"/>
    <x v="13"/>
    <x v="47"/>
    <n v="17"/>
    <x v="2"/>
    <x v="0"/>
    <x v="884"/>
    <x v="884"/>
    <x v="0"/>
    <x v="885"/>
    <n v="6206339"/>
    <x v="24"/>
    <n v="0"/>
  </r>
  <r>
    <x v="886"/>
    <x v="4"/>
    <x v="2"/>
    <x v="2"/>
    <x v="27"/>
    <n v="22"/>
    <x v="1"/>
    <x v="1"/>
    <x v="885"/>
    <x v="885"/>
    <x v="2"/>
    <x v="886"/>
    <n v="5166768"/>
    <x v="7"/>
    <n v="0"/>
  </r>
  <r>
    <x v="887"/>
    <x v="4"/>
    <x v="8"/>
    <x v="8"/>
    <x v="7"/>
    <n v="53"/>
    <x v="3"/>
    <x v="0"/>
    <x v="886"/>
    <x v="886"/>
    <x v="1"/>
    <x v="887"/>
    <n v="234743"/>
    <x v="17"/>
    <n v="0"/>
  </r>
  <r>
    <x v="888"/>
    <x v="5"/>
    <x v="4"/>
    <x v="4"/>
    <x v="24"/>
    <n v="56"/>
    <x v="0"/>
    <x v="1"/>
    <x v="887"/>
    <x v="887"/>
    <x v="2"/>
    <x v="888"/>
    <n v="7624909"/>
    <x v="12"/>
    <n v="0"/>
  </r>
  <r>
    <x v="889"/>
    <x v="4"/>
    <x v="16"/>
    <x v="16"/>
    <x v="40"/>
    <n v="31"/>
    <x v="3"/>
    <x v="1"/>
    <x v="888"/>
    <x v="888"/>
    <x v="0"/>
    <x v="889"/>
    <n v="3117326"/>
    <x v="19"/>
    <n v="0"/>
  </r>
  <r>
    <x v="890"/>
    <x v="3"/>
    <x v="16"/>
    <x v="16"/>
    <x v="29"/>
    <n v="13"/>
    <x v="1"/>
    <x v="0"/>
    <x v="889"/>
    <x v="889"/>
    <x v="2"/>
    <x v="890"/>
    <n v="4126243"/>
    <x v="10"/>
    <n v="0"/>
  </r>
  <r>
    <x v="891"/>
    <x v="2"/>
    <x v="20"/>
    <x v="20"/>
    <x v="50"/>
    <n v="12"/>
    <x v="0"/>
    <x v="1"/>
    <x v="890"/>
    <x v="890"/>
    <x v="2"/>
    <x v="891"/>
    <n v="406089"/>
    <x v="13"/>
    <n v="0"/>
  </r>
  <r>
    <x v="892"/>
    <x v="2"/>
    <x v="4"/>
    <x v="4"/>
    <x v="14"/>
    <n v="39"/>
    <x v="3"/>
    <x v="1"/>
    <x v="891"/>
    <x v="891"/>
    <x v="0"/>
    <x v="892"/>
    <n v="2819942"/>
    <x v="5"/>
    <n v="0"/>
  </r>
  <r>
    <x v="893"/>
    <x v="0"/>
    <x v="15"/>
    <x v="15"/>
    <x v="15"/>
    <n v="30"/>
    <x v="3"/>
    <x v="0"/>
    <x v="892"/>
    <x v="892"/>
    <x v="0"/>
    <x v="893"/>
    <n v="4591701"/>
    <x v="23"/>
    <n v="0"/>
  </r>
  <r>
    <x v="894"/>
    <x v="6"/>
    <x v="14"/>
    <x v="14"/>
    <x v="16"/>
    <n v="11"/>
    <x v="2"/>
    <x v="1"/>
    <x v="893"/>
    <x v="893"/>
    <x v="1"/>
    <x v="894"/>
    <n v="4996786"/>
    <x v="24"/>
    <n v="0"/>
  </r>
  <r>
    <x v="895"/>
    <x v="5"/>
    <x v="3"/>
    <x v="3"/>
    <x v="14"/>
    <n v="39"/>
    <x v="0"/>
    <x v="0"/>
    <x v="894"/>
    <x v="894"/>
    <x v="1"/>
    <x v="895"/>
    <n v="7570106"/>
    <x v="16"/>
    <n v="0"/>
  </r>
  <r>
    <x v="896"/>
    <x v="6"/>
    <x v="22"/>
    <x v="22"/>
    <x v="16"/>
    <n v="11"/>
    <x v="3"/>
    <x v="0"/>
    <x v="895"/>
    <x v="895"/>
    <x v="1"/>
    <x v="896"/>
    <n v="7768151"/>
    <x v="18"/>
    <n v="0"/>
  </r>
  <r>
    <x v="897"/>
    <x v="4"/>
    <x v="15"/>
    <x v="15"/>
    <x v="39"/>
    <n v="49"/>
    <x v="3"/>
    <x v="0"/>
    <x v="896"/>
    <x v="896"/>
    <x v="0"/>
    <x v="897"/>
    <n v="2006282"/>
    <x v="7"/>
    <n v="0"/>
  </r>
  <r>
    <x v="898"/>
    <x v="0"/>
    <x v="21"/>
    <x v="21"/>
    <x v="41"/>
    <n v="25"/>
    <x v="2"/>
    <x v="1"/>
    <x v="897"/>
    <x v="897"/>
    <x v="2"/>
    <x v="898"/>
    <n v="6131337"/>
    <x v="9"/>
    <n v="0"/>
  </r>
  <r>
    <x v="899"/>
    <x v="6"/>
    <x v="8"/>
    <x v="8"/>
    <x v="50"/>
    <n v="12"/>
    <x v="3"/>
    <x v="1"/>
    <x v="898"/>
    <x v="898"/>
    <x v="2"/>
    <x v="899"/>
    <n v="9013879"/>
    <x v="21"/>
    <n v="0"/>
  </r>
  <r>
    <x v="900"/>
    <x v="3"/>
    <x v="9"/>
    <x v="9"/>
    <x v="14"/>
    <n v="39"/>
    <x v="3"/>
    <x v="1"/>
    <x v="899"/>
    <x v="899"/>
    <x v="1"/>
    <x v="900"/>
    <n v="1533473"/>
    <x v="4"/>
    <n v="0"/>
  </r>
  <r>
    <x v="901"/>
    <x v="2"/>
    <x v="5"/>
    <x v="5"/>
    <x v="15"/>
    <n v="30"/>
    <x v="3"/>
    <x v="1"/>
    <x v="900"/>
    <x v="900"/>
    <x v="1"/>
    <x v="901"/>
    <n v="4992683"/>
    <x v="13"/>
    <n v="0"/>
  </r>
  <r>
    <x v="902"/>
    <x v="4"/>
    <x v="7"/>
    <x v="7"/>
    <x v="21"/>
    <n v="59"/>
    <x v="2"/>
    <x v="0"/>
    <x v="901"/>
    <x v="901"/>
    <x v="0"/>
    <x v="902"/>
    <n v="7628355"/>
    <x v="22"/>
    <n v="0"/>
  </r>
  <r>
    <x v="903"/>
    <x v="0"/>
    <x v="9"/>
    <x v="9"/>
    <x v="33"/>
    <n v="37"/>
    <x v="3"/>
    <x v="1"/>
    <x v="902"/>
    <x v="902"/>
    <x v="2"/>
    <x v="903"/>
    <n v="6309168"/>
    <x v="0"/>
    <n v="0"/>
  </r>
  <r>
    <x v="904"/>
    <x v="6"/>
    <x v="6"/>
    <x v="6"/>
    <x v="5"/>
    <n v="24"/>
    <x v="3"/>
    <x v="0"/>
    <x v="903"/>
    <x v="903"/>
    <x v="1"/>
    <x v="904"/>
    <n v="1455564"/>
    <x v="18"/>
    <n v="0"/>
  </r>
  <r>
    <x v="905"/>
    <x v="5"/>
    <x v="21"/>
    <x v="21"/>
    <x v="2"/>
    <n v="45"/>
    <x v="0"/>
    <x v="1"/>
    <x v="904"/>
    <x v="904"/>
    <x v="0"/>
    <x v="905"/>
    <n v="4267758"/>
    <x v="20"/>
    <n v="0"/>
  </r>
  <r>
    <x v="906"/>
    <x v="3"/>
    <x v="7"/>
    <x v="7"/>
    <x v="5"/>
    <n v="24"/>
    <x v="0"/>
    <x v="1"/>
    <x v="905"/>
    <x v="905"/>
    <x v="1"/>
    <x v="906"/>
    <n v="5318775"/>
    <x v="8"/>
    <n v="0"/>
  </r>
  <r>
    <x v="907"/>
    <x v="3"/>
    <x v="18"/>
    <x v="18"/>
    <x v="37"/>
    <n v="55"/>
    <x v="2"/>
    <x v="1"/>
    <x v="906"/>
    <x v="906"/>
    <x v="0"/>
    <x v="907"/>
    <n v="9960533"/>
    <x v="27"/>
    <n v="0"/>
  </r>
  <r>
    <x v="908"/>
    <x v="6"/>
    <x v="11"/>
    <x v="11"/>
    <x v="35"/>
    <n v="29"/>
    <x v="1"/>
    <x v="1"/>
    <x v="907"/>
    <x v="907"/>
    <x v="2"/>
    <x v="908"/>
    <n v="2196775"/>
    <x v="18"/>
    <n v="0"/>
  </r>
  <r>
    <x v="909"/>
    <x v="2"/>
    <x v="14"/>
    <x v="14"/>
    <x v="33"/>
    <n v="37"/>
    <x v="0"/>
    <x v="1"/>
    <x v="908"/>
    <x v="908"/>
    <x v="0"/>
    <x v="909"/>
    <n v="9833026"/>
    <x v="5"/>
    <n v="0"/>
  </r>
  <r>
    <x v="910"/>
    <x v="6"/>
    <x v="12"/>
    <x v="12"/>
    <x v="29"/>
    <n v="13"/>
    <x v="2"/>
    <x v="0"/>
    <x v="909"/>
    <x v="909"/>
    <x v="1"/>
    <x v="910"/>
    <n v="4073423"/>
    <x v="18"/>
    <n v="0"/>
  </r>
  <r>
    <x v="911"/>
    <x v="4"/>
    <x v="7"/>
    <x v="7"/>
    <x v="40"/>
    <n v="31"/>
    <x v="3"/>
    <x v="1"/>
    <x v="910"/>
    <x v="910"/>
    <x v="1"/>
    <x v="911"/>
    <n v="2403045"/>
    <x v="7"/>
    <n v="0"/>
  </r>
  <r>
    <x v="912"/>
    <x v="6"/>
    <x v="8"/>
    <x v="8"/>
    <x v="19"/>
    <n v="52"/>
    <x v="3"/>
    <x v="1"/>
    <x v="911"/>
    <x v="911"/>
    <x v="2"/>
    <x v="912"/>
    <n v="4434036"/>
    <x v="21"/>
    <n v="0"/>
  </r>
  <r>
    <x v="913"/>
    <x v="3"/>
    <x v="9"/>
    <x v="9"/>
    <x v="31"/>
    <n v="50"/>
    <x v="2"/>
    <x v="1"/>
    <x v="912"/>
    <x v="912"/>
    <x v="2"/>
    <x v="913"/>
    <n v="6332954"/>
    <x v="27"/>
    <n v="0"/>
  </r>
  <r>
    <x v="914"/>
    <x v="0"/>
    <x v="5"/>
    <x v="5"/>
    <x v="28"/>
    <n v="21"/>
    <x v="3"/>
    <x v="1"/>
    <x v="913"/>
    <x v="913"/>
    <x v="1"/>
    <x v="914"/>
    <n v="2528225"/>
    <x v="0"/>
    <n v="0"/>
  </r>
  <r>
    <x v="915"/>
    <x v="6"/>
    <x v="8"/>
    <x v="8"/>
    <x v="28"/>
    <n v="21"/>
    <x v="3"/>
    <x v="0"/>
    <x v="914"/>
    <x v="914"/>
    <x v="1"/>
    <x v="915"/>
    <n v="3268671"/>
    <x v="26"/>
    <n v="0"/>
  </r>
  <r>
    <x v="916"/>
    <x v="2"/>
    <x v="12"/>
    <x v="12"/>
    <x v="32"/>
    <n v="51"/>
    <x v="1"/>
    <x v="1"/>
    <x v="821"/>
    <x v="821"/>
    <x v="1"/>
    <x v="916"/>
    <n v="8618192"/>
    <x v="5"/>
    <n v="0"/>
  </r>
  <r>
    <x v="917"/>
    <x v="0"/>
    <x v="16"/>
    <x v="16"/>
    <x v="8"/>
    <n v="57"/>
    <x v="3"/>
    <x v="0"/>
    <x v="915"/>
    <x v="915"/>
    <x v="2"/>
    <x v="917"/>
    <n v="999059"/>
    <x v="23"/>
    <n v="0"/>
  </r>
  <r>
    <x v="918"/>
    <x v="5"/>
    <x v="11"/>
    <x v="11"/>
    <x v="9"/>
    <n v="15"/>
    <x v="0"/>
    <x v="1"/>
    <x v="916"/>
    <x v="916"/>
    <x v="1"/>
    <x v="918"/>
    <n v="3522641"/>
    <x v="15"/>
    <n v="0"/>
  </r>
  <r>
    <x v="919"/>
    <x v="1"/>
    <x v="6"/>
    <x v="6"/>
    <x v="17"/>
    <n v="33"/>
    <x v="3"/>
    <x v="0"/>
    <x v="917"/>
    <x v="917"/>
    <x v="2"/>
    <x v="919"/>
    <n v="191414"/>
    <x v="25"/>
    <n v="0"/>
  </r>
  <r>
    <x v="920"/>
    <x v="6"/>
    <x v="4"/>
    <x v="4"/>
    <x v="46"/>
    <n v="27"/>
    <x v="2"/>
    <x v="0"/>
    <x v="918"/>
    <x v="918"/>
    <x v="1"/>
    <x v="920"/>
    <n v="8035123"/>
    <x v="21"/>
    <n v="0"/>
  </r>
  <r>
    <x v="921"/>
    <x v="2"/>
    <x v="3"/>
    <x v="3"/>
    <x v="12"/>
    <n v="54"/>
    <x v="1"/>
    <x v="0"/>
    <x v="919"/>
    <x v="919"/>
    <x v="0"/>
    <x v="921"/>
    <n v="6204329"/>
    <x v="6"/>
    <n v="0"/>
  </r>
  <r>
    <x v="922"/>
    <x v="0"/>
    <x v="8"/>
    <x v="8"/>
    <x v="30"/>
    <n v="14"/>
    <x v="3"/>
    <x v="0"/>
    <x v="920"/>
    <x v="920"/>
    <x v="0"/>
    <x v="922"/>
    <n v="1453811"/>
    <x v="0"/>
    <n v="0"/>
  </r>
  <r>
    <x v="923"/>
    <x v="2"/>
    <x v="2"/>
    <x v="2"/>
    <x v="28"/>
    <n v="21"/>
    <x v="2"/>
    <x v="0"/>
    <x v="921"/>
    <x v="921"/>
    <x v="1"/>
    <x v="923"/>
    <n v="9494329"/>
    <x v="5"/>
    <n v="0"/>
  </r>
  <r>
    <x v="924"/>
    <x v="5"/>
    <x v="19"/>
    <x v="19"/>
    <x v="43"/>
    <n v="48"/>
    <x v="0"/>
    <x v="1"/>
    <x v="922"/>
    <x v="922"/>
    <x v="0"/>
    <x v="924"/>
    <n v="1241471"/>
    <x v="20"/>
    <n v="0"/>
  </r>
  <r>
    <x v="925"/>
    <x v="3"/>
    <x v="6"/>
    <x v="6"/>
    <x v="29"/>
    <n v="13"/>
    <x v="3"/>
    <x v="0"/>
    <x v="923"/>
    <x v="923"/>
    <x v="2"/>
    <x v="925"/>
    <n v="6440886"/>
    <x v="8"/>
    <n v="0"/>
  </r>
  <r>
    <x v="926"/>
    <x v="2"/>
    <x v="7"/>
    <x v="7"/>
    <x v="42"/>
    <n v="35"/>
    <x v="1"/>
    <x v="1"/>
    <x v="924"/>
    <x v="924"/>
    <x v="0"/>
    <x v="926"/>
    <n v="4527404"/>
    <x v="13"/>
    <n v="0"/>
  </r>
  <r>
    <x v="927"/>
    <x v="0"/>
    <x v="19"/>
    <x v="19"/>
    <x v="23"/>
    <n v="32"/>
    <x v="3"/>
    <x v="0"/>
    <x v="925"/>
    <x v="925"/>
    <x v="0"/>
    <x v="927"/>
    <n v="5787927"/>
    <x v="9"/>
    <n v="0"/>
  </r>
  <r>
    <x v="928"/>
    <x v="2"/>
    <x v="23"/>
    <x v="23"/>
    <x v="46"/>
    <n v="27"/>
    <x v="2"/>
    <x v="0"/>
    <x v="926"/>
    <x v="926"/>
    <x v="2"/>
    <x v="928"/>
    <n v="2525535"/>
    <x v="2"/>
    <n v="0"/>
  </r>
  <r>
    <x v="929"/>
    <x v="2"/>
    <x v="13"/>
    <x v="13"/>
    <x v="15"/>
    <n v="30"/>
    <x v="1"/>
    <x v="1"/>
    <x v="927"/>
    <x v="927"/>
    <x v="0"/>
    <x v="929"/>
    <n v="7037049"/>
    <x v="13"/>
    <n v="0"/>
  </r>
  <r>
    <x v="930"/>
    <x v="2"/>
    <x v="19"/>
    <x v="19"/>
    <x v="34"/>
    <n v="36"/>
    <x v="3"/>
    <x v="0"/>
    <x v="928"/>
    <x v="928"/>
    <x v="0"/>
    <x v="930"/>
    <n v="9617337"/>
    <x v="5"/>
    <n v="0"/>
  </r>
  <r>
    <x v="931"/>
    <x v="4"/>
    <x v="8"/>
    <x v="8"/>
    <x v="10"/>
    <n v="18"/>
    <x v="0"/>
    <x v="0"/>
    <x v="929"/>
    <x v="929"/>
    <x v="1"/>
    <x v="931"/>
    <n v="4855046"/>
    <x v="17"/>
    <n v="0"/>
  </r>
  <r>
    <x v="932"/>
    <x v="4"/>
    <x v="0"/>
    <x v="0"/>
    <x v="14"/>
    <n v="39"/>
    <x v="1"/>
    <x v="0"/>
    <x v="930"/>
    <x v="930"/>
    <x v="2"/>
    <x v="932"/>
    <n v="5468104"/>
    <x v="17"/>
    <n v="0"/>
  </r>
  <r>
    <x v="933"/>
    <x v="3"/>
    <x v="1"/>
    <x v="1"/>
    <x v="31"/>
    <n v="50"/>
    <x v="0"/>
    <x v="0"/>
    <x v="931"/>
    <x v="931"/>
    <x v="2"/>
    <x v="933"/>
    <n v="2778211"/>
    <x v="10"/>
    <n v="0"/>
  </r>
  <r>
    <x v="934"/>
    <x v="6"/>
    <x v="1"/>
    <x v="1"/>
    <x v="43"/>
    <n v="48"/>
    <x v="2"/>
    <x v="1"/>
    <x v="932"/>
    <x v="932"/>
    <x v="1"/>
    <x v="934"/>
    <n v="8972746"/>
    <x v="26"/>
    <n v="0"/>
  </r>
  <r>
    <x v="935"/>
    <x v="2"/>
    <x v="6"/>
    <x v="6"/>
    <x v="10"/>
    <n v="18"/>
    <x v="3"/>
    <x v="0"/>
    <x v="933"/>
    <x v="933"/>
    <x v="1"/>
    <x v="935"/>
    <n v="9726157"/>
    <x v="6"/>
    <n v="0"/>
  </r>
  <r>
    <x v="936"/>
    <x v="5"/>
    <x v="3"/>
    <x v="3"/>
    <x v="47"/>
    <n v="17"/>
    <x v="0"/>
    <x v="0"/>
    <x v="934"/>
    <x v="934"/>
    <x v="0"/>
    <x v="936"/>
    <n v="796982"/>
    <x v="15"/>
    <n v="0"/>
  </r>
  <r>
    <x v="937"/>
    <x v="6"/>
    <x v="22"/>
    <x v="22"/>
    <x v="0"/>
    <n v="23"/>
    <x v="2"/>
    <x v="1"/>
    <x v="935"/>
    <x v="935"/>
    <x v="0"/>
    <x v="937"/>
    <n v="5656348"/>
    <x v="26"/>
    <n v="0"/>
  </r>
  <r>
    <x v="938"/>
    <x v="5"/>
    <x v="18"/>
    <x v="18"/>
    <x v="36"/>
    <n v="28"/>
    <x v="3"/>
    <x v="1"/>
    <x v="936"/>
    <x v="936"/>
    <x v="0"/>
    <x v="938"/>
    <n v="958957"/>
    <x v="12"/>
    <n v="0"/>
  </r>
  <r>
    <x v="939"/>
    <x v="6"/>
    <x v="7"/>
    <x v="7"/>
    <x v="15"/>
    <n v="30"/>
    <x v="2"/>
    <x v="0"/>
    <x v="937"/>
    <x v="937"/>
    <x v="1"/>
    <x v="939"/>
    <n v="1961576"/>
    <x v="24"/>
    <n v="0"/>
  </r>
  <r>
    <x v="940"/>
    <x v="3"/>
    <x v="6"/>
    <x v="6"/>
    <x v="1"/>
    <n v="44"/>
    <x v="0"/>
    <x v="0"/>
    <x v="938"/>
    <x v="938"/>
    <x v="2"/>
    <x v="940"/>
    <n v="5045663"/>
    <x v="27"/>
    <n v="0"/>
  </r>
  <r>
    <x v="941"/>
    <x v="2"/>
    <x v="21"/>
    <x v="21"/>
    <x v="29"/>
    <n v="13"/>
    <x v="2"/>
    <x v="1"/>
    <x v="939"/>
    <x v="939"/>
    <x v="0"/>
    <x v="941"/>
    <n v="5607254"/>
    <x v="2"/>
    <n v="0"/>
  </r>
  <r>
    <x v="942"/>
    <x v="2"/>
    <x v="4"/>
    <x v="4"/>
    <x v="50"/>
    <n v="12"/>
    <x v="1"/>
    <x v="0"/>
    <x v="940"/>
    <x v="940"/>
    <x v="1"/>
    <x v="942"/>
    <n v="5173206"/>
    <x v="5"/>
    <n v="0"/>
  </r>
  <r>
    <x v="943"/>
    <x v="1"/>
    <x v="11"/>
    <x v="11"/>
    <x v="15"/>
    <n v="30"/>
    <x v="3"/>
    <x v="1"/>
    <x v="941"/>
    <x v="941"/>
    <x v="2"/>
    <x v="943"/>
    <n v="8122974"/>
    <x v="1"/>
    <n v="0"/>
  </r>
  <r>
    <x v="944"/>
    <x v="5"/>
    <x v="20"/>
    <x v="20"/>
    <x v="2"/>
    <n v="45"/>
    <x v="2"/>
    <x v="0"/>
    <x v="942"/>
    <x v="942"/>
    <x v="1"/>
    <x v="944"/>
    <n v="6868827"/>
    <x v="15"/>
    <n v="0"/>
  </r>
  <r>
    <x v="945"/>
    <x v="6"/>
    <x v="13"/>
    <x v="13"/>
    <x v="13"/>
    <n v="20"/>
    <x v="0"/>
    <x v="1"/>
    <x v="943"/>
    <x v="943"/>
    <x v="0"/>
    <x v="945"/>
    <n v="1703255"/>
    <x v="26"/>
    <n v="0"/>
  </r>
  <r>
    <x v="946"/>
    <x v="6"/>
    <x v="18"/>
    <x v="18"/>
    <x v="26"/>
    <n v="42"/>
    <x v="3"/>
    <x v="1"/>
    <x v="944"/>
    <x v="944"/>
    <x v="1"/>
    <x v="946"/>
    <n v="3791287"/>
    <x v="18"/>
    <n v="0"/>
  </r>
  <r>
    <x v="947"/>
    <x v="4"/>
    <x v="0"/>
    <x v="0"/>
    <x v="0"/>
    <n v="23"/>
    <x v="1"/>
    <x v="1"/>
    <x v="945"/>
    <x v="945"/>
    <x v="1"/>
    <x v="947"/>
    <n v="372123"/>
    <x v="7"/>
    <n v="0"/>
  </r>
  <r>
    <x v="948"/>
    <x v="1"/>
    <x v="8"/>
    <x v="8"/>
    <x v="12"/>
    <n v="54"/>
    <x v="3"/>
    <x v="0"/>
    <x v="946"/>
    <x v="946"/>
    <x v="1"/>
    <x v="948"/>
    <n v="5873506"/>
    <x v="11"/>
    <n v="0"/>
  </r>
  <r>
    <x v="949"/>
    <x v="0"/>
    <x v="10"/>
    <x v="10"/>
    <x v="37"/>
    <n v="55"/>
    <x v="1"/>
    <x v="0"/>
    <x v="947"/>
    <x v="947"/>
    <x v="1"/>
    <x v="949"/>
    <n v="3268855"/>
    <x v="3"/>
    <n v="0"/>
  </r>
  <r>
    <x v="950"/>
    <x v="0"/>
    <x v="9"/>
    <x v="9"/>
    <x v="41"/>
    <n v="25"/>
    <x v="3"/>
    <x v="0"/>
    <x v="948"/>
    <x v="948"/>
    <x v="2"/>
    <x v="950"/>
    <n v="1614082"/>
    <x v="3"/>
    <n v="0"/>
  </r>
  <r>
    <x v="951"/>
    <x v="4"/>
    <x v="22"/>
    <x v="22"/>
    <x v="28"/>
    <n v="21"/>
    <x v="2"/>
    <x v="0"/>
    <x v="949"/>
    <x v="949"/>
    <x v="0"/>
    <x v="951"/>
    <n v="6709985"/>
    <x v="7"/>
    <n v="0"/>
  </r>
  <r>
    <x v="952"/>
    <x v="4"/>
    <x v="11"/>
    <x v="11"/>
    <x v="40"/>
    <n v="31"/>
    <x v="2"/>
    <x v="1"/>
    <x v="950"/>
    <x v="950"/>
    <x v="2"/>
    <x v="952"/>
    <n v="8584851"/>
    <x v="17"/>
    <n v="0"/>
  </r>
  <r>
    <x v="953"/>
    <x v="4"/>
    <x v="20"/>
    <x v="20"/>
    <x v="27"/>
    <n v="22"/>
    <x v="0"/>
    <x v="1"/>
    <x v="951"/>
    <x v="951"/>
    <x v="1"/>
    <x v="953"/>
    <n v="9350277"/>
    <x v="22"/>
    <n v="0"/>
  </r>
  <r>
    <x v="954"/>
    <x v="5"/>
    <x v="0"/>
    <x v="0"/>
    <x v="1"/>
    <n v="44"/>
    <x v="1"/>
    <x v="1"/>
    <x v="952"/>
    <x v="952"/>
    <x v="1"/>
    <x v="954"/>
    <n v="9739495"/>
    <x v="16"/>
    <n v="0"/>
  </r>
  <r>
    <x v="955"/>
    <x v="5"/>
    <x v="0"/>
    <x v="0"/>
    <x v="32"/>
    <n v="51"/>
    <x v="0"/>
    <x v="0"/>
    <x v="953"/>
    <x v="953"/>
    <x v="0"/>
    <x v="955"/>
    <n v="792061"/>
    <x v="20"/>
    <n v="0"/>
  </r>
  <r>
    <x v="956"/>
    <x v="3"/>
    <x v="10"/>
    <x v="10"/>
    <x v="1"/>
    <n v="44"/>
    <x v="2"/>
    <x v="0"/>
    <x v="954"/>
    <x v="954"/>
    <x v="0"/>
    <x v="956"/>
    <n v="1827173"/>
    <x v="27"/>
    <n v="0"/>
  </r>
  <r>
    <x v="957"/>
    <x v="3"/>
    <x v="14"/>
    <x v="14"/>
    <x v="32"/>
    <n v="51"/>
    <x v="1"/>
    <x v="0"/>
    <x v="955"/>
    <x v="955"/>
    <x v="2"/>
    <x v="957"/>
    <n v="8604562"/>
    <x v="8"/>
    <n v="0"/>
  </r>
  <r>
    <x v="958"/>
    <x v="4"/>
    <x v="2"/>
    <x v="2"/>
    <x v="15"/>
    <n v="30"/>
    <x v="0"/>
    <x v="1"/>
    <x v="956"/>
    <x v="956"/>
    <x v="2"/>
    <x v="958"/>
    <n v="4299621"/>
    <x v="17"/>
    <n v="0"/>
  </r>
  <r>
    <x v="959"/>
    <x v="1"/>
    <x v="14"/>
    <x v="14"/>
    <x v="10"/>
    <n v="18"/>
    <x v="0"/>
    <x v="0"/>
    <x v="957"/>
    <x v="957"/>
    <x v="0"/>
    <x v="959"/>
    <n v="7434157"/>
    <x v="1"/>
    <n v="0"/>
  </r>
  <r>
    <x v="960"/>
    <x v="6"/>
    <x v="10"/>
    <x v="10"/>
    <x v="11"/>
    <n v="47"/>
    <x v="0"/>
    <x v="0"/>
    <x v="958"/>
    <x v="958"/>
    <x v="2"/>
    <x v="960"/>
    <n v="5547046"/>
    <x v="26"/>
    <n v="0"/>
  </r>
  <r>
    <x v="961"/>
    <x v="5"/>
    <x v="18"/>
    <x v="18"/>
    <x v="36"/>
    <n v="28"/>
    <x v="0"/>
    <x v="1"/>
    <x v="959"/>
    <x v="959"/>
    <x v="1"/>
    <x v="961"/>
    <n v="8371758"/>
    <x v="20"/>
    <n v="0"/>
  </r>
  <r>
    <x v="962"/>
    <x v="1"/>
    <x v="4"/>
    <x v="4"/>
    <x v="1"/>
    <n v="44"/>
    <x v="0"/>
    <x v="1"/>
    <x v="960"/>
    <x v="960"/>
    <x v="1"/>
    <x v="962"/>
    <n v="4542304"/>
    <x v="1"/>
    <n v="0"/>
  </r>
  <r>
    <x v="963"/>
    <x v="2"/>
    <x v="6"/>
    <x v="6"/>
    <x v="5"/>
    <n v="24"/>
    <x v="1"/>
    <x v="0"/>
    <x v="961"/>
    <x v="961"/>
    <x v="0"/>
    <x v="963"/>
    <n v="1087041"/>
    <x v="6"/>
    <n v="0"/>
  </r>
  <r>
    <x v="964"/>
    <x v="5"/>
    <x v="19"/>
    <x v="19"/>
    <x v="30"/>
    <n v="14"/>
    <x v="0"/>
    <x v="1"/>
    <x v="962"/>
    <x v="962"/>
    <x v="2"/>
    <x v="964"/>
    <n v="5789825"/>
    <x v="12"/>
    <n v="0"/>
  </r>
  <r>
    <x v="965"/>
    <x v="5"/>
    <x v="10"/>
    <x v="10"/>
    <x v="49"/>
    <n v="60"/>
    <x v="1"/>
    <x v="0"/>
    <x v="963"/>
    <x v="963"/>
    <x v="1"/>
    <x v="965"/>
    <n v="212726"/>
    <x v="15"/>
    <n v="0"/>
  </r>
  <r>
    <x v="966"/>
    <x v="3"/>
    <x v="20"/>
    <x v="20"/>
    <x v="10"/>
    <n v="18"/>
    <x v="0"/>
    <x v="1"/>
    <x v="964"/>
    <x v="964"/>
    <x v="0"/>
    <x v="966"/>
    <n v="9672418"/>
    <x v="27"/>
    <n v="0"/>
  </r>
  <r>
    <x v="967"/>
    <x v="6"/>
    <x v="16"/>
    <x v="16"/>
    <x v="21"/>
    <n v="59"/>
    <x v="2"/>
    <x v="1"/>
    <x v="965"/>
    <x v="965"/>
    <x v="2"/>
    <x v="967"/>
    <n v="5506149"/>
    <x v="18"/>
    <n v="0"/>
  </r>
  <r>
    <x v="968"/>
    <x v="6"/>
    <x v="10"/>
    <x v="10"/>
    <x v="21"/>
    <n v="59"/>
    <x v="2"/>
    <x v="1"/>
    <x v="966"/>
    <x v="966"/>
    <x v="1"/>
    <x v="968"/>
    <n v="5758809"/>
    <x v="26"/>
    <n v="0"/>
  </r>
  <r>
    <x v="969"/>
    <x v="0"/>
    <x v="4"/>
    <x v="4"/>
    <x v="31"/>
    <n v="50"/>
    <x v="0"/>
    <x v="0"/>
    <x v="967"/>
    <x v="967"/>
    <x v="2"/>
    <x v="969"/>
    <n v="9119024"/>
    <x v="3"/>
    <n v="0"/>
  </r>
  <r>
    <x v="970"/>
    <x v="0"/>
    <x v="10"/>
    <x v="10"/>
    <x v="38"/>
    <n v="43"/>
    <x v="3"/>
    <x v="0"/>
    <x v="968"/>
    <x v="968"/>
    <x v="2"/>
    <x v="970"/>
    <n v="643356"/>
    <x v="3"/>
    <n v="0"/>
  </r>
  <r>
    <x v="971"/>
    <x v="0"/>
    <x v="16"/>
    <x v="16"/>
    <x v="14"/>
    <n v="39"/>
    <x v="2"/>
    <x v="0"/>
    <x v="969"/>
    <x v="969"/>
    <x v="2"/>
    <x v="971"/>
    <n v="3375929"/>
    <x v="9"/>
    <n v="0"/>
  </r>
  <r>
    <x v="972"/>
    <x v="0"/>
    <x v="16"/>
    <x v="16"/>
    <x v="7"/>
    <n v="53"/>
    <x v="1"/>
    <x v="1"/>
    <x v="970"/>
    <x v="970"/>
    <x v="0"/>
    <x v="972"/>
    <n v="3312899"/>
    <x v="3"/>
    <n v="0"/>
  </r>
  <r>
    <x v="973"/>
    <x v="2"/>
    <x v="1"/>
    <x v="1"/>
    <x v="5"/>
    <n v="24"/>
    <x v="0"/>
    <x v="1"/>
    <x v="971"/>
    <x v="971"/>
    <x v="1"/>
    <x v="973"/>
    <n v="5264997"/>
    <x v="6"/>
    <n v="0"/>
  </r>
  <r>
    <x v="974"/>
    <x v="2"/>
    <x v="11"/>
    <x v="11"/>
    <x v="17"/>
    <n v="33"/>
    <x v="1"/>
    <x v="1"/>
    <x v="972"/>
    <x v="972"/>
    <x v="0"/>
    <x v="974"/>
    <n v="8732778"/>
    <x v="2"/>
    <n v="0"/>
  </r>
  <r>
    <x v="975"/>
    <x v="5"/>
    <x v="20"/>
    <x v="20"/>
    <x v="3"/>
    <n v="41"/>
    <x v="3"/>
    <x v="1"/>
    <x v="973"/>
    <x v="973"/>
    <x v="1"/>
    <x v="975"/>
    <n v="8049929"/>
    <x v="12"/>
    <n v="0"/>
  </r>
  <r>
    <x v="976"/>
    <x v="4"/>
    <x v="3"/>
    <x v="3"/>
    <x v="40"/>
    <n v="31"/>
    <x v="0"/>
    <x v="0"/>
    <x v="974"/>
    <x v="974"/>
    <x v="1"/>
    <x v="976"/>
    <n v="9646036"/>
    <x v="22"/>
    <n v="0"/>
  </r>
  <r>
    <x v="977"/>
    <x v="3"/>
    <x v="8"/>
    <x v="8"/>
    <x v="40"/>
    <n v="31"/>
    <x v="2"/>
    <x v="0"/>
    <x v="975"/>
    <x v="975"/>
    <x v="0"/>
    <x v="977"/>
    <n v="1182918"/>
    <x v="27"/>
    <n v="0"/>
  </r>
  <r>
    <x v="978"/>
    <x v="3"/>
    <x v="12"/>
    <x v="12"/>
    <x v="46"/>
    <n v="27"/>
    <x v="1"/>
    <x v="0"/>
    <x v="976"/>
    <x v="976"/>
    <x v="0"/>
    <x v="978"/>
    <n v="3049098"/>
    <x v="27"/>
    <n v="0"/>
  </r>
  <r>
    <x v="979"/>
    <x v="0"/>
    <x v="17"/>
    <x v="17"/>
    <x v="45"/>
    <n v="38"/>
    <x v="2"/>
    <x v="1"/>
    <x v="977"/>
    <x v="977"/>
    <x v="1"/>
    <x v="979"/>
    <n v="1261973"/>
    <x v="23"/>
    <n v="0"/>
  </r>
  <r>
    <x v="980"/>
    <x v="5"/>
    <x v="14"/>
    <x v="14"/>
    <x v="7"/>
    <n v="53"/>
    <x v="2"/>
    <x v="1"/>
    <x v="978"/>
    <x v="978"/>
    <x v="1"/>
    <x v="980"/>
    <n v="7635252"/>
    <x v="15"/>
    <n v="0"/>
  </r>
  <r>
    <x v="981"/>
    <x v="1"/>
    <x v="4"/>
    <x v="4"/>
    <x v="13"/>
    <n v="20"/>
    <x v="0"/>
    <x v="0"/>
    <x v="979"/>
    <x v="979"/>
    <x v="1"/>
    <x v="981"/>
    <n v="183792"/>
    <x v="11"/>
    <n v="0"/>
  </r>
  <r>
    <x v="982"/>
    <x v="4"/>
    <x v="23"/>
    <x v="23"/>
    <x v="8"/>
    <n v="57"/>
    <x v="1"/>
    <x v="1"/>
    <x v="980"/>
    <x v="980"/>
    <x v="2"/>
    <x v="982"/>
    <n v="144892"/>
    <x v="22"/>
    <n v="0"/>
  </r>
  <r>
    <x v="983"/>
    <x v="5"/>
    <x v="1"/>
    <x v="1"/>
    <x v="1"/>
    <n v="44"/>
    <x v="3"/>
    <x v="0"/>
    <x v="981"/>
    <x v="981"/>
    <x v="1"/>
    <x v="983"/>
    <n v="5835886"/>
    <x v="16"/>
    <n v="0"/>
  </r>
  <r>
    <x v="984"/>
    <x v="4"/>
    <x v="0"/>
    <x v="0"/>
    <x v="32"/>
    <n v="51"/>
    <x v="2"/>
    <x v="1"/>
    <x v="982"/>
    <x v="982"/>
    <x v="0"/>
    <x v="984"/>
    <n v="4409105"/>
    <x v="22"/>
    <n v="0"/>
  </r>
  <r>
    <x v="985"/>
    <x v="4"/>
    <x v="11"/>
    <x v="11"/>
    <x v="45"/>
    <n v="38"/>
    <x v="0"/>
    <x v="1"/>
    <x v="983"/>
    <x v="983"/>
    <x v="0"/>
    <x v="985"/>
    <n v="7293463"/>
    <x v="22"/>
    <n v="0"/>
  </r>
  <r>
    <x v="986"/>
    <x v="4"/>
    <x v="6"/>
    <x v="6"/>
    <x v="39"/>
    <n v="49"/>
    <x v="0"/>
    <x v="0"/>
    <x v="984"/>
    <x v="984"/>
    <x v="0"/>
    <x v="986"/>
    <n v="5126646"/>
    <x v="22"/>
    <n v="0"/>
  </r>
  <r>
    <x v="987"/>
    <x v="5"/>
    <x v="5"/>
    <x v="5"/>
    <x v="16"/>
    <n v="11"/>
    <x v="3"/>
    <x v="0"/>
    <x v="985"/>
    <x v="985"/>
    <x v="1"/>
    <x v="987"/>
    <n v="4540679"/>
    <x v="15"/>
    <n v="0"/>
  </r>
  <r>
    <x v="988"/>
    <x v="0"/>
    <x v="21"/>
    <x v="21"/>
    <x v="32"/>
    <n v="51"/>
    <x v="0"/>
    <x v="1"/>
    <x v="986"/>
    <x v="986"/>
    <x v="1"/>
    <x v="988"/>
    <n v="4542254"/>
    <x v="23"/>
    <n v="0"/>
  </r>
  <r>
    <x v="989"/>
    <x v="3"/>
    <x v="2"/>
    <x v="2"/>
    <x v="50"/>
    <n v="12"/>
    <x v="2"/>
    <x v="0"/>
    <x v="987"/>
    <x v="987"/>
    <x v="2"/>
    <x v="989"/>
    <n v="8782826"/>
    <x v="8"/>
    <n v="0"/>
  </r>
  <r>
    <x v="990"/>
    <x v="3"/>
    <x v="5"/>
    <x v="5"/>
    <x v="12"/>
    <n v="54"/>
    <x v="0"/>
    <x v="0"/>
    <x v="988"/>
    <x v="988"/>
    <x v="2"/>
    <x v="990"/>
    <n v="4254644"/>
    <x v="10"/>
    <n v="0"/>
  </r>
  <r>
    <x v="991"/>
    <x v="0"/>
    <x v="20"/>
    <x v="20"/>
    <x v="49"/>
    <n v="60"/>
    <x v="1"/>
    <x v="1"/>
    <x v="989"/>
    <x v="989"/>
    <x v="0"/>
    <x v="991"/>
    <n v="3667273"/>
    <x v="0"/>
    <n v="0"/>
  </r>
  <r>
    <x v="992"/>
    <x v="4"/>
    <x v="12"/>
    <x v="12"/>
    <x v="41"/>
    <n v="25"/>
    <x v="1"/>
    <x v="1"/>
    <x v="990"/>
    <x v="990"/>
    <x v="2"/>
    <x v="992"/>
    <n v="3716083"/>
    <x v="17"/>
    <n v="0"/>
  </r>
  <r>
    <x v="993"/>
    <x v="1"/>
    <x v="8"/>
    <x v="8"/>
    <x v="28"/>
    <n v="21"/>
    <x v="2"/>
    <x v="1"/>
    <x v="991"/>
    <x v="991"/>
    <x v="2"/>
    <x v="993"/>
    <n v="2367708"/>
    <x v="1"/>
    <n v="0"/>
  </r>
  <r>
    <x v="994"/>
    <x v="6"/>
    <x v="17"/>
    <x v="17"/>
    <x v="43"/>
    <n v="48"/>
    <x v="1"/>
    <x v="0"/>
    <x v="992"/>
    <x v="992"/>
    <x v="0"/>
    <x v="994"/>
    <n v="8676544"/>
    <x v="26"/>
    <n v="0"/>
  </r>
  <r>
    <x v="995"/>
    <x v="5"/>
    <x v="6"/>
    <x v="6"/>
    <x v="0"/>
    <n v="23"/>
    <x v="3"/>
    <x v="1"/>
    <x v="993"/>
    <x v="993"/>
    <x v="1"/>
    <x v="995"/>
    <n v="1892993"/>
    <x v="16"/>
    <n v="0"/>
  </r>
  <r>
    <x v="996"/>
    <x v="6"/>
    <x v="12"/>
    <x v="12"/>
    <x v="7"/>
    <n v="53"/>
    <x v="0"/>
    <x v="1"/>
    <x v="994"/>
    <x v="994"/>
    <x v="2"/>
    <x v="996"/>
    <n v="9131802"/>
    <x v="21"/>
    <n v="0"/>
  </r>
  <r>
    <x v="997"/>
    <x v="0"/>
    <x v="20"/>
    <x v="20"/>
    <x v="9"/>
    <n v="15"/>
    <x v="2"/>
    <x v="1"/>
    <x v="995"/>
    <x v="995"/>
    <x v="1"/>
    <x v="997"/>
    <n v="3192943"/>
    <x v="3"/>
    <n v="0"/>
  </r>
  <r>
    <x v="998"/>
    <x v="1"/>
    <x v="5"/>
    <x v="5"/>
    <x v="44"/>
    <n v="16"/>
    <x v="3"/>
    <x v="1"/>
    <x v="996"/>
    <x v="996"/>
    <x v="0"/>
    <x v="998"/>
    <n v="9044555"/>
    <x v="11"/>
    <n v="0"/>
  </r>
  <r>
    <x v="999"/>
    <x v="5"/>
    <x v="2"/>
    <x v="2"/>
    <x v="21"/>
    <n v="59"/>
    <x v="0"/>
    <x v="1"/>
    <x v="997"/>
    <x v="997"/>
    <x v="0"/>
    <x v="999"/>
    <n v="8012796"/>
    <x v="12"/>
    <n v="0"/>
  </r>
  <r>
    <x v="1000"/>
    <x v="0"/>
    <x v="22"/>
    <x v="22"/>
    <x v="1"/>
    <n v="44"/>
    <x v="3"/>
    <x v="0"/>
    <x v="998"/>
    <x v="998"/>
    <x v="2"/>
    <x v="1000"/>
    <n v="6028881"/>
    <x v="23"/>
    <n v="0"/>
  </r>
  <r>
    <x v="1001"/>
    <x v="4"/>
    <x v="17"/>
    <x v="17"/>
    <x v="19"/>
    <n v="52"/>
    <x v="2"/>
    <x v="1"/>
    <x v="999"/>
    <x v="999"/>
    <x v="0"/>
    <x v="1001"/>
    <n v="6859965"/>
    <x v="19"/>
    <n v="0"/>
  </r>
  <r>
    <x v="1002"/>
    <x v="3"/>
    <x v="0"/>
    <x v="0"/>
    <x v="4"/>
    <n v="26"/>
    <x v="2"/>
    <x v="1"/>
    <x v="1000"/>
    <x v="1000"/>
    <x v="0"/>
    <x v="1002"/>
    <n v="3595519"/>
    <x v="10"/>
    <n v="0"/>
  </r>
  <r>
    <x v="1003"/>
    <x v="6"/>
    <x v="10"/>
    <x v="10"/>
    <x v="1"/>
    <n v="44"/>
    <x v="3"/>
    <x v="0"/>
    <x v="1001"/>
    <x v="1001"/>
    <x v="0"/>
    <x v="1003"/>
    <n v="5955172"/>
    <x v="26"/>
    <n v="0"/>
  </r>
  <r>
    <x v="1004"/>
    <x v="2"/>
    <x v="8"/>
    <x v="8"/>
    <x v="6"/>
    <n v="40"/>
    <x v="0"/>
    <x v="1"/>
    <x v="1002"/>
    <x v="1002"/>
    <x v="2"/>
    <x v="1004"/>
    <n v="3277828"/>
    <x v="2"/>
    <n v="0"/>
  </r>
  <r>
    <x v="1005"/>
    <x v="2"/>
    <x v="23"/>
    <x v="23"/>
    <x v="6"/>
    <n v="40"/>
    <x v="1"/>
    <x v="1"/>
    <x v="1003"/>
    <x v="1003"/>
    <x v="2"/>
    <x v="1005"/>
    <n v="4321592"/>
    <x v="5"/>
    <n v="0"/>
  </r>
  <r>
    <x v="1006"/>
    <x v="1"/>
    <x v="17"/>
    <x v="17"/>
    <x v="1"/>
    <n v="44"/>
    <x v="1"/>
    <x v="0"/>
    <x v="1004"/>
    <x v="1004"/>
    <x v="2"/>
    <x v="1006"/>
    <n v="7764294"/>
    <x v="14"/>
    <n v="0"/>
  </r>
  <r>
    <x v="1007"/>
    <x v="4"/>
    <x v="3"/>
    <x v="3"/>
    <x v="14"/>
    <n v="39"/>
    <x v="3"/>
    <x v="1"/>
    <x v="1005"/>
    <x v="1005"/>
    <x v="0"/>
    <x v="1007"/>
    <n v="2817359"/>
    <x v="17"/>
    <n v="0"/>
  </r>
  <r>
    <x v="1008"/>
    <x v="6"/>
    <x v="18"/>
    <x v="18"/>
    <x v="40"/>
    <n v="31"/>
    <x v="2"/>
    <x v="0"/>
    <x v="1006"/>
    <x v="1006"/>
    <x v="1"/>
    <x v="1008"/>
    <n v="8469037"/>
    <x v="24"/>
    <n v="0"/>
  </r>
  <r>
    <x v="1009"/>
    <x v="4"/>
    <x v="4"/>
    <x v="4"/>
    <x v="5"/>
    <n v="24"/>
    <x v="0"/>
    <x v="1"/>
    <x v="1007"/>
    <x v="1007"/>
    <x v="0"/>
    <x v="1009"/>
    <n v="4070887"/>
    <x v="17"/>
    <n v="0"/>
  </r>
  <r>
    <x v="1010"/>
    <x v="6"/>
    <x v="5"/>
    <x v="5"/>
    <x v="43"/>
    <n v="48"/>
    <x v="0"/>
    <x v="0"/>
    <x v="1008"/>
    <x v="1008"/>
    <x v="2"/>
    <x v="1010"/>
    <n v="5555615"/>
    <x v="21"/>
    <n v="0"/>
  </r>
  <r>
    <x v="1011"/>
    <x v="1"/>
    <x v="23"/>
    <x v="23"/>
    <x v="28"/>
    <n v="21"/>
    <x v="2"/>
    <x v="0"/>
    <x v="1009"/>
    <x v="1009"/>
    <x v="1"/>
    <x v="1011"/>
    <n v="9448625"/>
    <x v="11"/>
    <n v="0"/>
  </r>
  <r>
    <x v="1012"/>
    <x v="1"/>
    <x v="14"/>
    <x v="14"/>
    <x v="2"/>
    <n v="45"/>
    <x v="1"/>
    <x v="1"/>
    <x v="1010"/>
    <x v="1010"/>
    <x v="1"/>
    <x v="1012"/>
    <n v="6971928"/>
    <x v="25"/>
    <n v="0"/>
  </r>
  <r>
    <x v="1013"/>
    <x v="2"/>
    <x v="11"/>
    <x v="11"/>
    <x v="27"/>
    <n v="22"/>
    <x v="0"/>
    <x v="0"/>
    <x v="1011"/>
    <x v="1011"/>
    <x v="2"/>
    <x v="1013"/>
    <n v="6633239"/>
    <x v="2"/>
    <n v="0"/>
  </r>
  <r>
    <x v="1014"/>
    <x v="4"/>
    <x v="5"/>
    <x v="5"/>
    <x v="3"/>
    <n v="41"/>
    <x v="3"/>
    <x v="0"/>
    <x v="1012"/>
    <x v="1012"/>
    <x v="1"/>
    <x v="1014"/>
    <n v="7260273"/>
    <x v="22"/>
    <n v="0"/>
  </r>
  <r>
    <x v="1015"/>
    <x v="5"/>
    <x v="13"/>
    <x v="13"/>
    <x v="11"/>
    <n v="47"/>
    <x v="1"/>
    <x v="1"/>
    <x v="1013"/>
    <x v="1013"/>
    <x v="1"/>
    <x v="1015"/>
    <n v="9222058"/>
    <x v="20"/>
    <n v="0"/>
  </r>
  <r>
    <x v="1016"/>
    <x v="2"/>
    <x v="7"/>
    <x v="7"/>
    <x v="28"/>
    <n v="21"/>
    <x v="3"/>
    <x v="1"/>
    <x v="1014"/>
    <x v="1014"/>
    <x v="2"/>
    <x v="1016"/>
    <n v="286088"/>
    <x v="13"/>
    <n v="0"/>
  </r>
  <r>
    <x v="1017"/>
    <x v="4"/>
    <x v="9"/>
    <x v="9"/>
    <x v="29"/>
    <n v="13"/>
    <x v="1"/>
    <x v="0"/>
    <x v="1015"/>
    <x v="1015"/>
    <x v="1"/>
    <x v="1017"/>
    <n v="6325791"/>
    <x v="7"/>
    <n v="0"/>
  </r>
  <r>
    <x v="1018"/>
    <x v="2"/>
    <x v="1"/>
    <x v="1"/>
    <x v="47"/>
    <n v="17"/>
    <x v="2"/>
    <x v="1"/>
    <x v="1016"/>
    <x v="1016"/>
    <x v="1"/>
    <x v="1018"/>
    <n v="4303742"/>
    <x v="13"/>
    <n v="0"/>
  </r>
  <r>
    <x v="1019"/>
    <x v="5"/>
    <x v="19"/>
    <x v="19"/>
    <x v="6"/>
    <n v="40"/>
    <x v="3"/>
    <x v="0"/>
    <x v="1017"/>
    <x v="1017"/>
    <x v="2"/>
    <x v="1019"/>
    <n v="612625"/>
    <x v="12"/>
    <n v="0"/>
  </r>
  <r>
    <x v="1020"/>
    <x v="3"/>
    <x v="1"/>
    <x v="1"/>
    <x v="19"/>
    <n v="52"/>
    <x v="3"/>
    <x v="0"/>
    <x v="1018"/>
    <x v="1018"/>
    <x v="1"/>
    <x v="1020"/>
    <n v="1690359"/>
    <x v="8"/>
    <n v="0"/>
  </r>
  <r>
    <x v="1021"/>
    <x v="3"/>
    <x v="9"/>
    <x v="9"/>
    <x v="50"/>
    <n v="12"/>
    <x v="2"/>
    <x v="1"/>
    <x v="1019"/>
    <x v="1019"/>
    <x v="1"/>
    <x v="1021"/>
    <n v="3587423"/>
    <x v="10"/>
    <n v="0"/>
  </r>
  <r>
    <x v="1022"/>
    <x v="3"/>
    <x v="8"/>
    <x v="8"/>
    <x v="11"/>
    <n v="47"/>
    <x v="3"/>
    <x v="1"/>
    <x v="1020"/>
    <x v="1020"/>
    <x v="1"/>
    <x v="1022"/>
    <n v="586750"/>
    <x v="10"/>
    <n v="0"/>
  </r>
  <r>
    <x v="1023"/>
    <x v="3"/>
    <x v="3"/>
    <x v="3"/>
    <x v="46"/>
    <n v="27"/>
    <x v="1"/>
    <x v="0"/>
    <x v="1021"/>
    <x v="1021"/>
    <x v="1"/>
    <x v="1023"/>
    <n v="887401"/>
    <x v="10"/>
    <n v="0"/>
  </r>
  <r>
    <x v="1024"/>
    <x v="0"/>
    <x v="4"/>
    <x v="4"/>
    <x v="48"/>
    <n v="34"/>
    <x v="0"/>
    <x v="1"/>
    <x v="1022"/>
    <x v="1022"/>
    <x v="2"/>
    <x v="1024"/>
    <n v="8015584"/>
    <x v="3"/>
    <n v="0"/>
  </r>
  <r>
    <x v="1025"/>
    <x v="6"/>
    <x v="17"/>
    <x v="17"/>
    <x v="24"/>
    <n v="56"/>
    <x v="0"/>
    <x v="1"/>
    <x v="1023"/>
    <x v="1023"/>
    <x v="0"/>
    <x v="1025"/>
    <n v="575667"/>
    <x v="26"/>
    <n v="0"/>
  </r>
  <r>
    <x v="1026"/>
    <x v="0"/>
    <x v="8"/>
    <x v="8"/>
    <x v="46"/>
    <n v="27"/>
    <x v="2"/>
    <x v="0"/>
    <x v="1024"/>
    <x v="1024"/>
    <x v="0"/>
    <x v="1026"/>
    <n v="1201769"/>
    <x v="23"/>
    <n v="0"/>
  </r>
  <r>
    <x v="1027"/>
    <x v="0"/>
    <x v="22"/>
    <x v="22"/>
    <x v="17"/>
    <n v="33"/>
    <x v="1"/>
    <x v="0"/>
    <x v="1025"/>
    <x v="1025"/>
    <x v="1"/>
    <x v="1027"/>
    <n v="321611"/>
    <x v="0"/>
    <n v="0"/>
  </r>
  <r>
    <x v="1028"/>
    <x v="0"/>
    <x v="21"/>
    <x v="21"/>
    <x v="16"/>
    <n v="11"/>
    <x v="3"/>
    <x v="0"/>
    <x v="1026"/>
    <x v="1026"/>
    <x v="2"/>
    <x v="1028"/>
    <n v="3983732"/>
    <x v="3"/>
    <n v="0"/>
  </r>
  <r>
    <x v="1029"/>
    <x v="3"/>
    <x v="19"/>
    <x v="19"/>
    <x v="30"/>
    <n v="14"/>
    <x v="3"/>
    <x v="0"/>
    <x v="1027"/>
    <x v="1027"/>
    <x v="2"/>
    <x v="1029"/>
    <n v="6406313"/>
    <x v="10"/>
    <n v="0"/>
  </r>
  <r>
    <x v="1030"/>
    <x v="5"/>
    <x v="6"/>
    <x v="6"/>
    <x v="0"/>
    <n v="23"/>
    <x v="0"/>
    <x v="0"/>
    <x v="1028"/>
    <x v="1028"/>
    <x v="1"/>
    <x v="1030"/>
    <n v="1116774"/>
    <x v="20"/>
    <n v="0"/>
  </r>
  <r>
    <x v="1031"/>
    <x v="1"/>
    <x v="17"/>
    <x v="17"/>
    <x v="16"/>
    <n v="11"/>
    <x v="3"/>
    <x v="0"/>
    <x v="1029"/>
    <x v="1029"/>
    <x v="0"/>
    <x v="1031"/>
    <n v="5536839"/>
    <x v="1"/>
    <n v="0"/>
  </r>
  <r>
    <x v="1032"/>
    <x v="1"/>
    <x v="13"/>
    <x v="13"/>
    <x v="26"/>
    <n v="42"/>
    <x v="0"/>
    <x v="1"/>
    <x v="1030"/>
    <x v="1030"/>
    <x v="1"/>
    <x v="1032"/>
    <n v="9063913"/>
    <x v="25"/>
    <n v="0"/>
  </r>
  <r>
    <x v="1033"/>
    <x v="6"/>
    <x v="22"/>
    <x v="22"/>
    <x v="40"/>
    <n v="31"/>
    <x v="2"/>
    <x v="0"/>
    <x v="1031"/>
    <x v="1031"/>
    <x v="2"/>
    <x v="1033"/>
    <n v="7201611"/>
    <x v="21"/>
    <n v="0"/>
  </r>
  <r>
    <x v="1034"/>
    <x v="3"/>
    <x v="12"/>
    <x v="12"/>
    <x v="33"/>
    <n v="37"/>
    <x v="3"/>
    <x v="1"/>
    <x v="1032"/>
    <x v="1032"/>
    <x v="2"/>
    <x v="1034"/>
    <n v="807223"/>
    <x v="8"/>
    <n v="0"/>
  </r>
  <r>
    <x v="1035"/>
    <x v="3"/>
    <x v="12"/>
    <x v="12"/>
    <x v="20"/>
    <n v="19"/>
    <x v="1"/>
    <x v="1"/>
    <x v="1033"/>
    <x v="1033"/>
    <x v="0"/>
    <x v="1035"/>
    <n v="6975919"/>
    <x v="10"/>
    <n v="0"/>
  </r>
  <r>
    <x v="1036"/>
    <x v="3"/>
    <x v="16"/>
    <x v="16"/>
    <x v="41"/>
    <n v="25"/>
    <x v="3"/>
    <x v="0"/>
    <x v="1034"/>
    <x v="1034"/>
    <x v="2"/>
    <x v="1036"/>
    <n v="2462597"/>
    <x v="10"/>
    <n v="0"/>
  </r>
  <r>
    <x v="1037"/>
    <x v="2"/>
    <x v="2"/>
    <x v="2"/>
    <x v="38"/>
    <n v="43"/>
    <x v="0"/>
    <x v="1"/>
    <x v="1035"/>
    <x v="1035"/>
    <x v="2"/>
    <x v="1037"/>
    <n v="1549596"/>
    <x v="2"/>
    <n v="0"/>
  </r>
  <r>
    <x v="1038"/>
    <x v="4"/>
    <x v="17"/>
    <x v="17"/>
    <x v="18"/>
    <n v="58"/>
    <x v="2"/>
    <x v="0"/>
    <x v="1036"/>
    <x v="1036"/>
    <x v="2"/>
    <x v="1038"/>
    <n v="8380161"/>
    <x v="19"/>
    <n v="0"/>
  </r>
  <r>
    <x v="1039"/>
    <x v="2"/>
    <x v="7"/>
    <x v="7"/>
    <x v="29"/>
    <n v="13"/>
    <x v="0"/>
    <x v="1"/>
    <x v="1037"/>
    <x v="1037"/>
    <x v="0"/>
    <x v="1039"/>
    <n v="7107292"/>
    <x v="2"/>
    <n v="0"/>
  </r>
  <r>
    <x v="1040"/>
    <x v="4"/>
    <x v="4"/>
    <x v="4"/>
    <x v="37"/>
    <n v="55"/>
    <x v="3"/>
    <x v="0"/>
    <x v="1038"/>
    <x v="1038"/>
    <x v="2"/>
    <x v="1040"/>
    <n v="5963085"/>
    <x v="19"/>
    <n v="0"/>
  </r>
  <r>
    <x v="1041"/>
    <x v="3"/>
    <x v="5"/>
    <x v="5"/>
    <x v="14"/>
    <n v="39"/>
    <x v="0"/>
    <x v="0"/>
    <x v="1039"/>
    <x v="1039"/>
    <x v="1"/>
    <x v="1041"/>
    <n v="2298187"/>
    <x v="27"/>
    <n v="0"/>
  </r>
  <r>
    <x v="1042"/>
    <x v="3"/>
    <x v="14"/>
    <x v="14"/>
    <x v="45"/>
    <n v="38"/>
    <x v="0"/>
    <x v="0"/>
    <x v="1040"/>
    <x v="1040"/>
    <x v="0"/>
    <x v="1042"/>
    <n v="6231777"/>
    <x v="8"/>
    <n v="0"/>
  </r>
  <r>
    <x v="1043"/>
    <x v="2"/>
    <x v="3"/>
    <x v="3"/>
    <x v="42"/>
    <n v="35"/>
    <x v="2"/>
    <x v="0"/>
    <x v="1041"/>
    <x v="1041"/>
    <x v="1"/>
    <x v="1043"/>
    <n v="797557"/>
    <x v="5"/>
    <n v="0"/>
  </r>
  <r>
    <x v="1044"/>
    <x v="2"/>
    <x v="10"/>
    <x v="10"/>
    <x v="29"/>
    <n v="13"/>
    <x v="1"/>
    <x v="1"/>
    <x v="1042"/>
    <x v="1042"/>
    <x v="1"/>
    <x v="1044"/>
    <n v="1628972"/>
    <x v="6"/>
    <n v="0"/>
  </r>
  <r>
    <x v="1045"/>
    <x v="4"/>
    <x v="11"/>
    <x v="11"/>
    <x v="30"/>
    <n v="14"/>
    <x v="3"/>
    <x v="1"/>
    <x v="1043"/>
    <x v="1043"/>
    <x v="0"/>
    <x v="1045"/>
    <n v="3462956"/>
    <x v="19"/>
    <n v="0"/>
  </r>
  <r>
    <x v="1046"/>
    <x v="1"/>
    <x v="16"/>
    <x v="16"/>
    <x v="6"/>
    <n v="40"/>
    <x v="2"/>
    <x v="1"/>
    <x v="1044"/>
    <x v="1044"/>
    <x v="1"/>
    <x v="1046"/>
    <n v="4715514"/>
    <x v="11"/>
    <n v="0"/>
  </r>
  <r>
    <x v="1047"/>
    <x v="4"/>
    <x v="23"/>
    <x v="23"/>
    <x v="46"/>
    <n v="27"/>
    <x v="1"/>
    <x v="1"/>
    <x v="1045"/>
    <x v="1045"/>
    <x v="0"/>
    <x v="1047"/>
    <n v="1645363"/>
    <x v="7"/>
    <n v="0"/>
  </r>
  <r>
    <x v="1048"/>
    <x v="2"/>
    <x v="15"/>
    <x v="15"/>
    <x v="24"/>
    <n v="56"/>
    <x v="0"/>
    <x v="1"/>
    <x v="1046"/>
    <x v="1046"/>
    <x v="1"/>
    <x v="1048"/>
    <n v="1639432"/>
    <x v="2"/>
    <n v="0"/>
  </r>
  <r>
    <x v="1049"/>
    <x v="5"/>
    <x v="23"/>
    <x v="23"/>
    <x v="15"/>
    <n v="30"/>
    <x v="1"/>
    <x v="0"/>
    <x v="1047"/>
    <x v="1047"/>
    <x v="0"/>
    <x v="1049"/>
    <n v="739599"/>
    <x v="16"/>
    <n v="0"/>
  </r>
  <r>
    <x v="1050"/>
    <x v="2"/>
    <x v="7"/>
    <x v="7"/>
    <x v="47"/>
    <n v="17"/>
    <x v="0"/>
    <x v="0"/>
    <x v="1048"/>
    <x v="1048"/>
    <x v="2"/>
    <x v="1050"/>
    <n v="5912334"/>
    <x v="2"/>
    <n v="0"/>
  </r>
  <r>
    <x v="1051"/>
    <x v="5"/>
    <x v="9"/>
    <x v="9"/>
    <x v="25"/>
    <n v="46"/>
    <x v="0"/>
    <x v="0"/>
    <x v="1049"/>
    <x v="1049"/>
    <x v="2"/>
    <x v="1051"/>
    <n v="5570549"/>
    <x v="16"/>
    <n v="0"/>
  </r>
  <r>
    <x v="1052"/>
    <x v="6"/>
    <x v="17"/>
    <x v="17"/>
    <x v="41"/>
    <n v="25"/>
    <x v="2"/>
    <x v="0"/>
    <x v="1050"/>
    <x v="1050"/>
    <x v="1"/>
    <x v="1052"/>
    <n v="4798128"/>
    <x v="21"/>
    <n v="0"/>
  </r>
  <r>
    <x v="1053"/>
    <x v="2"/>
    <x v="14"/>
    <x v="14"/>
    <x v="34"/>
    <n v="36"/>
    <x v="0"/>
    <x v="0"/>
    <x v="1051"/>
    <x v="1051"/>
    <x v="2"/>
    <x v="1053"/>
    <n v="977716"/>
    <x v="13"/>
    <n v="0"/>
  </r>
  <r>
    <x v="1054"/>
    <x v="6"/>
    <x v="18"/>
    <x v="18"/>
    <x v="2"/>
    <n v="45"/>
    <x v="2"/>
    <x v="1"/>
    <x v="1052"/>
    <x v="1052"/>
    <x v="0"/>
    <x v="1054"/>
    <n v="973103"/>
    <x v="24"/>
    <n v="0"/>
  </r>
  <r>
    <x v="1055"/>
    <x v="1"/>
    <x v="18"/>
    <x v="18"/>
    <x v="37"/>
    <n v="55"/>
    <x v="1"/>
    <x v="0"/>
    <x v="1053"/>
    <x v="1053"/>
    <x v="1"/>
    <x v="1055"/>
    <n v="2215958"/>
    <x v="14"/>
    <n v="0"/>
  </r>
  <r>
    <x v="1056"/>
    <x v="4"/>
    <x v="13"/>
    <x v="13"/>
    <x v="31"/>
    <n v="50"/>
    <x v="1"/>
    <x v="0"/>
    <x v="1054"/>
    <x v="1054"/>
    <x v="2"/>
    <x v="1056"/>
    <n v="6651324"/>
    <x v="19"/>
    <n v="0"/>
  </r>
  <r>
    <x v="1057"/>
    <x v="5"/>
    <x v="17"/>
    <x v="17"/>
    <x v="1"/>
    <n v="44"/>
    <x v="0"/>
    <x v="1"/>
    <x v="1055"/>
    <x v="1055"/>
    <x v="2"/>
    <x v="1057"/>
    <n v="1795474"/>
    <x v="16"/>
    <n v="0"/>
  </r>
  <r>
    <x v="1058"/>
    <x v="4"/>
    <x v="19"/>
    <x v="19"/>
    <x v="1"/>
    <n v="44"/>
    <x v="2"/>
    <x v="1"/>
    <x v="1056"/>
    <x v="1056"/>
    <x v="1"/>
    <x v="1058"/>
    <n v="6099119"/>
    <x v="22"/>
    <n v="0"/>
  </r>
  <r>
    <x v="1059"/>
    <x v="6"/>
    <x v="16"/>
    <x v="16"/>
    <x v="8"/>
    <n v="57"/>
    <x v="0"/>
    <x v="0"/>
    <x v="1057"/>
    <x v="1057"/>
    <x v="2"/>
    <x v="1059"/>
    <n v="5893732"/>
    <x v="18"/>
    <n v="0"/>
  </r>
  <r>
    <x v="1060"/>
    <x v="5"/>
    <x v="9"/>
    <x v="9"/>
    <x v="41"/>
    <n v="25"/>
    <x v="2"/>
    <x v="0"/>
    <x v="1058"/>
    <x v="1058"/>
    <x v="2"/>
    <x v="1060"/>
    <n v="9724549"/>
    <x v="15"/>
    <n v="0"/>
  </r>
  <r>
    <x v="1061"/>
    <x v="4"/>
    <x v="19"/>
    <x v="19"/>
    <x v="22"/>
    <n v="10"/>
    <x v="2"/>
    <x v="1"/>
    <x v="1059"/>
    <x v="1059"/>
    <x v="1"/>
    <x v="1061"/>
    <n v="8892172"/>
    <x v="17"/>
    <n v="0"/>
  </r>
  <r>
    <x v="1062"/>
    <x v="2"/>
    <x v="21"/>
    <x v="21"/>
    <x v="5"/>
    <n v="24"/>
    <x v="2"/>
    <x v="0"/>
    <x v="1060"/>
    <x v="1060"/>
    <x v="2"/>
    <x v="1062"/>
    <n v="9482757"/>
    <x v="5"/>
    <n v="0"/>
  </r>
  <r>
    <x v="1063"/>
    <x v="3"/>
    <x v="14"/>
    <x v="14"/>
    <x v="28"/>
    <n v="21"/>
    <x v="1"/>
    <x v="0"/>
    <x v="1061"/>
    <x v="1061"/>
    <x v="2"/>
    <x v="1063"/>
    <n v="1579223"/>
    <x v="8"/>
    <n v="0"/>
  </r>
  <r>
    <x v="1064"/>
    <x v="6"/>
    <x v="2"/>
    <x v="2"/>
    <x v="38"/>
    <n v="43"/>
    <x v="2"/>
    <x v="0"/>
    <x v="1062"/>
    <x v="1062"/>
    <x v="2"/>
    <x v="1064"/>
    <n v="874741"/>
    <x v="26"/>
    <n v="0"/>
  </r>
  <r>
    <x v="1065"/>
    <x v="4"/>
    <x v="20"/>
    <x v="20"/>
    <x v="26"/>
    <n v="42"/>
    <x v="1"/>
    <x v="1"/>
    <x v="1063"/>
    <x v="1063"/>
    <x v="2"/>
    <x v="1065"/>
    <n v="1726361"/>
    <x v="17"/>
    <n v="0"/>
  </r>
  <r>
    <x v="1066"/>
    <x v="6"/>
    <x v="1"/>
    <x v="1"/>
    <x v="6"/>
    <n v="40"/>
    <x v="2"/>
    <x v="0"/>
    <x v="1064"/>
    <x v="1064"/>
    <x v="1"/>
    <x v="1066"/>
    <n v="6512856"/>
    <x v="24"/>
    <n v="0"/>
  </r>
  <r>
    <x v="1067"/>
    <x v="0"/>
    <x v="22"/>
    <x v="22"/>
    <x v="16"/>
    <n v="11"/>
    <x v="1"/>
    <x v="0"/>
    <x v="1065"/>
    <x v="1065"/>
    <x v="0"/>
    <x v="1067"/>
    <n v="7340743"/>
    <x v="0"/>
    <n v="0"/>
  </r>
  <r>
    <x v="1068"/>
    <x v="6"/>
    <x v="3"/>
    <x v="3"/>
    <x v="25"/>
    <n v="46"/>
    <x v="3"/>
    <x v="1"/>
    <x v="1066"/>
    <x v="1066"/>
    <x v="0"/>
    <x v="1068"/>
    <n v="2028108"/>
    <x v="26"/>
    <n v="0"/>
  </r>
  <r>
    <x v="1069"/>
    <x v="5"/>
    <x v="9"/>
    <x v="9"/>
    <x v="4"/>
    <n v="26"/>
    <x v="1"/>
    <x v="1"/>
    <x v="1067"/>
    <x v="1067"/>
    <x v="2"/>
    <x v="1069"/>
    <n v="6510264"/>
    <x v="15"/>
    <n v="0"/>
  </r>
  <r>
    <x v="1070"/>
    <x v="0"/>
    <x v="2"/>
    <x v="2"/>
    <x v="38"/>
    <n v="43"/>
    <x v="1"/>
    <x v="1"/>
    <x v="1068"/>
    <x v="1068"/>
    <x v="2"/>
    <x v="1070"/>
    <n v="998375"/>
    <x v="3"/>
    <n v="0"/>
  </r>
  <r>
    <x v="1071"/>
    <x v="5"/>
    <x v="13"/>
    <x v="13"/>
    <x v="45"/>
    <n v="38"/>
    <x v="0"/>
    <x v="0"/>
    <x v="1069"/>
    <x v="1069"/>
    <x v="0"/>
    <x v="1071"/>
    <n v="3286028"/>
    <x v="20"/>
    <n v="0"/>
  </r>
  <r>
    <x v="1072"/>
    <x v="3"/>
    <x v="16"/>
    <x v="16"/>
    <x v="46"/>
    <n v="27"/>
    <x v="2"/>
    <x v="1"/>
    <x v="1070"/>
    <x v="1070"/>
    <x v="2"/>
    <x v="1072"/>
    <n v="9251006"/>
    <x v="8"/>
    <n v="0"/>
  </r>
  <r>
    <x v="1073"/>
    <x v="0"/>
    <x v="18"/>
    <x v="18"/>
    <x v="47"/>
    <n v="17"/>
    <x v="3"/>
    <x v="0"/>
    <x v="1071"/>
    <x v="1071"/>
    <x v="0"/>
    <x v="1073"/>
    <n v="2131446"/>
    <x v="23"/>
    <n v="0"/>
  </r>
  <r>
    <x v="1074"/>
    <x v="2"/>
    <x v="15"/>
    <x v="15"/>
    <x v="9"/>
    <n v="15"/>
    <x v="0"/>
    <x v="1"/>
    <x v="1072"/>
    <x v="1072"/>
    <x v="1"/>
    <x v="1074"/>
    <n v="1120065"/>
    <x v="5"/>
    <n v="0"/>
  </r>
  <r>
    <x v="1075"/>
    <x v="6"/>
    <x v="13"/>
    <x v="13"/>
    <x v="19"/>
    <n v="52"/>
    <x v="2"/>
    <x v="0"/>
    <x v="1073"/>
    <x v="1073"/>
    <x v="1"/>
    <x v="1075"/>
    <n v="4714943"/>
    <x v="26"/>
    <n v="0"/>
  </r>
  <r>
    <x v="1076"/>
    <x v="4"/>
    <x v="6"/>
    <x v="6"/>
    <x v="24"/>
    <n v="56"/>
    <x v="3"/>
    <x v="1"/>
    <x v="1074"/>
    <x v="1074"/>
    <x v="1"/>
    <x v="1076"/>
    <n v="8580873"/>
    <x v="7"/>
    <n v="0"/>
  </r>
  <r>
    <x v="1077"/>
    <x v="1"/>
    <x v="6"/>
    <x v="6"/>
    <x v="26"/>
    <n v="42"/>
    <x v="3"/>
    <x v="0"/>
    <x v="1075"/>
    <x v="1075"/>
    <x v="1"/>
    <x v="1077"/>
    <n v="1228388"/>
    <x v="11"/>
    <n v="0"/>
  </r>
  <r>
    <x v="1078"/>
    <x v="6"/>
    <x v="15"/>
    <x v="15"/>
    <x v="9"/>
    <n v="15"/>
    <x v="3"/>
    <x v="0"/>
    <x v="1076"/>
    <x v="1076"/>
    <x v="1"/>
    <x v="1078"/>
    <n v="3877586"/>
    <x v="18"/>
    <n v="0"/>
  </r>
  <r>
    <x v="1079"/>
    <x v="6"/>
    <x v="10"/>
    <x v="10"/>
    <x v="15"/>
    <n v="30"/>
    <x v="2"/>
    <x v="1"/>
    <x v="1077"/>
    <x v="1077"/>
    <x v="1"/>
    <x v="1079"/>
    <n v="9047861"/>
    <x v="21"/>
    <n v="0"/>
  </r>
  <r>
    <x v="1080"/>
    <x v="3"/>
    <x v="21"/>
    <x v="21"/>
    <x v="25"/>
    <n v="46"/>
    <x v="3"/>
    <x v="1"/>
    <x v="1078"/>
    <x v="1078"/>
    <x v="0"/>
    <x v="1080"/>
    <n v="1622478"/>
    <x v="10"/>
    <n v="0"/>
  </r>
  <r>
    <x v="1081"/>
    <x v="2"/>
    <x v="14"/>
    <x v="14"/>
    <x v="39"/>
    <n v="49"/>
    <x v="3"/>
    <x v="0"/>
    <x v="1079"/>
    <x v="1079"/>
    <x v="2"/>
    <x v="1081"/>
    <n v="3451351"/>
    <x v="2"/>
    <n v="0"/>
  </r>
  <r>
    <x v="1082"/>
    <x v="1"/>
    <x v="13"/>
    <x v="13"/>
    <x v="44"/>
    <n v="16"/>
    <x v="0"/>
    <x v="1"/>
    <x v="1080"/>
    <x v="1080"/>
    <x v="0"/>
    <x v="1082"/>
    <n v="7894996"/>
    <x v="25"/>
    <n v="0"/>
  </r>
  <r>
    <x v="1083"/>
    <x v="0"/>
    <x v="19"/>
    <x v="19"/>
    <x v="22"/>
    <n v="10"/>
    <x v="1"/>
    <x v="0"/>
    <x v="1081"/>
    <x v="1081"/>
    <x v="1"/>
    <x v="1083"/>
    <n v="5660504"/>
    <x v="9"/>
    <n v="0"/>
  </r>
  <r>
    <x v="1084"/>
    <x v="0"/>
    <x v="23"/>
    <x v="23"/>
    <x v="25"/>
    <n v="46"/>
    <x v="2"/>
    <x v="1"/>
    <x v="1082"/>
    <x v="1082"/>
    <x v="2"/>
    <x v="1084"/>
    <n v="8407165"/>
    <x v="3"/>
    <n v="0"/>
  </r>
  <r>
    <x v="1085"/>
    <x v="0"/>
    <x v="18"/>
    <x v="18"/>
    <x v="36"/>
    <n v="28"/>
    <x v="1"/>
    <x v="1"/>
    <x v="1083"/>
    <x v="1083"/>
    <x v="2"/>
    <x v="1085"/>
    <n v="1560156"/>
    <x v="3"/>
    <n v="0"/>
  </r>
  <r>
    <x v="1086"/>
    <x v="5"/>
    <x v="21"/>
    <x v="21"/>
    <x v="0"/>
    <n v="23"/>
    <x v="0"/>
    <x v="0"/>
    <x v="1084"/>
    <x v="1084"/>
    <x v="1"/>
    <x v="1086"/>
    <n v="9245265"/>
    <x v="16"/>
    <n v="0"/>
  </r>
  <r>
    <x v="1087"/>
    <x v="5"/>
    <x v="5"/>
    <x v="5"/>
    <x v="16"/>
    <n v="11"/>
    <x v="1"/>
    <x v="1"/>
    <x v="1085"/>
    <x v="1085"/>
    <x v="1"/>
    <x v="1087"/>
    <n v="9381662"/>
    <x v="15"/>
    <n v="0"/>
  </r>
  <r>
    <x v="1088"/>
    <x v="4"/>
    <x v="10"/>
    <x v="10"/>
    <x v="33"/>
    <n v="37"/>
    <x v="3"/>
    <x v="1"/>
    <x v="1086"/>
    <x v="1086"/>
    <x v="1"/>
    <x v="1088"/>
    <n v="1975474"/>
    <x v="22"/>
    <n v="0"/>
  </r>
  <r>
    <x v="1089"/>
    <x v="1"/>
    <x v="19"/>
    <x v="19"/>
    <x v="7"/>
    <n v="53"/>
    <x v="3"/>
    <x v="0"/>
    <x v="1087"/>
    <x v="1087"/>
    <x v="1"/>
    <x v="1089"/>
    <n v="821817"/>
    <x v="25"/>
    <n v="0"/>
  </r>
  <r>
    <x v="1090"/>
    <x v="0"/>
    <x v="23"/>
    <x v="23"/>
    <x v="18"/>
    <n v="58"/>
    <x v="2"/>
    <x v="0"/>
    <x v="1088"/>
    <x v="1088"/>
    <x v="1"/>
    <x v="1090"/>
    <n v="9903493"/>
    <x v="9"/>
    <n v="0"/>
  </r>
  <r>
    <x v="1091"/>
    <x v="5"/>
    <x v="22"/>
    <x v="22"/>
    <x v="45"/>
    <n v="38"/>
    <x v="2"/>
    <x v="1"/>
    <x v="1089"/>
    <x v="1089"/>
    <x v="1"/>
    <x v="1091"/>
    <n v="508139"/>
    <x v="20"/>
    <n v="0"/>
  </r>
  <r>
    <x v="1092"/>
    <x v="4"/>
    <x v="5"/>
    <x v="5"/>
    <x v="34"/>
    <n v="36"/>
    <x v="2"/>
    <x v="0"/>
    <x v="1090"/>
    <x v="1090"/>
    <x v="2"/>
    <x v="1092"/>
    <n v="5934716"/>
    <x v="22"/>
    <n v="0"/>
  </r>
  <r>
    <x v="1093"/>
    <x v="2"/>
    <x v="14"/>
    <x v="14"/>
    <x v="30"/>
    <n v="14"/>
    <x v="0"/>
    <x v="1"/>
    <x v="1091"/>
    <x v="1091"/>
    <x v="1"/>
    <x v="1093"/>
    <n v="6351095"/>
    <x v="13"/>
    <n v="0"/>
  </r>
  <r>
    <x v="1094"/>
    <x v="4"/>
    <x v="7"/>
    <x v="7"/>
    <x v="33"/>
    <n v="37"/>
    <x v="2"/>
    <x v="1"/>
    <x v="1092"/>
    <x v="1092"/>
    <x v="1"/>
    <x v="1094"/>
    <n v="800185"/>
    <x v="19"/>
    <n v="0"/>
  </r>
  <r>
    <x v="1095"/>
    <x v="5"/>
    <x v="14"/>
    <x v="14"/>
    <x v="35"/>
    <n v="29"/>
    <x v="0"/>
    <x v="0"/>
    <x v="1093"/>
    <x v="1093"/>
    <x v="2"/>
    <x v="1095"/>
    <n v="8213886"/>
    <x v="12"/>
    <n v="0"/>
  </r>
  <r>
    <x v="1096"/>
    <x v="3"/>
    <x v="1"/>
    <x v="1"/>
    <x v="6"/>
    <n v="40"/>
    <x v="3"/>
    <x v="0"/>
    <x v="1094"/>
    <x v="1094"/>
    <x v="0"/>
    <x v="1096"/>
    <n v="234229"/>
    <x v="4"/>
    <n v="0"/>
  </r>
  <r>
    <x v="1097"/>
    <x v="3"/>
    <x v="3"/>
    <x v="3"/>
    <x v="35"/>
    <n v="29"/>
    <x v="1"/>
    <x v="0"/>
    <x v="1095"/>
    <x v="1095"/>
    <x v="1"/>
    <x v="1097"/>
    <n v="2748049"/>
    <x v="10"/>
    <n v="0"/>
  </r>
  <r>
    <x v="1098"/>
    <x v="0"/>
    <x v="9"/>
    <x v="9"/>
    <x v="27"/>
    <n v="22"/>
    <x v="3"/>
    <x v="0"/>
    <x v="1096"/>
    <x v="1096"/>
    <x v="2"/>
    <x v="1098"/>
    <n v="8829914"/>
    <x v="0"/>
    <n v="0"/>
  </r>
  <r>
    <x v="1099"/>
    <x v="3"/>
    <x v="10"/>
    <x v="10"/>
    <x v="9"/>
    <n v="15"/>
    <x v="3"/>
    <x v="0"/>
    <x v="1097"/>
    <x v="1097"/>
    <x v="2"/>
    <x v="1099"/>
    <n v="8285417"/>
    <x v="4"/>
    <n v="0"/>
  </r>
  <r>
    <x v="1100"/>
    <x v="0"/>
    <x v="12"/>
    <x v="12"/>
    <x v="4"/>
    <n v="26"/>
    <x v="3"/>
    <x v="0"/>
    <x v="1098"/>
    <x v="1098"/>
    <x v="0"/>
    <x v="1100"/>
    <n v="6367384"/>
    <x v="23"/>
    <n v="0"/>
  </r>
  <r>
    <x v="1101"/>
    <x v="0"/>
    <x v="3"/>
    <x v="3"/>
    <x v="9"/>
    <n v="15"/>
    <x v="2"/>
    <x v="1"/>
    <x v="1099"/>
    <x v="1099"/>
    <x v="1"/>
    <x v="1101"/>
    <n v="9949642"/>
    <x v="23"/>
    <n v="0"/>
  </r>
  <r>
    <x v="1102"/>
    <x v="5"/>
    <x v="3"/>
    <x v="3"/>
    <x v="20"/>
    <n v="19"/>
    <x v="2"/>
    <x v="1"/>
    <x v="1100"/>
    <x v="1100"/>
    <x v="1"/>
    <x v="1102"/>
    <n v="7484247"/>
    <x v="12"/>
    <n v="0"/>
  </r>
  <r>
    <x v="1103"/>
    <x v="3"/>
    <x v="22"/>
    <x v="22"/>
    <x v="21"/>
    <n v="59"/>
    <x v="2"/>
    <x v="0"/>
    <x v="1101"/>
    <x v="1101"/>
    <x v="1"/>
    <x v="1103"/>
    <n v="2550449"/>
    <x v="27"/>
    <n v="0"/>
  </r>
  <r>
    <x v="1104"/>
    <x v="0"/>
    <x v="6"/>
    <x v="6"/>
    <x v="23"/>
    <n v="32"/>
    <x v="1"/>
    <x v="1"/>
    <x v="1102"/>
    <x v="1102"/>
    <x v="2"/>
    <x v="1104"/>
    <n v="8543119"/>
    <x v="23"/>
    <n v="0"/>
  </r>
  <r>
    <x v="1105"/>
    <x v="1"/>
    <x v="8"/>
    <x v="8"/>
    <x v="33"/>
    <n v="37"/>
    <x v="2"/>
    <x v="1"/>
    <x v="1103"/>
    <x v="1103"/>
    <x v="1"/>
    <x v="1105"/>
    <n v="443996"/>
    <x v="1"/>
    <n v="0"/>
  </r>
  <r>
    <x v="1106"/>
    <x v="2"/>
    <x v="10"/>
    <x v="10"/>
    <x v="12"/>
    <n v="54"/>
    <x v="0"/>
    <x v="1"/>
    <x v="1104"/>
    <x v="1104"/>
    <x v="1"/>
    <x v="1106"/>
    <n v="84345"/>
    <x v="5"/>
    <n v="0"/>
  </r>
  <r>
    <x v="1107"/>
    <x v="4"/>
    <x v="20"/>
    <x v="20"/>
    <x v="49"/>
    <n v="60"/>
    <x v="3"/>
    <x v="1"/>
    <x v="1105"/>
    <x v="1105"/>
    <x v="1"/>
    <x v="1107"/>
    <n v="3553502"/>
    <x v="22"/>
    <n v="0"/>
  </r>
  <r>
    <x v="1108"/>
    <x v="4"/>
    <x v="23"/>
    <x v="23"/>
    <x v="14"/>
    <n v="39"/>
    <x v="1"/>
    <x v="0"/>
    <x v="1106"/>
    <x v="1106"/>
    <x v="1"/>
    <x v="1108"/>
    <n v="7753737"/>
    <x v="22"/>
    <n v="0"/>
  </r>
  <r>
    <x v="1109"/>
    <x v="5"/>
    <x v="3"/>
    <x v="3"/>
    <x v="32"/>
    <n v="51"/>
    <x v="1"/>
    <x v="1"/>
    <x v="1107"/>
    <x v="1107"/>
    <x v="0"/>
    <x v="1109"/>
    <n v="9621959"/>
    <x v="20"/>
    <n v="0"/>
  </r>
  <r>
    <x v="1110"/>
    <x v="3"/>
    <x v="16"/>
    <x v="16"/>
    <x v="4"/>
    <n v="26"/>
    <x v="1"/>
    <x v="1"/>
    <x v="1108"/>
    <x v="1108"/>
    <x v="0"/>
    <x v="1110"/>
    <n v="3123296"/>
    <x v="4"/>
    <n v="0"/>
  </r>
  <r>
    <x v="1111"/>
    <x v="3"/>
    <x v="6"/>
    <x v="6"/>
    <x v="41"/>
    <n v="25"/>
    <x v="1"/>
    <x v="0"/>
    <x v="1109"/>
    <x v="1109"/>
    <x v="0"/>
    <x v="1111"/>
    <n v="2841905"/>
    <x v="8"/>
    <n v="0"/>
  </r>
  <r>
    <x v="1112"/>
    <x v="0"/>
    <x v="8"/>
    <x v="8"/>
    <x v="15"/>
    <n v="30"/>
    <x v="1"/>
    <x v="0"/>
    <x v="1110"/>
    <x v="1110"/>
    <x v="1"/>
    <x v="1112"/>
    <n v="5854358"/>
    <x v="3"/>
    <n v="0"/>
  </r>
  <r>
    <x v="1113"/>
    <x v="6"/>
    <x v="18"/>
    <x v="18"/>
    <x v="1"/>
    <n v="44"/>
    <x v="0"/>
    <x v="0"/>
    <x v="1111"/>
    <x v="1111"/>
    <x v="1"/>
    <x v="1113"/>
    <n v="8210997"/>
    <x v="18"/>
    <n v="0"/>
  </r>
  <r>
    <x v="1114"/>
    <x v="0"/>
    <x v="6"/>
    <x v="6"/>
    <x v="1"/>
    <n v="44"/>
    <x v="3"/>
    <x v="0"/>
    <x v="1112"/>
    <x v="1112"/>
    <x v="2"/>
    <x v="1114"/>
    <n v="7591994"/>
    <x v="9"/>
    <n v="0"/>
  </r>
  <r>
    <x v="1115"/>
    <x v="2"/>
    <x v="23"/>
    <x v="23"/>
    <x v="4"/>
    <n v="26"/>
    <x v="1"/>
    <x v="1"/>
    <x v="1113"/>
    <x v="1113"/>
    <x v="2"/>
    <x v="1115"/>
    <n v="581961"/>
    <x v="13"/>
    <n v="0"/>
  </r>
  <r>
    <x v="1116"/>
    <x v="1"/>
    <x v="5"/>
    <x v="5"/>
    <x v="47"/>
    <n v="17"/>
    <x v="3"/>
    <x v="0"/>
    <x v="1114"/>
    <x v="1114"/>
    <x v="2"/>
    <x v="1116"/>
    <n v="6498202"/>
    <x v="14"/>
    <n v="0"/>
  </r>
  <r>
    <x v="1117"/>
    <x v="4"/>
    <x v="10"/>
    <x v="10"/>
    <x v="26"/>
    <n v="42"/>
    <x v="2"/>
    <x v="1"/>
    <x v="1115"/>
    <x v="1115"/>
    <x v="1"/>
    <x v="1117"/>
    <n v="279994"/>
    <x v="17"/>
    <n v="0"/>
  </r>
  <r>
    <x v="1118"/>
    <x v="0"/>
    <x v="22"/>
    <x v="22"/>
    <x v="44"/>
    <n v="16"/>
    <x v="1"/>
    <x v="1"/>
    <x v="1116"/>
    <x v="1116"/>
    <x v="0"/>
    <x v="1118"/>
    <n v="4609456"/>
    <x v="0"/>
    <n v="0"/>
  </r>
  <r>
    <x v="1119"/>
    <x v="6"/>
    <x v="1"/>
    <x v="1"/>
    <x v="14"/>
    <n v="39"/>
    <x v="1"/>
    <x v="0"/>
    <x v="1117"/>
    <x v="1117"/>
    <x v="0"/>
    <x v="1119"/>
    <n v="2925973"/>
    <x v="18"/>
    <n v="0"/>
  </r>
  <r>
    <x v="1120"/>
    <x v="6"/>
    <x v="12"/>
    <x v="12"/>
    <x v="2"/>
    <n v="45"/>
    <x v="3"/>
    <x v="0"/>
    <x v="1118"/>
    <x v="1118"/>
    <x v="0"/>
    <x v="1120"/>
    <n v="8901971"/>
    <x v="18"/>
    <n v="0"/>
  </r>
  <r>
    <x v="1121"/>
    <x v="0"/>
    <x v="7"/>
    <x v="7"/>
    <x v="2"/>
    <n v="45"/>
    <x v="1"/>
    <x v="0"/>
    <x v="1119"/>
    <x v="1119"/>
    <x v="1"/>
    <x v="1121"/>
    <n v="1569268"/>
    <x v="0"/>
    <n v="0"/>
  </r>
  <r>
    <x v="1122"/>
    <x v="5"/>
    <x v="9"/>
    <x v="9"/>
    <x v="43"/>
    <n v="48"/>
    <x v="1"/>
    <x v="0"/>
    <x v="1120"/>
    <x v="1120"/>
    <x v="0"/>
    <x v="1122"/>
    <n v="6957535"/>
    <x v="16"/>
    <n v="0"/>
  </r>
  <r>
    <x v="1123"/>
    <x v="4"/>
    <x v="13"/>
    <x v="13"/>
    <x v="12"/>
    <n v="54"/>
    <x v="1"/>
    <x v="0"/>
    <x v="1121"/>
    <x v="1121"/>
    <x v="2"/>
    <x v="1123"/>
    <n v="297269"/>
    <x v="7"/>
    <n v="0"/>
  </r>
  <r>
    <x v="1124"/>
    <x v="5"/>
    <x v="16"/>
    <x v="16"/>
    <x v="42"/>
    <n v="35"/>
    <x v="0"/>
    <x v="0"/>
    <x v="1122"/>
    <x v="1122"/>
    <x v="2"/>
    <x v="1124"/>
    <n v="5017985"/>
    <x v="12"/>
    <n v="0"/>
  </r>
  <r>
    <x v="1125"/>
    <x v="1"/>
    <x v="20"/>
    <x v="20"/>
    <x v="11"/>
    <n v="47"/>
    <x v="0"/>
    <x v="1"/>
    <x v="1123"/>
    <x v="1123"/>
    <x v="0"/>
    <x v="1125"/>
    <n v="3344421"/>
    <x v="11"/>
    <n v="0"/>
  </r>
  <r>
    <x v="1126"/>
    <x v="6"/>
    <x v="0"/>
    <x v="0"/>
    <x v="3"/>
    <n v="41"/>
    <x v="1"/>
    <x v="1"/>
    <x v="1124"/>
    <x v="1124"/>
    <x v="2"/>
    <x v="1126"/>
    <n v="3570831"/>
    <x v="24"/>
    <n v="0"/>
  </r>
  <r>
    <x v="1127"/>
    <x v="6"/>
    <x v="19"/>
    <x v="19"/>
    <x v="20"/>
    <n v="19"/>
    <x v="0"/>
    <x v="1"/>
    <x v="1125"/>
    <x v="1125"/>
    <x v="0"/>
    <x v="1127"/>
    <n v="2973734"/>
    <x v="24"/>
    <n v="0"/>
  </r>
  <r>
    <x v="1128"/>
    <x v="2"/>
    <x v="3"/>
    <x v="3"/>
    <x v="16"/>
    <n v="11"/>
    <x v="2"/>
    <x v="1"/>
    <x v="1126"/>
    <x v="1126"/>
    <x v="0"/>
    <x v="1128"/>
    <n v="7651533"/>
    <x v="13"/>
    <n v="0"/>
  </r>
  <r>
    <x v="1129"/>
    <x v="1"/>
    <x v="9"/>
    <x v="9"/>
    <x v="5"/>
    <n v="24"/>
    <x v="1"/>
    <x v="0"/>
    <x v="1127"/>
    <x v="1127"/>
    <x v="2"/>
    <x v="1129"/>
    <n v="3974301"/>
    <x v="11"/>
    <n v="0"/>
  </r>
  <r>
    <x v="1130"/>
    <x v="6"/>
    <x v="12"/>
    <x v="12"/>
    <x v="23"/>
    <n v="32"/>
    <x v="2"/>
    <x v="0"/>
    <x v="1128"/>
    <x v="1128"/>
    <x v="2"/>
    <x v="1130"/>
    <n v="7400392"/>
    <x v="26"/>
    <n v="0"/>
  </r>
  <r>
    <x v="1131"/>
    <x v="1"/>
    <x v="23"/>
    <x v="23"/>
    <x v="3"/>
    <n v="41"/>
    <x v="3"/>
    <x v="1"/>
    <x v="1129"/>
    <x v="1129"/>
    <x v="2"/>
    <x v="1131"/>
    <n v="4832664"/>
    <x v="1"/>
    <n v="0"/>
  </r>
  <r>
    <x v="1132"/>
    <x v="4"/>
    <x v="18"/>
    <x v="18"/>
    <x v="19"/>
    <n v="52"/>
    <x v="2"/>
    <x v="1"/>
    <x v="1130"/>
    <x v="1130"/>
    <x v="2"/>
    <x v="1132"/>
    <n v="5698837"/>
    <x v="19"/>
    <n v="0"/>
  </r>
  <r>
    <x v="1133"/>
    <x v="3"/>
    <x v="5"/>
    <x v="5"/>
    <x v="13"/>
    <n v="20"/>
    <x v="3"/>
    <x v="1"/>
    <x v="1131"/>
    <x v="1131"/>
    <x v="0"/>
    <x v="1133"/>
    <n v="5661231"/>
    <x v="27"/>
    <n v="0"/>
  </r>
  <r>
    <x v="1134"/>
    <x v="6"/>
    <x v="16"/>
    <x v="16"/>
    <x v="44"/>
    <n v="16"/>
    <x v="1"/>
    <x v="0"/>
    <x v="1132"/>
    <x v="1132"/>
    <x v="2"/>
    <x v="1134"/>
    <n v="9770595"/>
    <x v="26"/>
    <n v="0"/>
  </r>
  <r>
    <x v="1135"/>
    <x v="2"/>
    <x v="10"/>
    <x v="10"/>
    <x v="18"/>
    <n v="58"/>
    <x v="3"/>
    <x v="0"/>
    <x v="1133"/>
    <x v="1133"/>
    <x v="2"/>
    <x v="1135"/>
    <n v="3987093"/>
    <x v="2"/>
    <n v="0"/>
  </r>
  <r>
    <x v="1136"/>
    <x v="4"/>
    <x v="10"/>
    <x v="10"/>
    <x v="9"/>
    <n v="15"/>
    <x v="3"/>
    <x v="0"/>
    <x v="1134"/>
    <x v="1134"/>
    <x v="1"/>
    <x v="1136"/>
    <n v="2472999"/>
    <x v="19"/>
    <n v="0"/>
  </r>
  <r>
    <x v="1137"/>
    <x v="0"/>
    <x v="23"/>
    <x v="23"/>
    <x v="48"/>
    <n v="34"/>
    <x v="2"/>
    <x v="1"/>
    <x v="1135"/>
    <x v="1135"/>
    <x v="2"/>
    <x v="1137"/>
    <n v="9162023"/>
    <x v="9"/>
    <n v="0"/>
  </r>
  <r>
    <x v="1138"/>
    <x v="1"/>
    <x v="17"/>
    <x v="17"/>
    <x v="14"/>
    <n v="39"/>
    <x v="2"/>
    <x v="1"/>
    <x v="1136"/>
    <x v="1136"/>
    <x v="2"/>
    <x v="1138"/>
    <n v="2160973"/>
    <x v="1"/>
    <n v="0"/>
  </r>
  <r>
    <x v="1139"/>
    <x v="0"/>
    <x v="8"/>
    <x v="8"/>
    <x v="33"/>
    <n v="37"/>
    <x v="2"/>
    <x v="0"/>
    <x v="1137"/>
    <x v="1137"/>
    <x v="0"/>
    <x v="1139"/>
    <n v="8427017"/>
    <x v="9"/>
    <n v="0"/>
  </r>
  <r>
    <x v="1140"/>
    <x v="5"/>
    <x v="12"/>
    <x v="12"/>
    <x v="30"/>
    <n v="14"/>
    <x v="1"/>
    <x v="0"/>
    <x v="1138"/>
    <x v="1138"/>
    <x v="0"/>
    <x v="1140"/>
    <n v="1927042"/>
    <x v="15"/>
    <n v="0"/>
  </r>
  <r>
    <x v="1141"/>
    <x v="4"/>
    <x v="11"/>
    <x v="11"/>
    <x v="29"/>
    <n v="13"/>
    <x v="1"/>
    <x v="1"/>
    <x v="1139"/>
    <x v="1139"/>
    <x v="1"/>
    <x v="1141"/>
    <n v="6757881"/>
    <x v="19"/>
    <n v="0"/>
  </r>
  <r>
    <x v="1142"/>
    <x v="0"/>
    <x v="14"/>
    <x v="14"/>
    <x v="9"/>
    <n v="15"/>
    <x v="2"/>
    <x v="1"/>
    <x v="1140"/>
    <x v="1140"/>
    <x v="2"/>
    <x v="1142"/>
    <n v="1930138"/>
    <x v="9"/>
    <n v="0"/>
  </r>
  <r>
    <x v="1143"/>
    <x v="6"/>
    <x v="22"/>
    <x v="22"/>
    <x v="14"/>
    <n v="39"/>
    <x v="1"/>
    <x v="0"/>
    <x v="1141"/>
    <x v="1141"/>
    <x v="2"/>
    <x v="1143"/>
    <n v="9269315"/>
    <x v="24"/>
    <n v="0"/>
  </r>
  <r>
    <x v="1144"/>
    <x v="1"/>
    <x v="5"/>
    <x v="5"/>
    <x v="33"/>
    <n v="37"/>
    <x v="1"/>
    <x v="1"/>
    <x v="1142"/>
    <x v="1142"/>
    <x v="2"/>
    <x v="1144"/>
    <n v="5867579"/>
    <x v="14"/>
    <n v="0"/>
  </r>
  <r>
    <x v="1145"/>
    <x v="3"/>
    <x v="18"/>
    <x v="18"/>
    <x v="27"/>
    <n v="22"/>
    <x v="3"/>
    <x v="0"/>
    <x v="1143"/>
    <x v="1143"/>
    <x v="2"/>
    <x v="1145"/>
    <n v="3628101"/>
    <x v="4"/>
    <n v="0"/>
  </r>
  <r>
    <x v="1146"/>
    <x v="4"/>
    <x v="17"/>
    <x v="17"/>
    <x v="26"/>
    <n v="42"/>
    <x v="3"/>
    <x v="0"/>
    <x v="1144"/>
    <x v="1144"/>
    <x v="2"/>
    <x v="1146"/>
    <n v="1833066"/>
    <x v="19"/>
    <n v="0"/>
  </r>
  <r>
    <x v="1147"/>
    <x v="6"/>
    <x v="13"/>
    <x v="13"/>
    <x v="32"/>
    <n v="51"/>
    <x v="2"/>
    <x v="1"/>
    <x v="1145"/>
    <x v="1145"/>
    <x v="2"/>
    <x v="1147"/>
    <n v="4026326"/>
    <x v="18"/>
    <n v="0"/>
  </r>
  <r>
    <x v="1148"/>
    <x v="2"/>
    <x v="13"/>
    <x v="13"/>
    <x v="50"/>
    <n v="12"/>
    <x v="1"/>
    <x v="1"/>
    <x v="1146"/>
    <x v="1146"/>
    <x v="1"/>
    <x v="1148"/>
    <n v="719769"/>
    <x v="2"/>
    <n v="0"/>
  </r>
  <r>
    <x v="1149"/>
    <x v="5"/>
    <x v="23"/>
    <x v="23"/>
    <x v="42"/>
    <n v="35"/>
    <x v="3"/>
    <x v="1"/>
    <x v="1147"/>
    <x v="1147"/>
    <x v="2"/>
    <x v="1149"/>
    <n v="4157033"/>
    <x v="20"/>
    <n v="0"/>
  </r>
  <r>
    <x v="1150"/>
    <x v="1"/>
    <x v="21"/>
    <x v="21"/>
    <x v="1"/>
    <n v="44"/>
    <x v="0"/>
    <x v="0"/>
    <x v="1148"/>
    <x v="1148"/>
    <x v="2"/>
    <x v="1150"/>
    <n v="2837894"/>
    <x v="14"/>
    <n v="0"/>
  </r>
  <r>
    <x v="1151"/>
    <x v="4"/>
    <x v="12"/>
    <x v="12"/>
    <x v="0"/>
    <n v="23"/>
    <x v="1"/>
    <x v="1"/>
    <x v="1149"/>
    <x v="1149"/>
    <x v="2"/>
    <x v="1151"/>
    <n v="598539"/>
    <x v="17"/>
    <n v="0"/>
  </r>
  <r>
    <x v="1152"/>
    <x v="4"/>
    <x v="14"/>
    <x v="14"/>
    <x v="41"/>
    <n v="25"/>
    <x v="0"/>
    <x v="1"/>
    <x v="1150"/>
    <x v="1150"/>
    <x v="1"/>
    <x v="1152"/>
    <n v="4469308"/>
    <x v="22"/>
    <n v="0"/>
  </r>
  <r>
    <x v="1153"/>
    <x v="3"/>
    <x v="12"/>
    <x v="12"/>
    <x v="3"/>
    <n v="41"/>
    <x v="2"/>
    <x v="0"/>
    <x v="1151"/>
    <x v="1151"/>
    <x v="2"/>
    <x v="1153"/>
    <n v="2075159"/>
    <x v="10"/>
    <n v="0"/>
  </r>
  <r>
    <x v="1154"/>
    <x v="3"/>
    <x v="6"/>
    <x v="6"/>
    <x v="37"/>
    <n v="55"/>
    <x v="1"/>
    <x v="0"/>
    <x v="1152"/>
    <x v="1152"/>
    <x v="1"/>
    <x v="1154"/>
    <n v="1962886"/>
    <x v="4"/>
    <n v="0"/>
  </r>
  <r>
    <x v="1155"/>
    <x v="2"/>
    <x v="23"/>
    <x v="23"/>
    <x v="31"/>
    <n v="50"/>
    <x v="2"/>
    <x v="1"/>
    <x v="1153"/>
    <x v="1153"/>
    <x v="0"/>
    <x v="1155"/>
    <n v="7220889"/>
    <x v="5"/>
    <n v="0"/>
  </r>
  <r>
    <x v="1156"/>
    <x v="5"/>
    <x v="6"/>
    <x v="6"/>
    <x v="14"/>
    <n v="39"/>
    <x v="2"/>
    <x v="0"/>
    <x v="1154"/>
    <x v="1154"/>
    <x v="2"/>
    <x v="1156"/>
    <n v="9759383"/>
    <x v="15"/>
    <n v="0"/>
  </r>
  <r>
    <x v="1157"/>
    <x v="2"/>
    <x v="6"/>
    <x v="6"/>
    <x v="11"/>
    <n v="47"/>
    <x v="2"/>
    <x v="0"/>
    <x v="1155"/>
    <x v="1155"/>
    <x v="1"/>
    <x v="1157"/>
    <n v="2714394"/>
    <x v="5"/>
    <n v="0"/>
  </r>
  <r>
    <x v="1158"/>
    <x v="6"/>
    <x v="2"/>
    <x v="2"/>
    <x v="36"/>
    <n v="28"/>
    <x v="2"/>
    <x v="0"/>
    <x v="1156"/>
    <x v="1156"/>
    <x v="0"/>
    <x v="1158"/>
    <n v="7844912"/>
    <x v="24"/>
    <n v="0"/>
  </r>
  <r>
    <x v="1159"/>
    <x v="6"/>
    <x v="5"/>
    <x v="5"/>
    <x v="26"/>
    <n v="42"/>
    <x v="2"/>
    <x v="1"/>
    <x v="1157"/>
    <x v="1157"/>
    <x v="1"/>
    <x v="1159"/>
    <n v="1332264"/>
    <x v="18"/>
    <n v="0"/>
  </r>
  <r>
    <x v="1160"/>
    <x v="2"/>
    <x v="2"/>
    <x v="2"/>
    <x v="17"/>
    <n v="33"/>
    <x v="1"/>
    <x v="1"/>
    <x v="1158"/>
    <x v="1158"/>
    <x v="1"/>
    <x v="1160"/>
    <n v="4124971"/>
    <x v="5"/>
    <n v="0"/>
  </r>
  <r>
    <x v="1161"/>
    <x v="5"/>
    <x v="21"/>
    <x v="21"/>
    <x v="20"/>
    <n v="19"/>
    <x v="0"/>
    <x v="0"/>
    <x v="1159"/>
    <x v="1159"/>
    <x v="0"/>
    <x v="1161"/>
    <n v="5313537"/>
    <x v="20"/>
    <n v="0"/>
  </r>
  <r>
    <x v="1162"/>
    <x v="2"/>
    <x v="3"/>
    <x v="3"/>
    <x v="2"/>
    <n v="45"/>
    <x v="1"/>
    <x v="0"/>
    <x v="1160"/>
    <x v="1160"/>
    <x v="2"/>
    <x v="1162"/>
    <n v="3053096"/>
    <x v="5"/>
    <n v="0"/>
  </r>
  <r>
    <x v="1163"/>
    <x v="5"/>
    <x v="0"/>
    <x v="0"/>
    <x v="45"/>
    <n v="38"/>
    <x v="1"/>
    <x v="0"/>
    <x v="1161"/>
    <x v="1161"/>
    <x v="2"/>
    <x v="1163"/>
    <n v="5530995"/>
    <x v="15"/>
    <n v="0"/>
  </r>
  <r>
    <x v="1164"/>
    <x v="5"/>
    <x v="11"/>
    <x v="11"/>
    <x v="36"/>
    <n v="28"/>
    <x v="1"/>
    <x v="1"/>
    <x v="1162"/>
    <x v="1162"/>
    <x v="1"/>
    <x v="1164"/>
    <n v="8884837"/>
    <x v="15"/>
    <n v="0"/>
  </r>
  <r>
    <x v="1165"/>
    <x v="0"/>
    <x v="22"/>
    <x v="22"/>
    <x v="24"/>
    <n v="56"/>
    <x v="3"/>
    <x v="0"/>
    <x v="1163"/>
    <x v="1163"/>
    <x v="0"/>
    <x v="1165"/>
    <n v="9472161"/>
    <x v="9"/>
    <n v="0"/>
  </r>
  <r>
    <x v="1166"/>
    <x v="1"/>
    <x v="23"/>
    <x v="23"/>
    <x v="16"/>
    <n v="11"/>
    <x v="3"/>
    <x v="0"/>
    <x v="1164"/>
    <x v="1164"/>
    <x v="2"/>
    <x v="1166"/>
    <n v="1455291"/>
    <x v="25"/>
    <n v="0"/>
  </r>
  <r>
    <x v="1167"/>
    <x v="5"/>
    <x v="15"/>
    <x v="15"/>
    <x v="4"/>
    <n v="26"/>
    <x v="1"/>
    <x v="1"/>
    <x v="1165"/>
    <x v="1165"/>
    <x v="1"/>
    <x v="1167"/>
    <n v="3082536"/>
    <x v="12"/>
    <n v="0"/>
  </r>
  <r>
    <x v="1168"/>
    <x v="3"/>
    <x v="12"/>
    <x v="12"/>
    <x v="29"/>
    <n v="13"/>
    <x v="0"/>
    <x v="0"/>
    <x v="1166"/>
    <x v="1166"/>
    <x v="0"/>
    <x v="1168"/>
    <n v="9801772"/>
    <x v="8"/>
    <n v="0"/>
  </r>
  <r>
    <x v="1169"/>
    <x v="5"/>
    <x v="7"/>
    <x v="7"/>
    <x v="43"/>
    <n v="48"/>
    <x v="1"/>
    <x v="1"/>
    <x v="1167"/>
    <x v="1167"/>
    <x v="1"/>
    <x v="1169"/>
    <n v="3068975"/>
    <x v="20"/>
    <n v="0"/>
  </r>
  <r>
    <x v="1170"/>
    <x v="5"/>
    <x v="1"/>
    <x v="1"/>
    <x v="2"/>
    <n v="45"/>
    <x v="2"/>
    <x v="1"/>
    <x v="1168"/>
    <x v="1168"/>
    <x v="0"/>
    <x v="1170"/>
    <n v="708072"/>
    <x v="15"/>
    <n v="0"/>
  </r>
  <r>
    <x v="1171"/>
    <x v="5"/>
    <x v="18"/>
    <x v="18"/>
    <x v="46"/>
    <n v="27"/>
    <x v="3"/>
    <x v="1"/>
    <x v="1169"/>
    <x v="1169"/>
    <x v="2"/>
    <x v="1171"/>
    <n v="290781"/>
    <x v="16"/>
    <n v="0"/>
  </r>
  <r>
    <x v="1172"/>
    <x v="0"/>
    <x v="14"/>
    <x v="14"/>
    <x v="1"/>
    <n v="44"/>
    <x v="3"/>
    <x v="0"/>
    <x v="1170"/>
    <x v="1170"/>
    <x v="2"/>
    <x v="1172"/>
    <n v="3885473"/>
    <x v="9"/>
    <n v="0"/>
  </r>
  <r>
    <x v="1173"/>
    <x v="0"/>
    <x v="13"/>
    <x v="13"/>
    <x v="15"/>
    <n v="30"/>
    <x v="1"/>
    <x v="0"/>
    <x v="1171"/>
    <x v="1171"/>
    <x v="1"/>
    <x v="1173"/>
    <n v="231715"/>
    <x v="23"/>
    <n v="0"/>
  </r>
  <r>
    <x v="1174"/>
    <x v="6"/>
    <x v="10"/>
    <x v="10"/>
    <x v="43"/>
    <n v="48"/>
    <x v="1"/>
    <x v="1"/>
    <x v="1172"/>
    <x v="1172"/>
    <x v="2"/>
    <x v="1174"/>
    <n v="8634852"/>
    <x v="18"/>
    <n v="0"/>
  </r>
  <r>
    <x v="1175"/>
    <x v="0"/>
    <x v="8"/>
    <x v="8"/>
    <x v="17"/>
    <n v="33"/>
    <x v="0"/>
    <x v="0"/>
    <x v="1173"/>
    <x v="1173"/>
    <x v="2"/>
    <x v="1175"/>
    <n v="8885163"/>
    <x v="0"/>
    <n v="0"/>
  </r>
  <r>
    <x v="1176"/>
    <x v="3"/>
    <x v="2"/>
    <x v="2"/>
    <x v="40"/>
    <n v="31"/>
    <x v="0"/>
    <x v="1"/>
    <x v="1174"/>
    <x v="1174"/>
    <x v="0"/>
    <x v="1176"/>
    <n v="3320669"/>
    <x v="27"/>
    <n v="0"/>
  </r>
  <r>
    <x v="1177"/>
    <x v="3"/>
    <x v="14"/>
    <x v="14"/>
    <x v="8"/>
    <n v="57"/>
    <x v="2"/>
    <x v="0"/>
    <x v="1175"/>
    <x v="1175"/>
    <x v="2"/>
    <x v="1177"/>
    <n v="8324103"/>
    <x v="4"/>
    <n v="0"/>
  </r>
  <r>
    <x v="1178"/>
    <x v="0"/>
    <x v="2"/>
    <x v="2"/>
    <x v="0"/>
    <n v="23"/>
    <x v="1"/>
    <x v="1"/>
    <x v="1176"/>
    <x v="1176"/>
    <x v="0"/>
    <x v="1178"/>
    <n v="3903296"/>
    <x v="23"/>
    <n v="0"/>
  </r>
  <r>
    <x v="1179"/>
    <x v="2"/>
    <x v="21"/>
    <x v="21"/>
    <x v="44"/>
    <n v="16"/>
    <x v="1"/>
    <x v="1"/>
    <x v="1177"/>
    <x v="1177"/>
    <x v="0"/>
    <x v="1179"/>
    <n v="1440685"/>
    <x v="5"/>
    <n v="0"/>
  </r>
  <r>
    <x v="1180"/>
    <x v="1"/>
    <x v="6"/>
    <x v="6"/>
    <x v="14"/>
    <n v="39"/>
    <x v="1"/>
    <x v="0"/>
    <x v="1178"/>
    <x v="1178"/>
    <x v="1"/>
    <x v="1180"/>
    <n v="7701726"/>
    <x v="14"/>
    <n v="0"/>
  </r>
  <r>
    <x v="1181"/>
    <x v="0"/>
    <x v="17"/>
    <x v="17"/>
    <x v="18"/>
    <n v="58"/>
    <x v="3"/>
    <x v="0"/>
    <x v="1179"/>
    <x v="1179"/>
    <x v="0"/>
    <x v="1181"/>
    <n v="6166239"/>
    <x v="23"/>
    <n v="0"/>
  </r>
  <r>
    <x v="1182"/>
    <x v="5"/>
    <x v="23"/>
    <x v="23"/>
    <x v="35"/>
    <n v="29"/>
    <x v="2"/>
    <x v="0"/>
    <x v="1180"/>
    <x v="1180"/>
    <x v="2"/>
    <x v="1182"/>
    <n v="3106633"/>
    <x v="16"/>
    <n v="0"/>
  </r>
  <r>
    <x v="1183"/>
    <x v="4"/>
    <x v="1"/>
    <x v="1"/>
    <x v="29"/>
    <n v="13"/>
    <x v="0"/>
    <x v="0"/>
    <x v="1181"/>
    <x v="1181"/>
    <x v="0"/>
    <x v="1183"/>
    <n v="2903498"/>
    <x v="22"/>
    <n v="0"/>
  </r>
  <r>
    <x v="1184"/>
    <x v="1"/>
    <x v="2"/>
    <x v="2"/>
    <x v="46"/>
    <n v="27"/>
    <x v="3"/>
    <x v="1"/>
    <x v="1182"/>
    <x v="1182"/>
    <x v="0"/>
    <x v="1184"/>
    <n v="9768422"/>
    <x v="25"/>
    <n v="0"/>
  </r>
  <r>
    <x v="1185"/>
    <x v="1"/>
    <x v="5"/>
    <x v="5"/>
    <x v="42"/>
    <n v="35"/>
    <x v="3"/>
    <x v="1"/>
    <x v="1183"/>
    <x v="1183"/>
    <x v="1"/>
    <x v="1185"/>
    <n v="869376"/>
    <x v="1"/>
    <n v="0"/>
  </r>
  <r>
    <x v="1186"/>
    <x v="3"/>
    <x v="0"/>
    <x v="0"/>
    <x v="10"/>
    <n v="18"/>
    <x v="3"/>
    <x v="0"/>
    <x v="1184"/>
    <x v="1184"/>
    <x v="2"/>
    <x v="1186"/>
    <n v="8193084"/>
    <x v="27"/>
    <n v="0"/>
  </r>
  <r>
    <x v="1187"/>
    <x v="1"/>
    <x v="17"/>
    <x v="17"/>
    <x v="38"/>
    <n v="43"/>
    <x v="3"/>
    <x v="0"/>
    <x v="1185"/>
    <x v="1185"/>
    <x v="2"/>
    <x v="1187"/>
    <n v="1716168"/>
    <x v="11"/>
    <n v="0"/>
  </r>
  <r>
    <x v="1188"/>
    <x v="0"/>
    <x v="8"/>
    <x v="8"/>
    <x v="49"/>
    <n v="60"/>
    <x v="2"/>
    <x v="1"/>
    <x v="1186"/>
    <x v="1186"/>
    <x v="2"/>
    <x v="1188"/>
    <n v="7674279"/>
    <x v="3"/>
    <n v="0"/>
  </r>
  <r>
    <x v="1189"/>
    <x v="5"/>
    <x v="2"/>
    <x v="2"/>
    <x v="17"/>
    <n v="33"/>
    <x v="1"/>
    <x v="0"/>
    <x v="1187"/>
    <x v="1187"/>
    <x v="0"/>
    <x v="1189"/>
    <n v="2538132"/>
    <x v="15"/>
    <n v="0"/>
  </r>
  <r>
    <x v="1190"/>
    <x v="5"/>
    <x v="14"/>
    <x v="14"/>
    <x v="36"/>
    <n v="28"/>
    <x v="0"/>
    <x v="0"/>
    <x v="1188"/>
    <x v="1188"/>
    <x v="2"/>
    <x v="1190"/>
    <n v="9785195"/>
    <x v="12"/>
    <n v="0"/>
  </r>
  <r>
    <x v="1191"/>
    <x v="6"/>
    <x v="13"/>
    <x v="13"/>
    <x v="15"/>
    <n v="30"/>
    <x v="0"/>
    <x v="0"/>
    <x v="1189"/>
    <x v="1189"/>
    <x v="2"/>
    <x v="1191"/>
    <n v="994847"/>
    <x v="26"/>
    <n v="0"/>
  </r>
  <r>
    <x v="1192"/>
    <x v="5"/>
    <x v="20"/>
    <x v="20"/>
    <x v="44"/>
    <n v="16"/>
    <x v="3"/>
    <x v="0"/>
    <x v="1190"/>
    <x v="1190"/>
    <x v="0"/>
    <x v="1192"/>
    <n v="3845316"/>
    <x v="16"/>
    <n v="0"/>
  </r>
  <r>
    <x v="1193"/>
    <x v="5"/>
    <x v="16"/>
    <x v="16"/>
    <x v="12"/>
    <n v="54"/>
    <x v="3"/>
    <x v="1"/>
    <x v="1191"/>
    <x v="1191"/>
    <x v="1"/>
    <x v="1193"/>
    <n v="4572154"/>
    <x v="20"/>
    <n v="0"/>
  </r>
  <r>
    <x v="1194"/>
    <x v="3"/>
    <x v="1"/>
    <x v="1"/>
    <x v="40"/>
    <n v="31"/>
    <x v="2"/>
    <x v="1"/>
    <x v="1192"/>
    <x v="1192"/>
    <x v="1"/>
    <x v="1194"/>
    <n v="8329928"/>
    <x v="4"/>
    <n v="0"/>
  </r>
  <r>
    <x v="1195"/>
    <x v="5"/>
    <x v="2"/>
    <x v="2"/>
    <x v="35"/>
    <n v="29"/>
    <x v="3"/>
    <x v="0"/>
    <x v="1193"/>
    <x v="1193"/>
    <x v="0"/>
    <x v="1195"/>
    <n v="7779117"/>
    <x v="16"/>
    <n v="0"/>
  </r>
  <r>
    <x v="1196"/>
    <x v="6"/>
    <x v="1"/>
    <x v="1"/>
    <x v="38"/>
    <n v="43"/>
    <x v="0"/>
    <x v="1"/>
    <x v="1194"/>
    <x v="1194"/>
    <x v="1"/>
    <x v="1196"/>
    <n v="4062425"/>
    <x v="26"/>
    <n v="0"/>
  </r>
  <r>
    <x v="1197"/>
    <x v="4"/>
    <x v="23"/>
    <x v="23"/>
    <x v="23"/>
    <n v="32"/>
    <x v="0"/>
    <x v="0"/>
    <x v="1195"/>
    <x v="1195"/>
    <x v="1"/>
    <x v="1197"/>
    <n v="5872823"/>
    <x v="17"/>
    <n v="0"/>
  </r>
  <r>
    <x v="1198"/>
    <x v="0"/>
    <x v="4"/>
    <x v="4"/>
    <x v="26"/>
    <n v="42"/>
    <x v="1"/>
    <x v="0"/>
    <x v="1196"/>
    <x v="1196"/>
    <x v="1"/>
    <x v="1198"/>
    <n v="8438154"/>
    <x v="0"/>
    <n v="0"/>
  </r>
  <r>
    <x v="1199"/>
    <x v="3"/>
    <x v="1"/>
    <x v="1"/>
    <x v="29"/>
    <n v="13"/>
    <x v="1"/>
    <x v="0"/>
    <x v="1197"/>
    <x v="1197"/>
    <x v="2"/>
    <x v="1199"/>
    <n v="672896"/>
    <x v="4"/>
    <n v="0"/>
  </r>
  <r>
    <x v="1200"/>
    <x v="4"/>
    <x v="22"/>
    <x v="22"/>
    <x v="32"/>
    <n v="51"/>
    <x v="0"/>
    <x v="1"/>
    <x v="1198"/>
    <x v="1198"/>
    <x v="1"/>
    <x v="1200"/>
    <n v="8120692"/>
    <x v="19"/>
    <n v="0"/>
  </r>
  <r>
    <x v="1201"/>
    <x v="3"/>
    <x v="5"/>
    <x v="5"/>
    <x v="8"/>
    <n v="57"/>
    <x v="0"/>
    <x v="1"/>
    <x v="1199"/>
    <x v="1199"/>
    <x v="2"/>
    <x v="1201"/>
    <n v="9495512"/>
    <x v="10"/>
    <n v="0"/>
  </r>
  <r>
    <x v="1202"/>
    <x v="2"/>
    <x v="15"/>
    <x v="15"/>
    <x v="26"/>
    <n v="42"/>
    <x v="2"/>
    <x v="1"/>
    <x v="1200"/>
    <x v="1200"/>
    <x v="1"/>
    <x v="1202"/>
    <n v="804613"/>
    <x v="13"/>
    <n v="0"/>
  </r>
  <r>
    <x v="1203"/>
    <x v="1"/>
    <x v="11"/>
    <x v="11"/>
    <x v="18"/>
    <n v="58"/>
    <x v="2"/>
    <x v="1"/>
    <x v="1201"/>
    <x v="1201"/>
    <x v="2"/>
    <x v="1203"/>
    <n v="933019"/>
    <x v="11"/>
    <n v="0"/>
  </r>
  <r>
    <x v="1204"/>
    <x v="2"/>
    <x v="2"/>
    <x v="2"/>
    <x v="10"/>
    <n v="18"/>
    <x v="0"/>
    <x v="1"/>
    <x v="1202"/>
    <x v="1202"/>
    <x v="0"/>
    <x v="1204"/>
    <n v="3772883"/>
    <x v="13"/>
    <n v="0"/>
  </r>
  <r>
    <x v="1205"/>
    <x v="5"/>
    <x v="22"/>
    <x v="22"/>
    <x v="48"/>
    <n v="34"/>
    <x v="3"/>
    <x v="0"/>
    <x v="1203"/>
    <x v="1203"/>
    <x v="0"/>
    <x v="1205"/>
    <n v="1333811"/>
    <x v="15"/>
    <n v="0"/>
  </r>
  <r>
    <x v="1206"/>
    <x v="4"/>
    <x v="13"/>
    <x v="13"/>
    <x v="6"/>
    <n v="40"/>
    <x v="1"/>
    <x v="0"/>
    <x v="1204"/>
    <x v="1204"/>
    <x v="1"/>
    <x v="1206"/>
    <n v="5053123"/>
    <x v="17"/>
    <n v="0"/>
  </r>
  <r>
    <x v="1207"/>
    <x v="5"/>
    <x v="1"/>
    <x v="1"/>
    <x v="14"/>
    <n v="39"/>
    <x v="0"/>
    <x v="1"/>
    <x v="1205"/>
    <x v="1205"/>
    <x v="2"/>
    <x v="1207"/>
    <n v="7422752"/>
    <x v="20"/>
    <n v="0"/>
  </r>
  <r>
    <x v="1208"/>
    <x v="1"/>
    <x v="12"/>
    <x v="12"/>
    <x v="15"/>
    <n v="30"/>
    <x v="3"/>
    <x v="1"/>
    <x v="1206"/>
    <x v="1206"/>
    <x v="0"/>
    <x v="1208"/>
    <n v="5885543"/>
    <x v="1"/>
    <n v="0"/>
  </r>
  <r>
    <x v="1209"/>
    <x v="3"/>
    <x v="5"/>
    <x v="5"/>
    <x v="46"/>
    <n v="27"/>
    <x v="0"/>
    <x v="1"/>
    <x v="1207"/>
    <x v="1207"/>
    <x v="0"/>
    <x v="1209"/>
    <n v="2366103"/>
    <x v="4"/>
    <n v="0"/>
  </r>
  <r>
    <x v="1210"/>
    <x v="1"/>
    <x v="2"/>
    <x v="2"/>
    <x v="44"/>
    <n v="16"/>
    <x v="1"/>
    <x v="0"/>
    <x v="1208"/>
    <x v="1208"/>
    <x v="0"/>
    <x v="1210"/>
    <n v="6720707"/>
    <x v="14"/>
    <n v="0"/>
  </r>
  <r>
    <x v="1211"/>
    <x v="6"/>
    <x v="8"/>
    <x v="8"/>
    <x v="15"/>
    <n v="30"/>
    <x v="1"/>
    <x v="1"/>
    <x v="1209"/>
    <x v="1209"/>
    <x v="0"/>
    <x v="1211"/>
    <n v="7006118"/>
    <x v="26"/>
    <n v="0"/>
  </r>
  <r>
    <x v="1212"/>
    <x v="1"/>
    <x v="14"/>
    <x v="14"/>
    <x v="10"/>
    <n v="18"/>
    <x v="2"/>
    <x v="0"/>
    <x v="1210"/>
    <x v="1210"/>
    <x v="1"/>
    <x v="1212"/>
    <n v="9358237"/>
    <x v="25"/>
    <n v="0"/>
  </r>
  <r>
    <x v="1213"/>
    <x v="6"/>
    <x v="6"/>
    <x v="6"/>
    <x v="11"/>
    <n v="47"/>
    <x v="2"/>
    <x v="0"/>
    <x v="1211"/>
    <x v="1211"/>
    <x v="2"/>
    <x v="1213"/>
    <n v="1894571"/>
    <x v="26"/>
    <n v="0"/>
  </r>
  <r>
    <x v="1214"/>
    <x v="1"/>
    <x v="21"/>
    <x v="21"/>
    <x v="13"/>
    <n v="20"/>
    <x v="2"/>
    <x v="1"/>
    <x v="1212"/>
    <x v="1212"/>
    <x v="0"/>
    <x v="1214"/>
    <n v="7077194"/>
    <x v="1"/>
    <n v="0"/>
  </r>
  <r>
    <x v="1215"/>
    <x v="0"/>
    <x v="17"/>
    <x v="17"/>
    <x v="29"/>
    <n v="13"/>
    <x v="2"/>
    <x v="0"/>
    <x v="1213"/>
    <x v="1213"/>
    <x v="1"/>
    <x v="1215"/>
    <n v="9158559"/>
    <x v="9"/>
    <n v="0"/>
  </r>
  <r>
    <x v="1216"/>
    <x v="6"/>
    <x v="0"/>
    <x v="0"/>
    <x v="45"/>
    <n v="38"/>
    <x v="1"/>
    <x v="0"/>
    <x v="1214"/>
    <x v="1214"/>
    <x v="0"/>
    <x v="1216"/>
    <n v="5264859"/>
    <x v="26"/>
    <n v="0"/>
  </r>
  <r>
    <x v="1217"/>
    <x v="4"/>
    <x v="22"/>
    <x v="22"/>
    <x v="6"/>
    <n v="40"/>
    <x v="3"/>
    <x v="1"/>
    <x v="1215"/>
    <x v="1215"/>
    <x v="0"/>
    <x v="1217"/>
    <n v="3937097"/>
    <x v="17"/>
    <n v="0"/>
  </r>
  <r>
    <x v="1218"/>
    <x v="5"/>
    <x v="18"/>
    <x v="18"/>
    <x v="12"/>
    <n v="54"/>
    <x v="3"/>
    <x v="0"/>
    <x v="1216"/>
    <x v="1216"/>
    <x v="0"/>
    <x v="1218"/>
    <n v="212212"/>
    <x v="15"/>
    <n v="0"/>
  </r>
  <r>
    <x v="1219"/>
    <x v="5"/>
    <x v="8"/>
    <x v="8"/>
    <x v="14"/>
    <n v="39"/>
    <x v="3"/>
    <x v="1"/>
    <x v="1217"/>
    <x v="1217"/>
    <x v="0"/>
    <x v="1219"/>
    <n v="8734475"/>
    <x v="20"/>
    <n v="0"/>
  </r>
  <r>
    <x v="1220"/>
    <x v="2"/>
    <x v="5"/>
    <x v="5"/>
    <x v="46"/>
    <n v="27"/>
    <x v="0"/>
    <x v="0"/>
    <x v="1218"/>
    <x v="1218"/>
    <x v="1"/>
    <x v="1220"/>
    <n v="4245341"/>
    <x v="13"/>
    <n v="0"/>
  </r>
  <r>
    <x v="1221"/>
    <x v="5"/>
    <x v="2"/>
    <x v="2"/>
    <x v="31"/>
    <n v="50"/>
    <x v="2"/>
    <x v="1"/>
    <x v="1219"/>
    <x v="1219"/>
    <x v="2"/>
    <x v="1221"/>
    <n v="9286383"/>
    <x v="20"/>
    <n v="0"/>
  </r>
  <r>
    <x v="1222"/>
    <x v="3"/>
    <x v="9"/>
    <x v="9"/>
    <x v="33"/>
    <n v="37"/>
    <x v="2"/>
    <x v="1"/>
    <x v="1220"/>
    <x v="1220"/>
    <x v="1"/>
    <x v="1222"/>
    <n v="8553704"/>
    <x v="10"/>
    <n v="0"/>
  </r>
  <r>
    <x v="1223"/>
    <x v="0"/>
    <x v="6"/>
    <x v="6"/>
    <x v="30"/>
    <n v="14"/>
    <x v="1"/>
    <x v="0"/>
    <x v="1221"/>
    <x v="1221"/>
    <x v="1"/>
    <x v="1223"/>
    <n v="4078079"/>
    <x v="9"/>
    <n v="0"/>
  </r>
  <r>
    <x v="1224"/>
    <x v="1"/>
    <x v="23"/>
    <x v="23"/>
    <x v="45"/>
    <n v="38"/>
    <x v="1"/>
    <x v="1"/>
    <x v="1222"/>
    <x v="1222"/>
    <x v="1"/>
    <x v="1224"/>
    <n v="5952186"/>
    <x v="14"/>
    <n v="0"/>
  </r>
  <r>
    <x v="1225"/>
    <x v="2"/>
    <x v="22"/>
    <x v="22"/>
    <x v="37"/>
    <n v="55"/>
    <x v="0"/>
    <x v="0"/>
    <x v="1223"/>
    <x v="1223"/>
    <x v="0"/>
    <x v="1225"/>
    <n v="758153"/>
    <x v="6"/>
    <n v="0"/>
  </r>
  <r>
    <x v="1226"/>
    <x v="3"/>
    <x v="2"/>
    <x v="2"/>
    <x v="15"/>
    <n v="30"/>
    <x v="0"/>
    <x v="0"/>
    <x v="1224"/>
    <x v="1224"/>
    <x v="2"/>
    <x v="1226"/>
    <n v="3000603"/>
    <x v="8"/>
    <n v="0"/>
  </r>
  <r>
    <x v="1227"/>
    <x v="3"/>
    <x v="22"/>
    <x v="22"/>
    <x v="41"/>
    <n v="25"/>
    <x v="3"/>
    <x v="1"/>
    <x v="1225"/>
    <x v="1225"/>
    <x v="0"/>
    <x v="1227"/>
    <n v="7247592"/>
    <x v="10"/>
    <n v="0"/>
  </r>
  <r>
    <x v="1228"/>
    <x v="6"/>
    <x v="21"/>
    <x v="21"/>
    <x v="47"/>
    <n v="17"/>
    <x v="1"/>
    <x v="0"/>
    <x v="1226"/>
    <x v="1226"/>
    <x v="1"/>
    <x v="1228"/>
    <n v="6940154"/>
    <x v="24"/>
    <n v="0"/>
  </r>
  <r>
    <x v="1229"/>
    <x v="5"/>
    <x v="21"/>
    <x v="21"/>
    <x v="10"/>
    <n v="18"/>
    <x v="2"/>
    <x v="1"/>
    <x v="1227"/>
    <x v="1227"/>
    <x v="0"/>
    <x v="1229"/>
    <n v="385701"/>
    <x v="15"/>
    <n v="0"/>
  </r>
  <r>
    <x v="1230"/>
    <x v="4"/>
    <x v="17"/>
    <x v="17"/>
    <x v="23"/>
    <n v="32"/>
    <x v="3"/>
    <x v="0"/>
    <x v="1228"/>
    <x v="1228"/>
    <x v="2"/>
    <x v="1230"/>
    <n v="8181776"/>
    <x v="19"/>
    <n v="0"/>
  </r>
  <r>
    <x v="1231"/>
    <x v="4"/>
    <x v="10"/>
    <x v="10"/>
    <x v="6"/>
    <n v="40"/>
    <x v="2"/>
    <x v="0"/>
    <x v="1229"/>
    <x v="1229"/>
    <x v="2"/>
    <x v="1231"/>
    <n v="2740442"/>
    <x v="19"/>
    <n v="0"/>
  </r>
  <r>
    <x v="1232"/>
    <x v="2"/>
    <x v="22"/>
    <x v="22"/>
    <x v="30"/>
    <n v="14"/>
    <x v="3"/>
    <x v="1"/>
    <x v="1230"/>
    <x v="1230"/>
    <x v="0"/>
    <x v="1232"/>
    <n v="488207"/>
    <x v="2"/>
    <n v="0"/>
  </r>
  <r>
    <x v="1233"/>
    <x v="0"/>
    <x v="2"/>
    <x v="2"/>
    <x v="8"/>
    <n v="57"/>
    <x v="2"/>
    <x v="0"/>
    <x v="1231"/>
    <x v="1231"/>
    <x v="1"/>
    <x v="1233"/>
    <n v="4989041"/>
    <x v="23"/>
    <n v="0"/>
  </r>
  <r>
    <x v="1234"/>
    <x v="4"/>
    <x v="20"/>
    <x v="20"/>
    <x v="43"/>
    <n v="48"/>
    <x v="0"/>
    <x v="0"/>
    <x v="1232"/>
    <x v="1232"/>
    <x v="0"/>
    <x v="1234"/>
    <n v="3737759"/>
    <x v="22"/>
    <n v="0"/>
  </r>
  <r>
    <x v="1235"/>
    <x v="1"/>
    <x v="22"/>
    <x v="22"/>
    <x v="14"/>
    <n v="39"/>
    <x v="3"/>
    <x v="0"/>
    <x v="1233"/>
    <x v="1233"/>
    <x v="1"/>
    <x v="1235"/>
    <n v="9569328"/>
    <x v="1"/>
    <n v="0"/>
  </r>
  <r>
    <x v="1236"/>
    <x v="4"/>
    <x v="8"/>
    <x v="8"/>
    <x v="32"/>
    <n v="51"/>
    <x v="2"/>
    <x v="0"/>
    <x v="1234"/>
    <x v="1234"/>
    <x v="2"/>
    <x v="1236"/>
    <n v="7118498"/>
    <x v="7"/>
    <n v="0"/>
  </r>
  <r>
    <x v="1237"/>
    <x v="2"/>
    <x v="13"/>
    <x v="13"/>
    <x v="30"/>
    <n v="14"/>
    <x v="2"/>
    <x v="0"/>
    <x v="1235"/>
    <x v="1235"/>
    <x v="0"/>
    <x v="1237"/>
    <n v="5622394"/>
    <x v="6"/>
    <n v="0"/>
  </r>
  <r>
    <x v="1238"/>
    <x v="4"/>
    <x v="16"/>
    <x v="16"/>
    <x v="48"/>
    <n v="34"/>
    <x v="1"/>
    <x v="0"/>
    <x v="1236"/>
    <x v="1236"/>
    <x v="2"/>
    <x v="1238"/>
    <n v="5349893"/>
    <x v="19"/>
    <n v="0"/>
  </r>
  <r>
    <x v="1239"/>
    <x v="1"/>
    <x v="0"/>
    <x v="0"/>
    <x v="26"/>
    <n v="42"/>
    <x v="3"/>
    <x v="0"/>
    <x v="1237"/>
    <x v="1237"/>
    <x v="1"/>
    <x v="1239"/>
    <n v="2013313"/>
    <x v="14"/>
    <n v="0"/>
  </r>
  <r>
    <x v="1240"/>
    <x v="6"/>
    <x v="16"/>
    <x v="16"/>
    <x v="32"/>
    <n v="51"/>
    <x v="2"/>
    <x v="0"/>
    <x v="1238"/>
    <x v="1238"/>
    <x v="1"/>
    <x v="1240"/>
    <n v="4035776"/>
    <x v="26"/>
    <n v="0"/>
  </r>
  <r>
    <x v="1241"/>
    <x v="0"/>
    <x v="3"/>
    <x v="3"/>
    <x v="39"/>
    <n v="49"/>
    <x v="1"/>
    <x v="1"/>
    <x v="1239"/>
    <x v="1239"/>
    <x v="0"/>
    <x v="1241"/>
    <n v="6891346"/>
    <x v="3"/>
    <n v="0"/>
  </r>
  <r>
    <x v="1242"/>
    <x v="2"/>
    <x v="23"/>
    <x v="23"/>
    <x v="5"/>
    <n v="24"/>
    <x v="2"/>
    <x v="0"/>
    <x v="1240"/>
    <x v="1240"/>
    <x v="0"/>
    <x v="1242"/>
    <n v="9283417"/>
    <x v="2"/>
    <n v="0"/>
  </r>
  <r>
    <x v="1243"/>
    <x v="6"/>
    <x v="9"/>
    <x v="9"/>
    <x v="8"/>
    <n v="57"/>
    <x v="3"/>
    <x v="0"/>
    <x v="1241"/>
    <x v="1241"/>
    <x v="0"/>
    <x v="1243"/>
    <n v="8256409"/>
    <x v="24"/>
    <n v="0"/>
  </r>
  <r>
    <x v="1244"/>
    <x v="6"/>
    <x v="2"/>
    <x v="2"/>
    <x v="44"/>
    <n v="16"/>
    <x v="0"/>
    <x v="1"/>
    <x v="1242"/>
    <x v="1242"/>
    <x v="2"/>
    <x v="1244"/>
    <n v="3353703"/>
    <x v="18"/>
    <n v="0"/>
  </r>
  <r>
    <x v="1245"/>
    <x v="6"/>
    <x v="7"/>
    <x v="7"/>
    <x v="12"/>
    <n v="54"/>
    <x v="3"/>
    <x v="1"/>
    <x v="1243"/>
    <x v="1243"/>
    <x v="1"/>
    <x v="1245"/>
    <n v="4622588"/>
    <x v="18"/>
    <n v="0"/>
  </r>
  <r>
    <x v="1246"/>
    <x v="3"/>
    <x v="6"/>
    <x v="6"/>
    <x v="21"/>
    <n v="59"/>
    <x v="3"/>
    <x v="1"/>
    <x v="1244"/>
    <x v="1244"/>
    <x v="1"/>
    <x v="1246"/>
    <n v="1287716"/>
    <x v="10"/>
    <n v="0"/>
  </r>
  <r>
    <x v="1247"/>
    <x v="0"/>
    <x v="6"/>
    <x v="6"/>
    <x v="20"/>
    <n v="19"/>
    <x v="2"/>
    <x v="0"/>
    <x v="1245"/>
    <x v="1245"/>
    <x v="2"/>
    <x v="1247"/>
    <n v="1470637"/>
    <x v="9"/>
    <n v="0"/>
  </r>
  <r>
    <x v="1248"/>
    <x v="5"/>
    <x v="19"/>
    <x v="19"/>
    <x v="25"/>
    <n v="46"/>
    <x v="2"/>
    <x v="1"/>
    <x v="1246"/>
    <x v="1246"/>
    <x v="0"/>
    <x v="1248"/>
    <n v="4967189"/>
    <x v="20"/>
    <n v="0"/>
  </r>
  <r>
    <x v="1249"/>
    <x v="0"/>
    <x v="16"/>
    <x v="16"/>
    <x v="50"/>
    <n v="12"/>
    <x v="3"/>
    <x v="1"/>
    <x v="1247"/>
    <x v="1247"/>
    <x v="0"/>
    <x v="1249"/>
    <n v="5537084"/>
    <x v="0"/>
    <n v="0"/>
  </r>
  <r>
    <x v="1250"/>
    <x v="3"/>
    <x v="5"/>
    <x v="5"/>
    <x v="15"/>
    <n v="30"/>
    <x v="1"/>
    <x v="0"/>
    <x v="1248"/>
    <x v="1248"/>
    <x v="2"/>
    <x v="1250"/>
    <n v="3008257"/>
    <x v="4"/>
    <n v="0"/>
  </r>
  <r>
    <x v="1251"/>
    <x v="5"/>
    <x v="19"/>
    <x v="19"/>
    <x v="34"/>
    <n v="36"/>
    <x v="1"/>
    <x v="0"/>
    <x v="1249"/>
    <x v="1249"/>
    <x v="1"/>
    <x v="1251"/>
    <n v="6606436"/>
    <x v="12"/>
    <n v="0"/>
  </r>
  <r>
    <x v="1252"/>
    <x v="0"/>
    <x v="23"/>
    <x v="23"/>
    <x v="14"/>
    <n v="39"/>
    <x v="1"/>
    <x v="1"/>
    <x v="1250"/>
    <x v="1250"/>
    <x v="1"/>
    <x v="1252"/>
    <n v="7182117"/>
    <x v="23"/>
    <n v="0"/>
  </r>
  <r>
    <x v="1253"/>
    <x v="6"/>
    <x v="3"/>
    <x v="3"/>
    <x v="8"/>
    <n v="57"/>
    <x v="2"/>
    <x v="1"/>
    <x v="1251"/>
    <x v="1251"/>
    <x v="1"/>
    <x v="1253"/>
    <n v="3341603"/>
    <x v="24"/>
    <n v="0"/>
  </r>
  <r>
    <x v="1254"/>
    <x v="2"/>
    <x v="18"/>
    <x v="18"/>
    <x v="1"/>
    <n v="44"/>
    <x v="2"/>
    <x v="0"/>
    <x v="1252"/>
    <x v="1252"/>
    <x v="1"/>
    <x v="1254"/>
    <n v="7705035"/>
    <x v="13"/>
    <n v="0"/>
  </r>
  <r>
    <x v="1255"/>
    <x v="5"/>
    <x v="6"/>
    <x v="6"/>
    <x v="48"/>
    <n v="34"/>
    <x v="3"/>
    <x v="0"/>
    <x v="1253"/>
    <x v="1253"/>
    <x v="2"/>
    <x v="1255"/>
    <n v="2453247"/>
    <x v="20"/>
    <n v="0"/>
  </r>
  <r>
    <x v="1256"/>
    <x v="1"/>
    <x v="22"/>
    <x v="22"/>
    <x v="31"/>
    <n v="50"/>
    <x v="0"/>
    <x v="0"/>
    <x v="1254"/>
    <x v="1254"/>
    <x v="1"/>
    <x v="1256"/>
    <n v="5670388"/>
    <x v="14"/>
    <n v="0"/>
  </r>
  <r>
    <x v="1257"/>
    <x v="1"/>
    <x v="22"/>
    <x v="22"/>
    <x v="18"/>
    <n v="58"/>
    <x v="2"/>
    <x v="0"/>
    <x v="1255"/>
    <x v="1255"/>
    <x v="2"/>
    <x v="1257"/>
    <n v="814067"/>
    <x v="1"/>
    <n v="0"/>
  </r>
  <r>
    <x v="1258"/>
    <x v="4"/>
    <x v="21"/>
    <x v="21"/>
    <x v="16"/>
    <n v="11"/>
    <x v="3"/>
    <x v="0"/>
    <x v="1256"/>
    <x v="1256"/>
    <x v="0"/>
    <x v="1258"/>
    <n v="5601586"/>
    <x v="7"/>
    <n v="0"/>
  </r>
  <r>
    <x v="1259"/>
    <x v="5"/>
    <x v="23"/>
    <x v="23"/>
    <x v="21"/>
    <n v="59"/>
    <x v="3"/>
    <x v="1"/>
    <x v="1257"/>
    <x v="1257"/>
    <x v="2"/>
    <x v="1259"/>
    <n v="9125646"/>
    <x v="12"/>
    <n v="0"/>
  </r>
  <r>
    <x v="1260"/>
    <x v="2"/>
    <x v="0"/>
    <x v="0"/>
    <x v="30"/>
    <n v="14"/>
    <x v="0"/>
    <x v="0"/>
    <x v="1258"/>
    <x v="1258"/>
    <x v="1"/>
    <x v="1260"/>
    <n v="1055762"/>
    <x v="6"/>
    <n v="0"/>
  </r>
  <r>
    <x v="1261"/>
    <x v="3"/>
    <x v="10"/>
    <x v="10"/>
    <x v="32"/>
    <n v="51"/>
    <x v="1"/>
    <x v="0"/>
    <x v="1259"/>
    <x v="1259"/>
    <x v="0"/>
    <x v="1261"/>
    <n v="6088982"/>
    <x v="10"/>
    <n v="0"/>
  </r>
  <r>
    <x v="1262"/>
    <x v="6"/>
    <x v="8"/>
    <x v="8"/>
    <x v="5"/>
    <n v="24"/>
    <x v="3"/>
    <x v="0"/>
    <x v="1260"/>
    <x v="1260"/>
    <x v="2"/>
    <x v="1262"/>
    <n v="5836677"/>
    <x v="18"/>
    <n v="0"/>
  </r>
  <r>
    <x v="1263"/>
    <x v="4"/>
    <x v="18"/>
    <x v="18"/>
    <x v="47"/>
    <n v="17"/>
    <x v="3"/>
    <x v="0"/>
    <x v="1261"/>
    <x v="1261"/>
    <x v="2"/>
    <x v="1263"/>
    <n v="6773357"/>
    <x v="17"/>
    <n v="0"/>
  </r>
  <r>
    <x v="1264"/>
    <x v="1"/>
    <x v="17"/>
    <x v="17"/>
    <x v="23"/>
    <n v="32"/>
    <x v="3"/>
    <x v="0"/>
    <x v="1262"/>
    <x v="1262"/>
    <x v="2"/>
    <x v="1264"/>
    <n v="8417365"/>
    <x v="25"/>
    <n v="0"/>
  </r>
  <r>
    <x v="1265"/>
    <x v="3"/>
    <x v="15"/>
    <x v="15"/>
    <x v="26"/>
    <n v="42"/>
    <x v="1"/>
    <x v="1"/>
    <x v="1263"/>
    <x v="1263"/>
    <x v="0"/>
    <x v="1265"/>
    <n v="7395604"/>
    <x v="27"/>
    <n v="0"/>
  </r>
  <r>
    <x v="1266"/>
    <x v="3"/>
    <x v="13"/>
    <x v="13"/>
    <x v="35"/>
    <n v="29"/>
    <x v="1"/>
    <x v="0"/>
    <x v="1264"/>
    <x v="1264"/>
    <x v="2"/>
    <x v="1266"/>
    <n v="8007686"/>
    <x v="4"/>
    <n v="0"/>
  </r>
  <r>
    <x v="1267"/>
    <x v="6"/>
    <x v="12"/>
    <x v="12"/>
    <x v="29"/>
    <n v="13"/>
    <x v="0"/>
    <x v="1"/>
    <x v="1265"/>
    <x v="1265"/>
    <x v="1"/>
    <x v="1267"/>
    <n v="3243759"/>
    <x v="24"/>
    <n v="0"/>
  </r>
  <r>
    <x v="1268"/>
    <x v="5"/>
    <x v="17"/>
    <x v="17"/>
    <x v="6"/>
    <n v="40"/>
    <x v="2"/>
    <x v="0"/>
    <x v="1266"/>
    <x v="1266"/>
    <x v="0"/>
    <x v="1268"/>
    <n v="4181225"/>
    <x v="20"/>
    <n v="0"/>
  </r>
  <r>
    <x v="1269"/>
    <x v="1"/>
    <x v="3"/>
    <x v="3"/>
    <x v="37"/>
    <n v="55"/>
    <x v="1"/>
    <x v="1"/>
    <x v="1267"/>
    <x v="1267"/>
    <x v="0"/>
    <x v="1269"/>
    <n v="6454381"/>
    <x v="11"/>
    <n v="0"/>
  </r>
  <r>
    <x v="1270"/>
    <x v="2"/>
    <x v="20"/>
    <x v="20"/>
    <x v="35"/>
    <n v="29"/>
    <x v="2"/>
    <x v="1"/>
    <x v="1268"/>
    <x v="1268"/>
    <x v="2"/>
    <x v="1270"/>
    <n v="5757884"/>
    <x v="2"/>
    <n v="0"/>
  </r>
  <r>
    <x v="1271"/>
    <x v="3"/>
    <x v="3"/>
    <x v="3"/>
    <x v="28"/>
    <n v="21"/>
    <x v="2"/>
    <x v="0"/>
    <x v="1269"/>
    <x v="1269"/>
    <x v="1"/>
    <x v="1271"/>
    <n v="9630487"/>
    <x v="10"/>
    <n v="0"/>
  </r>
  <r>
    <x v="1272"/>
    <x v="6"/>
    <x v="2"/>
    <x v="2"/>
    <x v="23"/>
    <n v="32"/>
    <x v="1"/>
    <x v="0"/>
    <x v="1270"/>
    <x v="1270"/>
    <x v="0"/>
    <x v="1272"/>
    <n v="2274928"/>
    <x v="24"/>
    <n v="0"/>
  </r>
  <r>
    <x v="1273"/>
    <x v="2"/>
    <x v="12"/>
    <x v="12"/>
    <x v="50"/>
    <n v="12"/>
    <x v="3"/>
    <x v="0"/>
    <x v="1271"/>
    <x v="1271"/>
    <x v="2"/>
    <x v="1273"/>
    <n v="3837145"/>
    <x v="2"/>
    <n v="0"/>
  </r>
  <r>
    <x v="1274"/>
    <x v="5"/>
    <x v="12"/>
    <x v="12"/>
    <x v="32"/>
    <n v="51"/>
    <x v="0"/>
    <x v="0"/>
    <x v="1272"/>
    <x v="1272"/>
    <x v="1"/>
    <x v="1274"/>
    <n v="5941175"/>
    <x v="20"/>
    <n v="0"/>
  </r>
  <r>
    <x v="1275"/>
    <x v="1"/>
    <x v="22"/>
    <x v="22"/>
    <x v="32"/>
    <n v="51"/>
    <x v="2"/>
    <x v="0"/>
    <x v="1273"/>
    <x v="1273"/>
    <x v="2"/>
    <x v="1275"/>
    <n v="8745656"/>
    <x v="11"/>
    <n v="0"/>
  </r>
  <r>
    <x v="1276"/>
    <x v="5"/>
    <x v="1"/>
    <x v="1"/>
    <x v="14"/>
    <n v="39"/>
    <x v="3"/>
    <x v="1"/>
    <x v="1274"/>
    <x v="1274"/>
    <x v="2"/>
    <x v="1276"/>
    <n v="9328811"/>
    <x v="15"/>
    <n v="0"/>
  </r>
  <r>
    <x v="1277"/>
    <x v="3"/>
    <x v="5"/>
    <x v="5"/>
    <x v="36"/>
    <n v="28"/>
    <x v="1"/>
    <x v="0"/>
    <x v="1275"/>
    <x v="1275"/>
    <x v="0"/>
    <x v="1277"/>
    <n v="3692345"/>
    <x v="4"/>
    <n v="0"/>
  </r>
  <r>
    <x v="1278"/>
    <x v="2"/>
    <x v="20"/>
    <x v="20"/>
    <x v="31"/>
    <n v="50"/>
    <x v="2"/>
    <x v="0"/>
    <x v="1276"/>
    <x v="1276"/>
    <x v="0"/>
    <x v="1278"/>
    <n v="113753"/>
    <x v="2"/>
    <n v="0"/>
  </r>
  <r>
    <x v="1279"/>
    <x v="2"/>
    <x v="17"/>
    <x v="17"/>
    <x v="45"/>
    <n v="38"/>
    <x v="2"/>
    <x v="1"/>
    <x v="1277"/>
    <x v="1277"/>
    <x v="2"/>
    <x v="1279"/>
    <n v="4505387"/>
    <x v="13"/>
    <n v="0"/>
  </r>
  <r>
    <x v="1280"/>
    <x v="2"/>
    <x v="6"/>
    <x v="6"/>
    <x v="32"/>
    <n v="51"/>
    <x v="2"/>
    <x v="0"/>
    <x v="1278"/>
    <x v="1278"/>
    <x v="0"/>
    <x v="1280"/>
    <n v="4246269"/>
    <x v="6"/>
    <n v="0"/>
  </r>
  <r>
    <x v="1281"/>
    <x v="3"/>
    <x v="1"/>
    <x v="1"/>
    <x v="26"/>
    <n v="42"/>
    <x v="3"/>
    <x v="1"/>
    <x v="1279"/>
    <x v="1279"/>
    <x v="0"/>
    <x v="1281"/>
    <n v="9871627"/>
    <x v="8"/>
    <n v="0"/>
  </r>
  <r>
    <x v="1282"/>
    <x v="3"/>
    <x v="14"/>
    <x v="14"/>
    <x v="39"/>
    <n v="49"/>
    <x v="3"/>
    <x v="0"/>
    <x v="1280"/>
    <x v="1280"/>
    <x v="1"/>
    <x v="1282"/>
    <n v="4595082"/>
    <x v="4"/>
    <n v="0"/>
  </r>
  <r>
    <x v="1283"/>
    <x v="5"/>
    <x v="5"/>
    <x v="5"/>
    <x v="6"/>
    <n v="40"/>
    <x v="3"/>
    <x v="1"/>
    <x v="1281"/>
    <x v="1281"/>
    <x v="1"/>
    <x v="1283"/>
    <n v="3404368"/>
    <x v="20"/>
    <n v="0"/>
  </r>
  <r>
    <x v="1284"/>
    <x v="4"/>
    <x v="1"/>
    <x v="1"/>
    <x v="40"/>
    <n v="31"/>
    <x v="2"/>
    <x v="0"/>
    <x v="1282"/>
    <x v="1282"/>
    <x v="2"/>
    <x v="1284"/>
    <n v="3971085"/>
    <x v="19"/>
    <n v="0"/>
  </r>
  <r>
    <x v="1285"/>
    <x v="5"/>
    <x v="21"/>
    <x v="21"/>
    <x v="18"/>
    <n v="58"/>
    <x v="2"/>
    <x v="1"/>
    <x v="1283"/>
    <x v="1283"/>
    <x v="2"/>
    <x v="1285"/>
    <n v="427080"/>
    <x v="20"/>
    <n v="0"/>
  </r>
  <r>
    <x v="1286"/>
    <x v="1"/>
    <x v="13"/>
    <x v="13"/>
    <x v="33"/>
    <n v="37"/>
    <x v="0"/>
    <x v="1"/>
    <x v="1284"/>
    <x v="1284"/>
    <x v="2"/>
    <x v="1286"/>
    <n v="8304634"/>
    <x v="1"/>
    <n v="0"/>
  </r>
  <r>
    <x v="1287"/>
    <x v="6"/>
    <x v="11"/>
    <x v="11"/>
    <x v="6"/>
    <n v="40"/>
    <x v="0"/>
    <x v="0"/>
    <x v="1285"/>
    <x v="1285"/>
    <x v="2"/>
    <x v="1287"/>
    <n v="1269641"/>
    <x v="24"/>
    <n v="0"/>
  </r>
  <r>
    <x v="1288"/>
    <x v="2"/>
    <x v="21"/>
    <x v="21"/>
    <x v="28"/>
    <n v="21"/>
    <x v="3"/>
    <x v="0"/>
    <x v="1286"/>
    <x v="1286"/>
    <x v="1"/>
    <x v="1288"/>
    <n v="3506817"/>
    <x v="5"/>
    <n v="0"/>
  </r>
  <r>
    <x v="1289"/>
    <x v="4"/>
    <x v="20"/>
    <x v="20"/>
    <x v="3"/>
    <n v="41"/>
    <x v="3"/>
    <x v="0"/>
    <x v="1287"/>
    <x v="1287"/>
    <x v="0"/>
    <x v="1289"/>
    <n v="9680026"/>
    <x v="7"/>
    <n v="0"/>
  </r>
  <r>
    <x v="1290"/>
    <x v="6"/>
    <x v="3"/>
    <x v="3"/>
    <x v="14"/>
    <n v="39"/>
    <x v="1"/>
    <x v="1"/>
    <x v="1288"/>
    <x v="1288"/>
    <x v="1"/>
    <x v="1290"/>
    <n v="1954474"/>
    <x v="24"/>
    <n v="0"/>
  </r>
  <r>
    <x v="1291"/>
    <x v="4"/>
    <x v="15"/>
    <x v="15"/>
    <x v="20"/>
    <n v="19"/>
    <x v="3"/>
    <x v="1"/>
    <x v="1289"/>
    <x v="1289"/>
    <x v="2"/>
    <x v="1291"/>
    <n v="7554713"/>
    <x v="19"/>
    <n v="0"/>
  </r>
  <r>
    <x v="1292"/>
    <x v="0"/>
    <x v="23"/>
    <x v="23"/>
    <x v="29"/>
    <n v="13"/>
    <x v="0"/>
    <x v="1"/>
    <x v="1290"/>
    <x v="1290"/>
    <x v="2"/>
    <x v="1292"/>
    <n v="3885738"/>
    <x v="0"/>
    <n v="0"/>
  </r>
  <r>
    <x v="1293"/>
    <x v="5"/>
    <x v="20"/>
    <x v="20"/>
    <x v="6"/>
    <n v="40"/>
    <x v="0"/>
    <x v="0"/>
    <x v="1291"/>
    <x v="1291"/>
    <x v="1"/>
    <x v="1293"/>
    <n v="6026962"/>
    <x v="12"/>
    <n v="0"/>
  </r>
  <r>
    <x v="1294"/>
    <x v="3"/>
    <x v="3"/>
    <x v="3"/>
    <x v="43"/>
    <n v="48"/>
    <x v="0"/>
    <x v="0"/>
    <x v="1292"/>
    <x v="1292"/>
    <x v="1"/>
    <x v="1294"/>
    <n v="1445706"/>
    <x v="8"/>
    <n v="0"/>
  </r>
  <r>
    <x v="1295"/>
    <x v="2"/>
    <x v="10"/>
    <x v="10"/>
    <x v="34"/>
    <n v="36"/>
    <x v="2"/>
    <x v="1"/>
    <x v="1293"/>
    <x v="1293"/>
    <x v="2"/>
    <x v="1295"/>
    <n v="3410911"/>
    <x v="2"/>
    <n v="0"/>
  </r>
  <r>
    <x v="1296"/>
    <x v="5"/>
    <x v="8"/>
    <x v="8"/>
    <x v="28"/>
    <n v="21"/>
    <x v="2"/>
    <x v="0"/>
    <x v="1294"/>
    <x v="1294"/>
    <x v="0"/>
    <x v="1296"/>
    <n v="5258217"/>
    <x v="12"/>
    <n v="0"/>
  </r>
  <r>
    <x v="1297"/>
    <x v="6"/>
    <x v="10"/>
    <x v="10"/>
    <x v="38"/>
    <n v="43"/>
    <x v="3"/>
    <x v="1"/>
    <x v="1295"/>
    <x v="1295"/>
    <x v="2"/>
    <x v="1297"/>
    <n v="2701156"/>
    <x v="24"/>
    <n v="0"/>
  </r>
  <r>
    <x v="1298"/>
    <x v="0"/>
    <x v="13"/>
    <x v="13"/>
    <x v="30"/>
    <n v="14"/>
    <x v="1"/>
    <x v="0"/>
    <x v="1296"/>
    <x v="1296"/>
    <x v="1"/>
    <x v="1298"/>
    <n v="5647764"/>
    <x v="3"/>
    <n v="0"/>
  </r>
  <r>
    <x v="1299"/>
    <x v="0"/>
    <x v="22"/>
    <x v="22"/>
    <x v="23"/>
    <n v="32"/>
    <x v="1"/>
    <x v="0"/>
    <x v="1297"/>
    <x v="1297"/>
    <x v="2"/>
    <x v="1299"/>
    <n v="2587713"/>
    <x v="0"/>
    <n v="0"/>
  </r>
  <r>
    <x v="1300"/>
    <x v="0"/>
    <x v="18"/>
    <x v="18"/>
    <x v="10"/>
    <n v="18"/>
    <x v="1"/>
    <x v="1"/>
    <x v="1298"/>
    <x v="1298"/>
    <x v="2"/>
    <x v="1300"/>
    <n v="6675955"/>
    <x v="0"/>
    <n v="0"/>
  </r>
  <r>
    <x v="1301"/>
    <x v="6"/>
    <x v="17"/>
    <x v="17"/>
    <x v="20"/>
    <n v="19"/>
    <x v="2"/>
    <x v="0"/>
    <x v="1299"/>
    <x v="1299"/>
    <x v="0"/>
    <x v="1301"/>
    <n v="9091366"/>
    <x v="26"/>
    <n v="0"/>
  </r>
  <r>
    <x v="1302"/>
    <x v="6"/>
    <x v="13"/>
    <x v="13"/>
    <x v="13"/>
    <n v="20"/>
    <x v="0"/>
    <x v="0"/>
    <x v="1300"/>
    <x v="1300"/>
    <x v="2"/>
    <x v="1302"/>
    <n v="1312142"/>
    <x v="21"/>
    <n v="0"/>
  </r>
  <r>
    <x v="1303"/>
    <x v="6"/>
    <x v="14"/>
    <x v="14"/>
    <x v="35"/>
    <n v="29"/>
    <x v="0"/>
    <x v="0"/>
    <x v="1301"/>
    <x v="1301"/>
    <x v="2"/>
    <x v="1303"/>
    <n v="2557852"/>
    <x v="18"/>
    <n v="0"/>
  </r>
  <r>
    <x v="1304"/>
    <x v="6"/>
    <x v="14"/>
    <x v="14"/>
    <x v="29"/>
    <n v="13"/>
    <x v="2"/>
    <x v="0"/>
    <x v="1302"/>
    <x v="1302"/>
    <x v="2"/>
    <x v="1304"/>
    <n v="8522019"/>
    <x v="21"/>
    <n v="0"/>
  </r>
  <r>
    <x v="1305"/>
    <x v="0"/>
    <x v="20"/>
    <x v="20"/>
    <x v="15"/>
    <n v="30"/>
    <x v="1"/>
    <x v="0"/>
    <x v="1303"/>
    <x v="1303"/>
    <x v="1"/>
    <x v="1305"/>
    <n v="6499758"/>
    <x v="9"/>
    <n v="0"/>
  </r>
  <r>
    <x v="1306"/>
    <x v="0"/>
    <x v="7"/>
    <x v="7"/>
    <x v="34"/>
    <n v="36"/>
    <x v="1"/>
    <x v="1"/>
    <x v="1304"/>
    <x v="1304"/>
    <x v="1"/>
    <x v="1306"/>
    <n v="1247735"/>
    <x v="23"/>
    <n v="0"/>
  </r>
  <r>
    <x v="1307"/>
    <x v="4"/>
    <x v="0"/>
    <x v="0"/>
    <x v="48"/>
    <n v="34"/>
    <x v="3"/>
    <x v="0"/>
    <x v="1305"/>
    <x v="1305"/>
    <x v="0"/>
    <x v="1307"/>
    <n v="5120326"/>
    <x v="17"/>
    <n v="0"/>
  </r>
  <r>
    <x v="1308"/>
    <x v="5"/>
    <x v="3"/>
    <x v="3"/>
    <x v="35"/>
    <n v="29"/>
    <x v="3"/>
    <x v="1"/>
    <x v="1306"/>
    <x v="1306"/>
    <x v="2"/>
    <x v="1308"/>
    <n v="2492706"/>
    <x v="20"/>
    <n v="0"/>
  </r>
  <r>
    <x v="1309"/>
    <x v="2"/>
    <x v="14"/>
    <x v="14"/>
    <x v="19"/>
    <n v="52"/>
    <x v="1"/>
    <x v="0"/>
    <x v="1307"/>
    <x v="1307"/>
    <x v="1"/>
    <x v="1309"/>
    <n v="2391416"/>
    <x v="5"/>
    <n v="0"/>
  </r>
  <r>
    <x v="1310"/>
    <x v="3"/>
    <x v="17"/>
    <x v="17"/>
    <x v="47"/>
    <n v="17"/>
    <x v="2"/>
    <x v="0"/>
    <x v="1308"/>
    <x v="1308"/>
    <x v="0"/>
    <x v="1310"/>
    <n v="9436131"/>
    <x v="10"/>
    <n v="0"/>
  </r>
  <r>
    <x v="1311"/>
    <x v="0"/>
    <x v="1"/>
    <x v="1"/>
    <x v="42"/>
    <n v="35"/>
    <x v="1"/>
    <x v="1"/>
    <x v="1309"/>
    <x v="1309"/>
    <x v="2"/>
    <x v="1311"/>
    <n v="7734645"/>
    <x v="9"/>
    <n v="0"/>
  </r>
  <r>
    <x v="1312"/>
    <x v="3"/>
    <x v="4"/>
    <x v="4"/>
    <x v="29"/>
    <n v="13"/>
    <x v="3"/>
    <x v="1"/>
    <x v="1310"/>
    <x v="1310"/>
    <x v="0"/>
    <x v="1312"/>
    <n v="7114191"/>
    <x v="8"/>
    <n v="0"/>
  </r>
  <r>
    <x v="1313"/>
    <x v="5"/>
    <x v="18"/>
    <x v="18"/>
    <x v="30"/>
    <n v="14"/>
    <x v="1"/>
    <x v="0"/>
    <x v="1311"/>
    <x v="1311"/>
    <x v="0"/>
    <x v="1313"/>
    <n v="2769824"/>
    <x v="16"/>
    <n v="0"/>
  </r>
  <r>
    <x v="1314"/>
    <x v="5"/>
    <x v="15"/>
    <x v="15"/>
    <x v="14"/>
    <n v="39"/>
    <x v="2"/>
    <x v="0"/>
    <x v="1312"/>
    <x v="1312"/>
    <x v="0"/>
    <x v="1314"/>
    <n v="1626448"/>
    <x v="12"/>
    <n v="0"/>
  </r>
  <r>
    <x v="1315"/>
    <x v="3"/>
    <x v="0"/>
    <x v="0"/>
    <x v="45"/>
    <n v="38"/>
    <x v="0"/>
    <x v="1"/>
    <x v="1313"/>
    <x v="1313"/>
    <x v="0"/>
    <x v="1315"/>
    <n v="877291"/>
    <x v="27"/>
    <n v="0"/>
  </r>
  <r>
    <x v="1316"/>
    <x v="0"/>
    <x v="23"/>
    <x v="23"/>
    <x v="12"/>
    <n v="54"/>
    <x v="2"/>
    <x v="1"/>
    <x v="1314"/>
    <x v="1314"/>
    <x v="0"/>
    <x v="1316"/>
    <n v="555856"/>
    <x v="3"/>
    <n v="0"/>
  </r>
  <r>
    <x v="1317"/>
    <x v="3"/>
    <x v="17"/>
    <x v="17"/>
    <x v="45"/>
    <n v="38"/>
    <x v="2"/>
    <x v="1"/>
    <x v="1315"/>
    <x v="1315"/>
    <x v="0"/>
    <x v="1317"/>
    <n v="4186916"/>
    <x v="10"/>
    <n v="0"/>
  </r>
  <r>
    <x v="1318"/>
    <x v="4"/>
    <x v="2"/>
    <x v="2"/>
    <x v="18"/>
    <n v="58"/>
    <x v="3"/>
    <x v="1"/>
    <x v="1316"/>
    <x v="1316"/>
    <x v="0"/>
    <x v="1318"/>
    <n v="3137319"/>
    <x v="7"/>
    <n v="0"/>
  </r>
  <r>
    <x v="1319"/>
    <x v="1"/>
    <x v="23"/>
    <x v="23"/>
    <x v="50"/>
    <n v="12"/>
    <x v="2"/>
    <x v="0"/>
    <x v="1317"/>
    <x v="1317"/>
    <x v="2"/>
    <x v="1319"/>
    <n v="5918574"/>
    <x v="14"/>
    <n v="0"/>
  </r>
  <r>
    <x v="1320"/>
    <x v="0"/>
    <x v="16"/>
    <x v="16"/>
    <x v="9"/>
    <n v="15"/>
    <x v="2"/>
    <x v="0"/>
    <x v="1318"/>
    <x v="1318"/>
    <x v="2"/>
    <x v="1320"/>
    <n v="287983"/>
    <x v="9"/>
    <n v="0"/>
  </r>
  <r>
    <x v="1321"/>
    <x v="0"/>
    <x v="15"/>
    <x v="15"/>
    <x v="50"/>
    <n v="12"/>
    <x v="3"/>
    <x v="0"/>
    <x v="1319"/>
    <x v="1319"/>
    <x v="0"/>
    <x v="1321"/>
    <n v="3456451"/>
    <x v="9"/>
    <n v="0"/>
  </r>
  <r>
    <x v="1322"/>
    <x v="2"/>
    <x v="5"/>
    <x v="5"/>
    <x v="20"/>
    <n v="19"/>
    <x v="3"/>
    <x v="0"/>
    <x v="1320"/>
    <x v="1320"/>
    <x v="2"/>
    <x v="1322"/>
    <n v="8575379"/>
    <x v="13"/>
    <n v="0"/>
  </r>
  <r>
    <x v="1323"/>
    <x v="6"/>
    <x v="8"/>
    <x v="8"/>
    <x v="33"/>
    <n v="37"/>
    <x v="0"/>
    <x v="0"/>
    <x v="1321"/>
    <x v="1321"/>
    <x v="0"/>
    <x v="1323"/>
    <n v="6230294"/>
    <x v="18"/>
    <n v="0"/>
  </r>
  <r>
    <x v="1324"/>
    <x v="1"/>
    <x v="0"/>
    <x v="0"/>
    <x v="26"/>
    <n v="42"/>
    <x v="1"/>
    <x v="1"/>
    <x v="1322"/>
    <x v="1322"/>
    <x v="2"/>
    <x v="1324"/>
    <n v="1883984"/>
    <x v="25"/>
    <n v="0"/>
  </r>
  <r>
    <x v="1325"/>
    <x v="5"/>
    <x v="15"/>
    <x v="15"/>
    <x v="50"/>
    <n v="12"/>
    <x v="2"/>
    <x v="1"/>
    <x v="1323"/>
    <x v="1323"/>
    <x v="1"/>
    <x v="1325"/>
    <n v="740148"/>
    <x v="12"/>
    <n v="0"/>
  </r>
  <r>
    <x v="1326"/>
    <x v="0"/>
    <x v="14"/>
    <x v="14"/>
    <x v="8"/>
    <n v="57"/>
    <x v="3"/>
    <x v="1"/>
    <x v="1324"/>
    <x v="1324"/>
    <x v="0"/>
    <x v="1326"/>
    <n v="2470862"/>
    <x v="3"/>
    <n v="0"/>
  </r>
  <r>
    <x v="1327"/>
    <x v="3"/>
    <x v="0"/>
    <x v="0"/>
    <x v="19"/>
    <n v="52"/>
    <x v="0"/>
    <x v="0"/>
    <x v="1325"/>
    <x v="1325"/>
    <x v="1"/>
    <x v="1327"/>
    <n v="4613547"/>
    <x v="4"/>
    <n v="0"/>
  </r>
  <r>
    <x v="1328"/>
    <x v="1"/>
    <x v="2"/>
    <x v="2"/>
    <x v="41"/>
    <n v="25"/>
    <x v="1"/>
    <x v="1"/>
    <x v="1326"/>
    <x v="1326"/>
    <x v="0"/>
    <x v="1328"/>
    <n v="6642769"/>
    <x v="11"/>
    <n v="0"/>
  </r>
  <r>
    <x v="1329"/>
    <x v="2"/>
    <x v="0"/>
    <x v="0"/>
    <x v="30"/>
    <n v="14"/>
    <x v="3"/>
    <x v="0"/>
    <x v="1327"/>
    <x v="1327"/>
    <x v="0"/>
    <x v="1329"/>
    <n v="3083331"/>
    <x v="5"/>
    <n v="0"/>
  </r>
  <r>
    <x v="1330"/>
    <x v="5"/>
    <x v="17"/>
    <x v="17"/>
    <x v="10"/>
    <n v="18"/>
    <x v="1"/>
    <x v="0"/>
    <x v="715"/>
    <x v="715"/>
    <x v="1"/>
    <x v="1330"/>
    <n v="4149015"/>
    <x v="12"/>
    <n v="0"/>
  </r>
  <r>
    <x v="1331"/>
    <x v="6"/>
    <x v="9"/>
    <x v="9"/>
    <x v="44"/>
    <n v="16"/>
    <x v="1"/>
    <x v="0"/>
    <x v="1328"/>
    <x v="1328"/>
    <x v="1"/>
    <x v="1331"/>
    <n v="7474421"/>
    <x v="26"/>
    <n v="0"/>
  </r>
  <r>
    <x v="1332"/>
    <x v="6"/>
    <x v="5"/>
    <x v="5"/>
    <x v="44"/>
    <n v="16"/>
    <x v="2"/>
    <x v="1"/>
    <x v="1329"/>
    <x v="1329"/>
    <x v="1"/>
    <x v="1332"/>
    <n v="9410154"/>
    <x v="21"/>
    <n v="0"/>
  </r>
  <r>
    <x v="1333"/>
    <x v="2"/>
    <x v="18"/>
    <x v="18"/>
    <x v="34"/>
    <n v="36"/>
    <x v="2"/>
    <x v="0"/>
    <x v="1330"/>
    <x v="1330"/>
    <x v="0"/>
    <x v="1333"/>
    <n v="5527828"/>
    <x v="6"/>
    <n v="0"/>
  </r>
  <r>
    <x v="1334"/>
    <x v="2"/>
    <x v="11"/>
    <x v="11"/>
    <x v="27"/>
    <n v="22"/>
    <x v="3"/>
    <x v="0"/>
    <x v="1331"/>
    <x v="1331"/>
    <x v="1"/>
    <x v="1334"/>
    <n v="594724"/>
    <x v="2"/>
    <n v="0"/>
  </r>
  <r>
    <x v="1335"/>
    <x v="3"/>
    <x v="6"/>
    <x v="6"/>
    <x v="36"/>
    <n v="28"/>
    <x v="1"/>
    <x v="1"/>
    <x v="1332"/>
    <x v="1332"/>
    <x v="1"/>
    <x v="1335"/>
    <n v="3715406"/>
    <x v="27"/>
    <n v="0"/>
  </r>
  <r>
    <x v="1336"/>
    <x v="0"/>
    <x v="6"/>
    <x v="6"/>
    <x v="21"/>
    <n v="59"/>
    <x v="3"/>
    <x v="0"/>
    <x v="1333"/>
    <x v="1333"/>
    <x v="2"/>
    <x v="1336"/>
    <n v="4287026"/>
    <x v="0"/>
    <n v="0"/>
  </r>
  <r>
    <x v="1337"/>
    <x v="6"/>
    <x v="0"/>
    <x v="0"/>
    <x v="1"/>
    <n v="44"/>
    <x v="3"/>
    <x v="1"/>
    <x v="1334"/>
    <x v="1334"/>
    <x v="2"/>
    <x v="1337"/>
    <n v="3722149"/>
    <x v="26"/>
    <n v="0"/>
  </r>
  <r>
    <x v="1338"/>
    <x v="5"/>
    <x v="4"/>
    <x v="4"/>
    <x v="8"/>
    <n v="57"/>
    <x v="1"/>
    <x v="0"/>
    <x v="1335"/>
    <x v="1335"/>
    <x v="1"/>
    <x v="1338"/>
    <n v="4644554"/>
    <x v="16"/>
    <n v="0"/>
  </r>
  <r>
    <x v="1339"/>
    <x v="1"/>
    <x v="9"/>
    <x v="9"/>
    <x v="47"/>
    <n v="17"/>
    <x v="3"/>
    <x v="1"/>
    <x v="1336"/>
    <x v="1336"/>
    <x v="1"/>
    <x v="1339"/>
    <n v="6510329"/>
    <x v="1"/>
    <n v="0"/>
  </r>
  <r>
    <x v="1340"/>
    <x v="5"/>
    <x v="20"/>
    <x v="20"/>
    <x v="35"/>
    <n v="29"/>
    <x v="1"/>
    <x v="0"/>
    <x v="1337"/>
    <x v="1337"/>
    <x v="1"/>
    <x v="1340"/>
    <n v="1650716"/>
    <x v="16"/>
    <n v="0"/>
  </r>
  <r>
    <x v="1341"/>
    <x v="4"/>
    <x v="22"/>
    <x v="22"/>
    <x v="45"/>
    <n v="38"/>
    <x v="1"/>
    <x v="0"/>
    <x v="1338"/>
    <x v="1338"/>
    <x v="1"/>
    <x v="1341"/>
    <n v="308999"/>
    <x v="22"/>
    <n v="0"/>
  </r>
  <r>
    <x v="1342"/>
    <x v="4"/>
    <x v="22"/>
    <x v="22"/>
    <x v="30"/>
    <n v="14"/>
    <x v="1"/>
    <x v="1"/>
    <x v="1339"/>
    <x v="1339"/>
    <x v="2"/>
    <x v="1342"/>
    <n v="5322657"/>
    <x v="7"/>
    <n v="0"/>
  </r>
  <r>
    <x v="1343"/>
    <x v="2"/>
    <x v="8"/>
    <x v="8"/>
    <x v="22"/>
    <n v="10"/>
    <x v="1"/>
    <x v="0"/>
    <x v="1340"/>
    <x v="1340"/>
    <x v="0"/>
    <x v="1343"/>
    <n v="3497946"/>
    <x v="13"/>
    <n v="0"/>
  </r>
  <r>
    <x v="1344"/>
    <x v="3"/>
    <x v="19"/>
    <x v="19"/>
    <x v="1"/>
    <n v="44"/>
    <x v="0"/>
    <x v="1"/>
    <x v="1341"/>
    <x v="1341"/>
    <x v="1"/>
    <x v="1344"/>
    <n v="9915311"/>
    <x v="10"/>
    <n v="0"/>
  </r>
  <r>
    <x v="1345"/>
    <x v="4"/>
    <x v="0"/>
    <x v="0"/>
    <x v="26"/>
    <n v="42"/>
    <x v="1"/>
    <x v="0"/>
    <x v="1342"/>
    <x v="1342"/>
    <x v="1"/>
    <x v="1345"/>
    <n v="4598599"/>
    <x v="17"/>
    <n v="0"/>
  </r>
  <r>
    <x v="1346"/>
    <x v="6"/>
    <x v="22"/>
    <x v="22"/>
    <x v="40"/>
    <n v="31"/>
    <x v="2"/>
    <x v="1"/>
    <x v="1343"/>
    <x v="1343"/>
    <x v="2"/>
    <x v="1346"/>
    <n v="8763092"/>
    <x v="18"/>
    <n v="0"/>
  </r>
  <r>
    <x v="1347"/>
    <x v="5"/>
    <x v="0"/>
    <x v="0"/>
    <x v="48"/>
    <n v="34"/>
    <x v="2"/>
    <x v="0"/>
    <x v="1344"/>
    <x v="1344"/>
    <x v="1"/>
    <x v="1347"/>
    <n v="9016843"/>
    <x v="16"/>
    <n v="0"/>
  </r>
  <r>
    <x v="1348"/>
    <x v="5"/>
    <x v="8"/>
    <x v="8"/>
    <x v="40"/>
    <n v="31"/>
    <x v="2"/>
    <x v="0"/>
    <x v="1345"/>
    <x v="1345"/>
    <x v="1"/>
    <x v="1348"/>
    <n v="8442066"/>
    <x v="12"/>
    <n v="0"/>
  </r>
  <r>
    <x v="1349"/>
    <x v="2"/>
    <x v="6"/>
    <x v="6"/>
    <x v="16"/>
    <n v="11"/>
    <x v="1"/>
    <x v="0"/>
    <x v="1346"/>
    <x v="1346"/>
    <x v="2"/>
    <x v="1349"/>
    <n v="945533"/>
    <x v="5"/>
    <n v="0"/>
  </r>
  <r>
    <x v="1350"/>
    <x v="0"/>
    <x v="1"/>
    <x v="1"/>
    <x v="46"/>
    <n v="27"/>
    <x v="2"/>
    <x v="1"/>
    <x v="1347"/>
    <x v="1347"/>
    <x v="1"/>
    <x v="1350"/>
    <n v="9503594"/>
    <x v="3"/>
    <n v="0"/>
  </r>
  <r>
    <x v="1351"/>
    <x v="0"/>
    <x v="11"/>
    <x v="11"/>
    <x v="20"/>
    <n v="19"/>
    <x v="0"/>
    <x v="1"/>
    <x v="1348"/>
    <x v="1348"/>
    <x v="1"/>
    <x v="1351"/>
    <n v="1723054"/>
    <x v="3"/>
    <n v="0"/>
  </r>
  <r>
    <x v="1352"/>
    <x v="1"/>
    <x v="13"/>
    <x v="13"/>
    <x v="9"/>
    <n v="15"/>
    <x v="3"/>
    <x v="1"/>
    <x v="1349"/>
    <x v="1349"/>
    <x v="2"/>
    <x v="1352"/>
    <n v="826834"/>
    <x v="14"/>
    <n v="0"/>
  </r>
  <r>
    <x v="1353"/>
    <x v="2"/>
    <x v="22"/>
    <x v="22"/>
    <x v="18"/>
    <n v="58"/>
    <x v="1"/>
    <x v="1"/>
    <x v="1350"/>
    <x v="1350"/>
    <x v="0"/>
    <x v="1353"/>
    <n v="4436511"/>
    <x v="5"/>
    <n v="0"/>
  </r>
  <r>
    <x v="1354"/>
    <x v="1"/>
    <x v="11"/>
    <x v="11"/>
    <x v="6"/>
    <n v="40"/>
    <x v="2"/>
    <x v="1"/>
    <x v="1351"/>
    <x v="1351"/>
    <x v="1"/>
    <x v="1354"/>
    <n v="2349023"/>
    <x v="14"/>
    <n v="0"/>
  </r>
  <r>
    <x v="1355"/>
    <x v="0"/>
    <x v="15"/>
    <x v="15"/>
    <x v="25"/>
    <n v="46"/>
    <x v="0"/>
    <x v="0"/>
    <x v="1352"/>
    <x v="1352"/>
    <x v="1"/>
    <x v="1355"/>
    <n v="2249867"/>
    <x v="23"/>
    <n v="0"/>
  </r>
  <r>
    <x v="1356"/>
    <x v="2"/>
    <x v="9"/>
    <x v="9"/>
    <x v="4"/>
    <n v="26"/>
    <x v="3"/>
    <x v="0"/>
    <x v="1353"/>
    <x v="1353"/>
    <x v="0"/>
    <x v="1356"/>
    <n v="3234286"/>
    <x v="5"/>
    <n v="0"/>
  </r>
  <r>
    <x v="1357"/>
    <x v="2"/>
    <x v="2"/>
    <x v="2"/>
    <x v="15"/>
    <n v="30"/>
    <x v="0"/>
    <x v="0"/>
    <x v="1354"/>
    <x v="1354"/>
    <x v="2"/>
    <x v="1357"/>
    <n v="2859853"/>
    <x v="5"/>
    <n v="0"/>
  </r>
  <r>
    <x v="1358"/>
    <x v="2"/>
    <x v="1"/>
    <x v="1"/>
    <x v="27"/>
    <n v="22"/>
    <x v="2"/>
    <x v="0"/>
    <x v="1355"/>
    <x v="1355"/>
    <x v="0"/>
    <x v="1358"/>
    <n v="7005556"/>
    <x v="5"/>
    <n v="0"/>
  </r>
  <r>
    <x v="1359"/>
    <x v="0"/>
    <x v="9"/>
    <x v="9"/>
    <x v="9"/>
    <n v="15"/>
    <x v="0"/>
    <x v="0"/>
    <x v="1356"/>
    <x v="1356"/>
    <x v="1"/>
    <x v="1359"/>
    <n v="2274384"/>
    <x v="23"/>
    <n v="0"/>
  </r>
  <r>
    <x v="1360"/>
    <x v="1"/>
    <x v="15"/>
    <x v="15"/>
    <x v="20"/>
    <n v="19"/>
    <x v="3"/>
    <x v="1"/>
    <x v="1357"/>
    <x v="1357"/>
    <x v="0"/>
    <x v="1360"/>
    <n v="5659624"/>
    <x v="25"/>
    <n v="0"/>
  </r>
  <r>
    <x v="1361"/>
    <x v="1"/>
    <x v="2"/>
    <x v="2"/>
    <x v="31"/>
    <n v="50"/>
    <x v="2"/>
    <x v="0"/>
    <x v="1358"/>
    <x v="1358"/>
    <x v="2"/>
    <x v="1361"/>
    <n v="9871052"/>
    <x v="14"/>
    <n v="0"/>
  </r>
  <r>
    <x v="1362"/>
    <x v="2"/>
    <x v="15"/>
    <x v="15"/>
    <x v="1"/>
    <n v="44"/>
    <x v="3"/>
    <x v="1"/>
    <x v="1359"/>
    <x v="1359"/>
    <x v="1"/>
    <x v="1362"/>
    <n v="4607633"/>
    <x v="6"/>
    <n v="0"/>
  </r>
  <r>
    <x v="1363"/>
    <x v="4"/>
    <x v="18"/>
    <x v="18"/>
    <x v="33"/>
    <n v="37"/>
    <x v="0"/>
    <x v="0"/>
    <x v="1360"/>
    <x v="1360"/>
    <x v="2"/>
    <x v="1363"/>
    <n v="6597795"/>
    <x v="22"/>
    <n v="0"/>
  </r>
  <r>
    <x v="1364"/>
    <x v="3"/>
    <x v="17"/>
    <x v="17"/>
    <x v="48"/>
    <n v="34"/>
    <x v="1"/>
    <x v="1"/>
    <x v="1361"/>
    <x v="1361"/>
    <x v="2"/>
    <x v="1364"/>
    <n v="9709031"/>
    <x v="27"/>
    <n v="0"/>
  </r>
  <r>
    <x v="1365"/>
    <x v="0"/>
    <x v="3"/>
    <x v="3"/>
    <x v="24"/>
    <n v="56"/>
    <x v="1"/>
    <x v="1"/>
    <x v="1362"/>
    <x v="1362"/>
    <x v="0"/>
    <x v="1365"/>
    <n v="180757"/>
    <x v="3"/>
    <n v="0"/>
  </r>
  <r>
    <x v="1366"/>
    <x v="3"/>
    <x v="1"/>
    <x v="1"/>
    <x v="30"/>
    <n v="14"/>
    <x v="1"/>
    <x v="1"/>
    <x v="1363"/>
    <x v="1363"/>
    <x v="0"/>
    <x v="1366"/>
    <n v="4476767"/>
    <x v="4"/>
    <n v="0"/>
  </r>
  <r>
    <x v="1367"/>
    <x v="3"/>
    <x v="3"/>
    <x v="3"/>
    <x v="5"/>
    <n v="24"/>
    <x v="1"/>
    <x v="0"/>
    <x v="1364"/>
    <x v="1364"/>
    <x v="2"/>
    <x v="1367"/>
    <n v="8576828"/>
    <x v="4"/>
    <n v="0"/>
  </r>
  <r>
    <x v="1368"/>
    <x v="1"/>
    <x v="17"/>
    <x v="17"/>
    <x v="46"/>
    <n v="27"/>
    <x v="3"/>
    <x v="0"/>
    <x v="1365"/>
    <x v="1365"/>
    <x v="2"/>
    <x v="1368"/>
    <n v="9356904"/>
    <x v="14"/>
    <n v="0"/>
  </r>
  <r>
    <x v="1369"/>
    <x v="1"/>
    <x v="17"/>
    <x v="17"/>
    <x v="39"/>
    <n v="49"/>
    <x v="1"/>
    <x v="0"/>
    <x v="1366"/>
    <x v="1366"/>
    <x v="1"/>
    <x v="1369"/>
    <n v="6211743"/>
    <x v="14"/>
    <n v="0"/>
  </r>
  <r>
    <x v="1370"/>
    <x v="4"/>
    <x v="6"/>
    <x v="6"/>
    <x v="49"/>
    <n v="60"/>
    <x v="3"/>
    <x v="0"/>
    <x v="1367"/>
    <x v="1367"/>
    <x v="2"/>
    <x v="1370"/>
    <n v="1862496"/>
    <x v="19"/>
    <n v="0"/>
  </r>
  <r>
    <x v="1371"/>
    <x v="3"/>
    <x v="15"/>
    <x v="15"/>
    <x v="27"/>
    <n v="22"/>
    <x v="2"/>
    <x v="1"/>
    <x v="1368"/>
    <x v="1368"/>
    <x v="2"/>
    <x v="1371"/>
    <n v="906398"/>
    <x v="27"/>
    <n v="0"/>
  </r>
  <r>
    <x v="1372"/>
    <x v="3"/>
    <x v="3"/>
    <x v="3"/>
    <x v="12"/>
    <n v="54"/>
    <x v="1"/>
    <x v="1"/>
    <x v="1369"/>
    <x v="1369"/>
    <x v="0"/>
    <x v="1372"/>
    <n v="2157242"/>
    <x v="10"/>
    <n v="0"/>
  </r>
  <r>
    <x v="1373"/>
    <x v="2"/>
    <x v="16"/>
    <x v="16"/>
    <x v="19"/>
    <n v="52"/>
    <x v="3"/>
    <x v="1"/>
    <x v="1370"/>
    <x v="1370"/>
    <x v="2"/>
    <x v="1373"/>
    <n v="385234"/>
    <x v="13"/>
    <n v="0"/>
  </r>
  <r>
    <x v="1374"/>
    <x v="1"/>
    <x v="18"/>
    <x v="18"/>
    <x v="28"/>
    <n v="21"/>
    <x v="1"/>
    <x v="1"/>
    <x v="1371"/>
    <x v="1371"/>
    <x v="2"/>
    <x v="1374"/>
    <n v="4067326"/>
    <x v="1"/>
    <n v="0"/>
  </r>
  <r>
    <x v="1375"/>
    <x v="3"/>
    <x v="15"/>
    <x v="15"/>
    <x v="15"/>
    <n v="30"/>
    <x v="1"/>
    <x v="0"/>
    <x v="1372"/>
    <x v="1372"/>
    <x v="0"/>
    <x v="1375"/>
    <n v="474927"/>
    <x v="4"/>
    <n v="0"/>
  </r>
  <r>
    <x v="1376"/>
    <x v="5"/>
    <x v="11"/>
    <x v="11"/>
    <x v="15"/>
    <n v="30"/>
    <x v="1"/>
    <x v="1"/>
    <x v="1373"/>
    <x v="1373"/>
    <x v="1"/>
    <x v="1376"/>
    <n v="8006575"/>
    <x v="20"/>
    <n v="0"/>
  </r>
  <r>
    <x v="1377"/>
    <x v="4"/>
    <x v="19"/>
    <x v="19"/>
    <x v="21"/>
    <n v="59"/>
    <x v="3"/>
    <x v="0"/>
    <x v="1374"/>
    <x v="1374"/>
    <x v="0"/>
    <x v="1377"/>
    <n v="8120372"/>
    <x v="22"/>
    <n v="0"/>
  </r>
  <r>
    <x v="1378"/>
    <x v="5"/>
    <x v="17"/>
    <x v="17"/>
    <x v="20"/>
    <n v="19"/>
    <x v="0"/>
    <x v="1"/>
    <x v="1375"/>
    <x v="1375"/>
    <x v="0"/>
    <x v="1378"/>
    <n v="7336723"/>
    <x v="12"/>
    <n v="0"/>
  </r>
  <r>
    <x v="1379"/>
    <x v="5"/>
    <x v="2"/>
    <x v="2"/>
    <x v="31"/>
    <n v="50"/>
    <x v="1"/>
    <x v="1"/>
    <x v="1376"/>
    <x v="1376"/>
    <x v="2"/>
    <x v="1379"/>
    <n v="710222"/>
    <x v="12"/>
    <n v="0"/>
  </r>
  <r>
    <x v="1380"/>
    <x v="0"/>
    <x v="13"/>
    <x v="13"/>
    <x v="46"/>
    <n v="27"/>
    <x v="1"/>
    <x v="1"/>
    <x v="1377"/>
    <x v="1377"/>
    <x v="2"/>
    <x v="1380"/>
    <n v="5866028"/>
    <x v="9"/>
    <n v="0"/>
  </r>
  <r>
    <x v="1381"/>
    <x v="0"/>
    <x v="15"/>
    <x v="15"/>
    <x v="11"/>
    <n v="47"/>
    <x v="2"/>
    <x v="0"/>
    <x v="1378"/>
    <x v="1378"/>
    <x v="1"/>
    <x v="1381"/>
    <n v="7601183"/>
    <x v="3"/>
    <n v="0"/>
  </r>
  <r>
    <x v="1382"/>
    <x v="4"/>
    <x v="12"/>
    <x v="12"/>
    <x v="40"/>
    <n v="31"/>
    <x v="0"/>
    <x v="0"/>
    <x v="1379"/>
    <x v="1379"/>
    <x v="2"/>
    <x v="1382"/>
    <n v="472394"/>
    <x v="17"/>
    <n v="0"/>
  </r>
  <r>
    <x v="1383"/>
    <x v="5"/>
    <x v="13"/>
    <x v="13"/>
    <x v="14"/>
    <n v="39"/>
    <x v="3"/>
    <x v="1"/>
    <x v="1380"/>
    <x v="1380"/>
    <x v="1"/>
    <x v="1383"/>
    <n v="9476892"/>
    <x v="12"/>
    <n v="0"/>
  </r>
  <r>
    <x v="1384"/>
    <x v="3"/>
    <x v="0"/>
    <x v="0"/>
    <x v="19"/>
    <n v="52"/>
    <x v="2"/>
    <x v="1"/>
    <x v="1381"/>
    <x v="1381"/>
    <x v="1"/>
    <x v="1384"/>
    <n v="832620"/>
    <x v="27"/>
    <n v="0"/>
  </r>
  <r>
    <x v="1385"/>
    <x v="1"/>
    <x v="12"/>
    <x v="12"/>
    <x v="31"/>
    <n v="50"/>
    <x v="1"/>
    <x v="1"/>
    <x v="1382"/>
    <x v="1382"/>
    <x v="1"/>
    <x v="1385"/>
    <n v="6562473"/>
    <x v="25"/>
    <n v="0"/>
  </r>
  <r>
    <x v="1386"/>
    <x v="4"/>
    <x v="5"/>
    <x v="5"/>
    <x v="7"/>
    <n v="53"/>
    <x v="2"/>
    <x v="0"/>
    <x v="1383"/>
    <x v="1383"/>
    <x v="1"/>
    <x v="1386"/>
    <n v="1093039"/>
    <x v="17"/>
    <n v="0"/>
  </r>
  <r>
    <x v="1387"/>
    <x v="2"/>
    <x v="7"/>
    <x v="7"/>
    <x v="29"/>
    <n v="13"/>
    <x v="2"/>
    <x v="0"/>
    <x v="1384"/>
    <x v="1384"/>
    <x v="2"/>
    <x v="1387"/>
    <n v="6697289"/>
    <x v="6"/>
    <n v="0"/>
  </r>
  <r>
    <x v="1388"/>
    <x v="5"/>
    <x v="7"/>
    <x v="7"/>
    <x v="2"/>
    <n v="45"/>
    <x v="1"/>
    <x v="0"/>
    <x v="1385"/>
    <x v="1385"/>
    <x v="0"/>
    <x v="1388"/>
    <n v="9160006"/>
    <x v="15"/>
    <n v="0"/>
  </r>
  <r>
    <x v="1389"/>
    <x v="4"/>
    <x v="10"/>
    <x v="10"/>
    <x v="47"/>
    <n v="17"/>
    <x v="0"/>
    <x v="1"/>
    <x v="1386"/>
    <x v="1386"/>
    <x v="0"/>
    <x v="1389"/>
    <n v="4104731"/>
    <x v="7"/>
    <n v="0"/>
  </r>
  <r>
    <x v="1390"/>
    <x v="6"/>
    <x v="21"/>
    <x v="21"/>
    <x v="40"/>
    <n v="31"/>
    <x v="0"/>
    <x v="0"/>
    <x v="1387"/>
    <x v="1387"/>
    <x v="2"/>
    <x v="1390"/>
    <n v="8462259"/>
    <x v="24"/>
    <n v="0"/>
  </r>
  <r>
    <x v="1391"/>
    <x v="6"/>
    <x v="18"/>
    <x v="18"/>
    <x v="33"/>
    <n v="37"/>
    <x v="2"/>
    <x v="1"/>
    <x v="1388"/>
    <x v="1388"/>
    <x v="2"/>
    <x v="1391"/>
    <n v="3475031"/>
    <x v="21"/>
    <n v="0"/>
  </r>
  <r>
    <x v="1392"/>
    <x v="0"/>
    <x v="21"/>
    <x v="21"/>
    <x v="15"/>
    <n v="30"/>
    <x v="1"/>
    <x v="0"/>
    <x v="1389"/>
    <x v="1389"/>
    <x v="1"/>
    <x v="1392"/>
    <n v="5915981"/>
    <x v="0"/>
    <n v="0"/>
  </r>
  <r>
    <x v="1393"/>
    <x v="1"/>
    <x v="7"/>
    <x v="7"/>
    <x v="34"/>
    <n v="36"/>
    <x v="3"/>
    <x v="1"/>
    <x v="1390"/>
    <x v="1390"/>
    <x v="2"/>
    <x v="1393"/>
    <n v="6660032"/>
    <x v="11"/>
    <n v="0"/>
  </r>
  <r>
    <x v="1394"/>
    <x v="3"/>
    <x v="19"/>
    <x v="19"/>
    <x v="49"/>
    <n v="60"/>
    <x v="2"/>
    <x v="1"/>
    <x v="1391"/>
    <x v="1391"/>
    <x v="0"/>
    <x v="1394"/>
    <n v="6940953"/>
    <x v="27"/>
    <n v="0"/>
  </r>
  <r>
    <x v="1395"/>
    <x v="1"/>
    <x v="1"/>
    <x v="1"/>
    <x v="47"/>
    <n v="17"/>
    <x v="3"/>
    <x v="0"/>
    <x v="1392"/>
    <x v="1392"/>
    <x v="2"/>
    <x v="1395"/>
    <n v="8884218"/>
    <x v="25"/>
    <n v="0"/>
  </r>
  <r>
    <x v="1396"/>
    <x v="1"/>
    <x v="12"/>
    <x v="12"/>
    <x v="1"/>
    <n v="44"/>
    <x v="2"/>
    <x v="1"/>
    <x v="1393"/>
    <x v="1393"/>
    <x v="2"/>
    <x v="1396"/>
    <n v="2728912"/>
    <x v="11"/>
    <n v="0"/>
  </r>
  <r>
    <x v="1397"/>
    <x v="1"/>
    <x v="17"/>
    <x v="17"/>
    <x v="15"/>
    <n v="30"/>
    <x v="2"/>
    <x v="1"/>
    <x v="1394"/>
    <x v="1394"/>
    <x v="1"/>
    <x v="1397"/>
    <n v="2992511"/>
    <x v="14"/>
    <n v="0"/>
  </r>
  <r>
    <x v="1398"/>
    <x v="1"/>
    <x v="5"/>
    <x v="5"/>
    <x v="47"/>
    <n v="17"/>
    <x v="1"/>
    <x v="1"/>
    <x v="1395"/>
    <x v="1395"/>
    <x v="1"/>
    <x v="1398"/>
    <n v="7188389"/>
    <x v="1"/>
    <n v="0"/>
  </r>
  <r>
    <x v="1399"/>
    <x v="2"/>
    <x v="0"/>
    <x v="0"/>
    <x v="10"/>
    <n v="18"/>
    <x v="1"/>
    <x v="0"/>
    <x v="1396"/>
    <x v="1396"/>
    <x v="1"/>
    <x v="1399"/>
    <n v="2183341"/>
    <x v="5"/>
    <n v="0"/>
  </r>
  <r>
    <x v="1400"/>
    <x v="2"/>
    <x v="18"/>
    <x v="18"/>
    <x v="8"/>
    <n v="57"/>
    <x v="3"/>
    <x v="1"/>
    <x v="1397"/>
    <x v="1397"/>
    <x v="1"/>
    <x v="1400"/>
    <n v="4910569"/>
    <x v="6"/>
    <n v="0"/>
  </r>
  <r>
    <x v="1401"/>
    <x v="0"/>
    <x v="3"/>
    <x v="3"/>
    <x v="12"/>
    <n v="54"/>
    <x v="3"/>
    <x v="0"/>
    <x v="1398"/>
    <x v="1398"/>
    <x v="0"/>
    <x v="1401"/>
    <n v="690327"/>
    <x v="3"/>
    <n v="0"/>
  </r>
  <r>
    <x v="1402"/>
    <x v="4"/>
    <x v="1"/>
    <x v="1"/>
    <x v="37"/>
    <n v="55"/>
    <x v="0"/>
    <x v="0"/>
    <x v="1399"/>
    <x v="1399"/>
    <x v="2"/>
    <x v="1402"/>
    <n v="1839304"/>
    <x v="7"/>
    <n v="0"/>
  </r>
  <r>
    <x v="1403"/>
    <x v="6"/>
    <x v="12"/>
    <x v="12"/>
    <x v="49"/>
    <n v="60"/>
    <x v="1"/>
    <x v="1"/>
    <x v="1400"/>
    <x v="1400"/>
    <x v="2"/>
    <x v="1403"/>
    <n v="6949041"/>
    <x v="21"/>
    <n v="0"/>
  </r>
  <r>
    <x v="1404"/>
    <x v="1"/>
    <x v="22"/>
    <x v="22"/>
    <x v="13"/>
    <n v="20"/>
    <x v="2"/>
    <x v="0"/>
    <x v="1401"/>
    <x v="1401"/>
    <x v="1"/>
    <x v="1404"/>
    <n v="7600885"/>
    <x v="25"/>
    <n v="0"/>
  </r>
  <r>
    <x v="1405"/>
    <x v="0"/>
    <x v="11"/>
    <x v="11"/>
    <x v="36"/>
    <n v="28"/>
    <x v="2"/>
    <x v="1"/>
    <x v="1402"/>
    <x v="1402"/>
    <x v="0"/>
    <x v="1405"/>
    <n v="1595531"/>
    <x v="23"/>
    <n v="0"/>
  </r>
  <r>
    <x v="1406"/>
    <x v="4"/>
    <x v="10"/>
    <x v="10"/>
    <x v="38"/>
    <n v="43"/>
    <x v="0"/>
    <x v="0"/>
    <x v="1403"/>
    <x v="1403"/>
    <x v="0"/>
    <x v="1406"/>
    <n v="2663241"/>
    <x v="19"/>
    <n v="0"/>
  </r>
  <r>
    <x v="1407"/>
    <x v="6"/>
    <x v="22"/>
    <x v="22"/>
    <x v="48"/>
    <n v="34"/>
    <x v="1"/>
    <x v="1"/>
    <x v="1404"/>
    <x v="1404"/>
    <x v="2"/>
    <x v="1407"/>
    <n v="1439592"/>
    <x v="21"/>
    <n v="0"/>
  </r>
  <r>
    <x v="1408"/>
    <x v="5"/>
    <x v="4"/>
    <x v="4"/>
    <x v="40"/>
    <n v="31"/>
    <x v="2"/>
    <x v="0"/>
    <x v="1405"/>
    <x v="1405"/>
    <x v="1"/>
    <x v="1408"/>
    <n v="4617422"/>
    <x v="15"/>
    <n v="0"/>
  </r>
  <r>
    <x v="1409"/>
    <x v="3"/>
    <x v="10"/>
    <x v="10"/>
    <x v="36"/>
    <n v="28"/>
    <x v="0"/>
    <x v="1"/>
    <x v="1406"/>
    <x v="1406"/>
    <x v="2"/>
    <x v="1409"/>
    <n v="1698103"/>
    <x v="4"/>
    <n v="0"/>
  </r>
  <r>
    <x v="1410"/>
    <x v="2"/>
    <x v="1"/>
    <x v="1"/>
    <x v="6"/>
    <n v="40"/>
    <x v="0"/>
    <x v="1"/>
    <x v="1407"/>
    <x v="1407"/>
    <x v="2"/>
    <x v="1410"/>
    <n v="4654312"/>
    <x v="5"/>
    <n v="0"/>
  </r>
  <r>
    <x v="1411"/>
    <x v="5"/>
    <x v="9"/>
    <x v="9"/>
    <x v="14"/>
    <n v="39"/>
    <x v="2"/>
    <x v="1"/>
    <x v="1408"/>
    <x v="1408"/>
    <x v="0"/>
    <x v="1411"/>
    <n v="7454933"/>
    <x v="16"/>
    <n v="0"/>
  </r>
  <r>
    <x v="1412"/>
    <x v="6"/>
    <x v="15"/>
    <x v="15"/>
    <x v="10"/>
    <n v="18"/>
    <x v="2"/>
    <x v="1"/>
    <x v="1409"/>
    <x v="1409"/>
    <x v="0"/>
    <x v="1412"/>
    <n v="6992192"/>
    <x v="21"/>
    <n v="0"/>
  </r>
  <r>
    <x v="1413"/>
    <x v="5"/>
    <x v="4"/>
    <x v="4"/>
    <x v="48"/>
    <n v="34"/>
    <x v="3"/>
    <x v="0"/>
    <x v="1410"/>
    <x v="1410"/>
    <x v="2"/>
    <x v="1413"/>
    <n v="3164375"/>
    <x v="16"/>
    <n v="0"/>
  </r>
  <r>
    <x v="1414"/>
    <x v="3"/>
    <x v="2"/>
    <x v="2"/>
    <x v="45"/>
    <n v="38"/>
    <x v="1"/>
    <x v="0"/>
    <x v="1411"/>
    <x v="1411"/>
    <x v="1"/>
    <x v="1414"/>
    <n v="6900744"/>
    <x v="10"/>
    <n v="0"/>
  </r>
  <r>
    <x v="1415"/>
    <x v="0"/>
    <x v="7"/>
    <x v="7"/>
    <x v="14"/>
    <n v="39"/>
    <x v="3"/>
    <x v="1"/>
    <x v="1412"/>
    <x v="1412"/>
    <x v="1"/>
    <x v="1415"/>
    <n v="9313265"/>
    <x v="3"/>
    <n v="0"/>
  </r>
  <r>
    <x v="1416"/>
    <x v="6"/>
    <x v="1"/>
    <x v="1"/>
    <x v="28"/>
    <n v="21"/>
    <x v="0"/>
    <x v="0"/>
    <x v="1413"/>
    <x v="1413"/>
    <x v="2"/>
    <x v="1416"/>
    <n v="3801482"/>
    <x v="21"/>
    <n v="0"/>
  </r>
  <r>
    <x v="1417"/>
    <x v="5"/>
    <x v="20"/>
    <x v="20"/>
    <x v="11"/>
    <n v="47"/>
    <x v="2"/>
    <x v="1"/>
    <x v="1414"/>
    <x v="1414"/>
    <x v="2"/>
    <x v="1417"/>
    <n v="3626632"/>
    <x v="15"/>
    <n v="0"/>
  </r>
  <r>
    <x v="1418"/>
    <x v="2"/>
    <x v="22"/>
    <x v="22"/>
    <x v="16"/>
    <n v="11"/>
    <x v="3"/>
    <x v="1"/>
    <x v="1415"/>
    <x v="1415"/>
    <x v="1"/>
    <x v="1418"/>
    <n v="5928667"/>
    <x v="13"/>
    <n v="0"/>
  </r>
  <r>
    <x v="1419"/>
    <x v="2"/>
    <x v="11"/>
    <x v="11"/>
    <x v="36"/>
    <n v="28"/>
    <x v="0"/>
    <x v="0"/>
    <x v="1416"/>
    <x v="1416"/>
    <x v="1"/>
    <x v="1419"/>
    <n v="2832267"/>
    <x v="2"/>
    <n v="0"/>
  </r>
  <r>
    <x v="1420"/>
    <x v="4"/>
    <x v="23"/>
    <x v="23"/>
    <x v="39"/>
    <n v="49"/>
    <x v="1"/>
    <x v="0"/>
    <x v="1417"/>
    <x v="1417"/>
    <x v="1"/>
    <x v="1420"/>
    <n v="669000"/>
    <x v="19"/>
    <n v="0"/>
  </r>
  <r>
    <x v="1421"/>
    <x v="5"/>
    <x v="5"/>
    <x v="5"/>
    <x v="45"/>
    <n v="38"/>
    <x v="2"/>
    <x v="1"/>
    <x v="1418"/>
    <x v="1418"/>
    <x v="2"/>
    <x v="1421"/>
    <n v="8406487"/>
    <x v="15"/>
    <n v="0"/>
  </r>
  <r>
    <x v="1422"/>
    <x v="1"/>
    <x v="14"/>
    <x v="14"/>
    <x v="0"/>
    <n v="23"/>
    <x v="3"/>
    <x v="0"/>
    <x v="1419"/>
    <x v="1419"/>
    <x v="0"/>
    <x v="1422"/>
    <n v="4863526"/>
    <x v="11"/>
    <n v="0"/>
  </r>
  <r>
    <x v="1423"/>
    <x v="5"/>
    <x v="6"/>
    <x v="6"/>
    <x v="2"/>
    <n v="45"/>
    <x v="1"/>
    <x v="1"/>
    <x v="1420"/>
    <x v="1420"/>
    <x v="1"/>
    <x v="1423"/>
    <n v="695532"/>
    <x v="16"/>
    <n v="0"/>
  </r>
  <r>
    <x v="1424"/>
    <x v="0"/>
    <x v="10"/>
    <x v="10"/>
    <x v="45"/>
    <n v="38"/>
    <x v="3"/>
    <x v="0"/>
    <x v="1421"/>
    <x v="1421"/>
    <x v="1"/>
    <x v="1424"/>
    <n v="6692912"/>
    <x v="9"/>
    <n v="0"/>
  </r>
  <r>
    <x v="1425"/>
    <x v="6"/>
    <x v="14"/>
    <x v="14"/>
    <x v="31"/>
    <n v="50"/>
    <x v="0"/>
    <x v="0"/>
    <x v="1422"/>
    <x v="1422"/>
    <x v="1"/>
    <x v="1425"/>
    <n v="867323"/>
    <x v="18"/>
    <n v="0"/>
  </r>
  <r>
    <x v="1426"/>
    <x v="6"/>
    <x v="23"/>
    <x v="23"/>
    <x v="11"/>
    <n v="47"/>
    <x v="1"/>
    <x v="0"/>
    <x v="1423"/>
    <x v="1423"/>
    <x v="2"/>
    <x v="1426"/>
    <n v="2242455"/>
    <x v="21"/>
    <n v="0"/>
  </r>
  <r>
    <x v="1427"/>
    <x v="0"/>
    <x v="16"/>
    <x v="16"/>
    <x v="3"/>
    <n v="41"/>
    <x v="3"/>
    <x v="0"/>
    <x v="1424"/>
    <x v="1424"/>
    <x v="0"/>
    <x v="1427"/>
    <n v="8988535"/>
    <x v="23"/>
    <n v="0"/>
  </r>
  <r>
    <x v="1428"/>
    <x v="5"/>
    <x v="17"/>
    <x v="17"/>
    <x v="48"/>
    <n v="34"/>
    <x v="1"/>
    <x v="0"/>
    <x v="1425"/>
    <x v="1425"/>
    <x v="0"/>
    <x v="1428"/>
    <n v="9419475"/>
    <x v="20"/>
    <n v="0"/>
  </r>
  <r>
    <x v="1429"/>
    <x v="0"/>
    <x v="10"/>
    <x v="10"/>
    <x v="47"/>
    <n v="17"/>
    <x v="0"/>
    <x v="1"/>
    <x v="1426"/>
    <x v="1426"/>
    <x v="1"/>
    <x v="1429"/>
    <n v="7914177"/>
    <x v="3"/>
    <n v="0"/>
  </r>
  <r>
    <x v="1430"/>
    <x v="3"/>
    <x v="0"/>
    <x v="0"/>
    <x v="0"/>
    <n v="23"/>
    <x v="1"/>
    <x v="0"/>
    <x v="1427"/>
    <x v="1427"/>
    <x v="2"/>
    <x v="1430"/>
    <n v="9251857"/>
    <x v="27"/>
    <n v="0"/>
  </r>
  <r>
    <x v="1431"/>
    <x v="0"/>
    <x v="22"/>
    <x v="22"/>
    <x v="40"/>
    <n v="31"/>
    <x v="3"/>
    <x v="0"/>
    <x v="1428"/>
    <x v="1428"/>
    <x v="0"/>
    <x v="1431"/>
    <n v="3408412"/>
    <x v="23"/>
    <n v="0"/>
  </r>
  <r>
    <x v="1432"/>
    <x v="2"/>
    <x v="3"/>
    <x v="3"/>
    <x v="6"/>
    <n v="40"/>
    <x v="0"/>
    <x v="1"/>
    <x v="1429"/>
    <x v="1429"/>
    <x v="2"/>
    <x v="1432"/>
    <n v="2853254"/>
    <x v="2"/>
    <n v="0"/>
  </r>
  <r>
    <x v="1433"/>
    <x v="0"/>
    <x v="23"/>
    <x v="23"/>
    <x v="34"/>
    <n v="36"/>
    <x v="2"/>
    <x v="1"/>
    <x v="1430"/>
    <x v="1430"/>
    <x v="0"/>
    <x v="1433"/>
    <n v="4150852"/>
    <x v="3"/>
    <n v="0"/>
  </r>
  <r>
    <x v="1434"/>
    <x v="6"/>
    <x v="9"/>
    <x v="9"/>
    <x v="5"/>
    <n v="24"/>
    <x v="3"/>
    <x v="1"/>
    <x v="1431"/>
    <x v="1431"/>
    <x v="1"/>
    <x v="1434"/>
    <n v="1025749"/>
    <x v="24"/>
    <n v="0"/>
  </r>
  <r>
    <x v="1435"/>
    <x v="2"/>
    <x v="18"/>
    <x v="18"/>
    <x v="22"/>
    <n v="10"/>
    <x v="3"/>
    <x v="0"/>
    <x v="1432"/>
    <x v="1432"/>
    <x v="2"/>
    <x v="1435"/>
    <n v="819378"/>
    <x v="13"/>
    <n v="0"/>
  </r>
  <r>
    <x v="1436"/>
    <x v="6"/>
    <x v="13"/>
    <x v="13"/>
    <x v="42"/>
    <n v="35"/>
    <x v="0"/>
    <x v="0"/>
    <x v="1433"/>
    <x v="1433"/>
    <x v="1"/>
    <x v="1436"/>
    <n v="9849667"/>
    <x v="26"/>
    <n v="0"/>
  </r>
  <r>
    <x v="1437"/>
    <x v="4"/>
    <x v="15"/>
    <x v="15"/>
    <x v="5"/>
    <n v="24"/>
    <x v="0"/>
    <x v="1"/>
    <x v="1434"/>
    <x v="1434"/>
    <x v="0"/>
    <x v="1437"/>
    <n v="8328278"/>
    <x v="19"/>
    <n v="0"/>
  </r>
  <r>
    <x v="1438"/>
    <x v="1"/>
    <x v="12"/>
    <x v="12"/>
    <x v="11"/>
    <n v="47"/>
    <x v="2"/>
    <x v="1"/>
    <x v="1435"/>
    <x v="1435"/>
    <x v="0"/>
    <x v="1438"/>
    <n v="5772266"/>
    <x v="14"/>
    <n v="0"/>
  </r>
  <r>
    <x v="1439"/>
    <x v="6"/>
    <x v="19"/>
    <x v="19"/>
    <x v="16"/>
    <n v="11"/>
    <x v="3"/>
    <x v="1"/>
    <x v="1436"/>
    <x v="1436"/>
    <x v="1"/>
    <x v="1439"/>
    <n v="3305179"/>
    <x v="24"/>
    <n v="0"/>
  </r>
  <r>
    <x v="1440"/>
    <x v="2"/>
    <x v="6"/>
    <x v="6"/>
    <x v="14"/>
    <n v="39"/>
    <x v="0"/>
    <x v="1"/>
    <x v="1437"/>
    <x v="1437"/>
    <x v="0"/>
    <x v="1440"/>
    <n v="237813"/>
    <x v="6"/>
    <n v="0"/>
  </r>
  <r>
    <x v="1441"/>
    <x v="4"/>
    <x v="0"/>
    <x v="0"/>
    <x v="8"/>
    <n v="57"/>
    <x v="2"/>
    <x v="0"/>
    <x v="1438"/>
    <x v="1438"/>
    <x v="1"/>
    <x v="1441"/>
    <n v="3958597"/>
    <x v="17"/>
    <n v="0"/>
  </r>
  <r>
    <x v="1442"/>
    <x v="6"/>
    <x v="13"/>
    <x v="13"/>
    <x v="20"/>
    <n v="19"/>
    <x v="2"/>
    <x v="0"/>
    <x v="1439"/>
    <x v="1439"/>
    <x v="1"/>
    <x v="1442"/>
    <n v="6836211"/>
    <x v="18"/>
    <n v="0"/>
  </r>
  <r>
    <x v="1443"/>
    <x v="3"/>
    <x v="8"/>
    <x v="8"/>
    <x v="48"/>
    <n v="34"/>
    <x v="0"/>
    <x v="0"/>
    <x v="1440"/>
    <x v="1440"/>
    <x v="1"/>
    <x v="1443"/>
    <n v="4747085"/>
    <x v="8"/>
    <n v="0"/>
  </r>
  <r>
    <x v="1444"/>
    <x v="0"/>
    <x v="14"/>
    <x v="14"/>
    <x v="9"/>
    <n v="15"/>
    <x v="3"/>
    <x v="0"/>
    <x v="1441"/>
    <x v="1441"/>
    <x v="0"/>
    <x v="1444"/>
    <n v="9373568"/>
    <x v="3"/>
    <n v="0"/>
  </r>
  <r>
    <x v="1445"/>
    <x v="1"/>
    <x v="6"/>
    <x v="6"/>
    <x v="3"/>
    <n v="41"/>
    <x v="1"/>
    <x v="0"/>
    <x v="1442"/>
    <x v="1442"/>
    <x v="2"/>
    <x v="1445"/>
    <n v="8615093"/>
    <x v="25"/>
    <n v="0"/>
  </r>
  <r>
    <x v="1446"/>
    <x v="6"/>
    <x v="20"/>
    <x v="20"/>
    <x v="45"/>
    <n v="38"/>
    <x v="1"/>
    <x v="1"/>
    <x v="1443"/>
    <x v="1443"/>
    <x v="1"/>
    <x v="1446"/>
    <n v="1472806"/>
    <x v="18"/>
    <n v="0"/>
  </r>
  <r>
    <x v="1447"/>
    <x v="4"/>
    <x v="9"/>
    <x v="9"/>
    <x v="15"/>
    <n v="30"/>
    <x v="2"/>
    <x v="0"/>
    <x v="1444"/>
    <x v="1444"/>
    <x v="2"/>
    <x v="1447"/>
    <n v="174949"/>
    <x v="22"/>
    <n v="0"/>
  </r>
  <r>
    <x v="1448"/>
    <x v="3"/>
    <x v="7"/>
    <x v="7"/>
    <x v="34"/>
    <n v="36"/>
    <x v="1"/>
    <x v="1"/>
    <x v="1445"/>
    <x v="1445"/>
    <x v="0"/>
    <x v="1448"/>
    <n v="6924272"/>
    <x v="27"/>
    <n v="0"/>
  </r>
  <r>
    <x v="1449"/>
    <x v="5"/>
    <x v="21"/>
    <x v="21"/>
    <x v="37"/>
    <n v="55"/>
    <x v="1"/>
    <x v="1"/>
    <x v="1446"/>
    <x v="1446"/>
    <x v="0"/>
    <x v="1449"/>
    <n v="269230"/>
    <x v="16"/>
    <n v="0"/>
  </r>
  <r>
    <x v="1450"/>
    <x v="4"/>
    <x v="23"/>
    <x v="23"/>
    <x v="13"/>
    <n v="20"/>
    <x v="0"/>
    <x v="1"/>
    <x v="1447"/>
    <x v="1447"/>
    <x v="2"/>
    <x v="1450"/>
    <n v="8014784"/>
    <x v="19"/>
    <n v="0"/>
  </r>
  <r>
    <x v="1451"/>
    <x v="0"/>
    <x v="15"/>
    <x v="15"/>
    <x v="16"/>
    <n v="11"/>
    <x v="2"/>
    <x v="0"/>
    <x v="1448"/>
    <x v="1448"/>
    <x v="1"/>
    <x v="1451"/>
    <n v="6117902"/>
    <x v="3"/>
    <n v="0"/>
  </r>
  <r>
    <x v="1452"/>
    <x v="4"/>
    <x v="13"/>
    <x v="13"/>
    <x v="7"/>
    <n v="53"/>
    <x v="3"/>
    <x v="1"/>
    <x v="1449"/>
    <x v="1449"/>
    <x v="0"/>
    <x v="1452"/>
    <n v="268339"/>
    <x v="17"/>
    <n v="0"/>
  </r>
  <r>
    <x v="1453"/>
    <x v="3"/>
    <x v="22"/>
    <x v="22"/>
    <x v="14"/>
    <n v="39"/>
    <x v="2"/>
    <x v="0"/>
    <x v="1450"/>
    <x v="1450"/>
    <x v="1"/>
    <x v="1453"/>
    <n v="5047525"/>
    <x v="27"/>
    <n v="0"/>
  </r>
  <r>
    <x v="1454"/>
    <x v="4"/>
    <x v="6"/>
    <x v="6"/>
    <x v="37"/>
    <n v="55"/>
    <x v="0"/>
    <x v="1"/>
    <x v="1451"/>
    <x v="1451"/>
    <x v="1"/>
    <x v="1454"/>
    <n v="4357725"/>
    <x v="17"/>
    <n v="0"/>
  </r>
  <r>
    <x v="1455"/>
    <x v="3"/>
    <x v="14"/>
    <x v="14"/>
    <x v="6"/>
    <n v="40"/>
    <x v="1"/>
    <x v="0"/>
    <x v="1452"/>
    <x v="1452"/>
    <x v="2"/>
    <x v="1455"/>
    <n v="8795014"/>
    <x v="10"/>
    <n v="0"/>
  </r>
  <r>
    <x v="1456"/>
    <x v="6"/>
    <x v="3"/>
    <x v="3"/>
    <x v="32"/>
    <n v="51"/>
    <x v="3"/>
    <x v="1"/>
    <x v="1453"/>
    <x v="1453"/>
    <x v="0"/>
    <x v="1456"/>
    <n v="805544"/>
    <x v="21"/>
    <n v="0"/>
  </r>
  <r>
    <x v="1457"/>
    <x v="3"/>
    <x v="10"/>
    <x v="10"/>
    <x v="40"/>
    <n v="31"/>
    <x v="2"/>
    <x v="0"/>
    <x v="1454"/>
    <x v="1454"/>
    <x v="2"/>
    <x v="1457"/>
    <n v="9010517"/>
    <x v="10"/>
    <n v="0"/>
  </r>
  <r>
    <x v="1458"/>
    <x v="3"/>
    <x v="23"/>
    <x v="23"/>
    <x v="11"/>
    <n v="47"/>
    <x v="1"/>
    <x v="1"/>
    <x v="1455"/>
    <x v="1455"/>
    <x v="0"/>
    <x v="1458"/>
    <n v="6694785"/>
    <x v="4"/>
    <n v="0"/>
  </r>
  <r>
    <x v="1459"/>
    <x v="1"/>
    <x v="23"/>
    <x v="23"/>
    <x v="24"/>
    <n v="56"/>
    <x v="2"/>
    <x v="1"/>
    <x v="1456"/>
    <x v="1456"/>
    <x v="2"/>
    <x v="1459"/>
    <n v="7506613"/>
    <x v="1"/>
    <n v="0"/>
  </r>
  <r>
    <x v="1460"/>
    <x v="3"/>
    <x v="3"/>
    <x v="3"/>
    <x v="14"/>
    <n v="39"/>
    <x v="3"/>
    <x v="1"/>
    <x v="1457"/>
    <x v="1457"/>
    <x v="0"/>
    <x v="1460"/>
    <n v="524771"/>
    <x v="4"/>
    <n v="0"/>
  </r>
  <r>
    <x v="1461"/>
    <x v="3"/>
    <x v="12"/>
    <x v="12"/>
    <x v="20"/>
    <n v="19"/>
    <x v="2"/>
    <x v="1"/>
    <x v="1458"/>
    <x v="1458"/>
    <x v="0"/>
    <x v="1461"/>
    <n v="6468275"/>
    <x v="27"/>
    <n v="0"/>
  </r>
  <r>
    <x v="1462"/>
    <x v="5"/>
    <x v="22"/>
    <x v="22"/>
    <x v="0"/>
    <n v="23"/>
    <x v="2"/>
    <x v="0"/>
    <x v="1459"/>
    <x v="1459"/>
    <x v="0"/>
    <x v="1462"/>
    <n v="6090619"/>
    <x v="16"/>
    <n v="0"/>
  </r>
  <r>
    <x v="1463"/>
    <x v="6"/>
    <x v="13"/>
    <x v="13"/>
    <x v="13"/>
    <n v="20"/>
    <x v="2"/>
    <x v="0"/>
    <x v="1460"/>
    <x v="1460"/>
    <x v="1"/>
    <x v="1463"/>
    <n v="5603453"/>
    <x v="24"/>
    <n v="0"/>
  </r>
  <r>
    <x v="1464"/>
    <x v="0"/>
    <x v="17"/>
    <x v="17"/>
    <x v="27"/>
    <n v="22"/>
    <x v="1"/>
    <x v="0"/>
    <x v="1461"/>
    <x v="1461"/>
    <x v="1"/>
    <x v="1464"/>
    <n v="7965735"/>
    <x v="23"/>
    <n v="0"/>
  </r>
  <r>
    <x v="1465"/>
    <x v="1"/>
    <x v="9"/>
    <x v="9"/>
    <x v="41"/>
    <n v="25"/>
    <x v="3"/>
    <x v="1"/>
    <x v="1462"/>
    <x v="1462"/>
    <x v="2"/>
    <x v="1465"/>
    <n v="5780775"/>
    <x v="14"/>
    <n v="0"/>
  </r>
  <r>
    <x v="1466"/>
    <x v="5"/>
    <x v="16"/>
    <x v="16"/>
    <x v="45"/>
    <n v="38"/>
    <x v="3"/>
    <x v="1"/>
    <x v="1463"/>
    <x v="1463"/>
    <x v="2"/>
    <x v="1466"/>
    <n v="8642423"/>
    <x v="15"/>
    <n v="0"/>
  </r>
  <r>
    <x v="1467"/>
    <x v="2"/>
    <x v="20"/>
    <x v="20"/>
    <x v="14"/>
    <n v="39"/>
    <x v="1"/>
    <x v="1"/>
    <x v="1464"/>
    <x v="1464"/>
    <x v="0"/>
    <x v="1467"/>
    <n v="2709999"/>
    <x v="5"/>
    <n v="0"/>
  </r>
  <r>
    <x v="1468"/>
    <x v="6"/>
    <x v="21"/>
    <x v="21"/>
    <x v="40"/>
    <n v="31"/>
    <x v="1"/>
    <x v="1"/>
    <x v="1465"/>
    <x v="1465"/>
    <x v="0"/>
    <x v="1468"/>
    <n v="8156835"/>
    <x v="24"/>
    <n v="0"/>
  </r>
  <r>
    <x v="1469"/>
    <x v="6"/>
    <x v="18"/>
    <x v="18"/>
    <x v="3"/>
    <n v="41"/>
    <x v="1"/>
    <x v="1"/>
    <x v="1466"/>
    <x v="1466"/>
    <x v="1"/>
    <x v="1469"/>
    <n v="2203471"/>
    <x v="18"/>
    <n v="0"/>
  </r>
  <r>
    <x v="1470"/>
    <x v="2"/>
    <x v="8"/>
    <x v="8"/>
    <x v="30"/>
    <n v="14"/>
    <x v="0"/>
    <x v="1"/>
    <x v="1467"/>
    <x v="1467"/>
    <x v="1"/>
    <x v="1470"/>
    <n v="8224619"/>
    <x v="2"/>
    <n v="0"/>
  </r>
  <r>
    <x v="1471"/>
    <x v="0"/>
    <x v="11"/>
    <x v="11"/>
    <x v="30"/>
    <n v="14"/>
    <x v="2"/>
    <x v="0"/>
    <x v="1468"/>
    <x v="1468"/>
    <x v="1"/>
    <x v="1471"/>
    <n v="9434403"/>
    <x v="9"/>
    <n v="0"/>
  </r>
  <r>
    <x v="1472"/>
    <x v="3"/>
    <x v="10"/>
    <x v="10"/>
    <x v="20"/>
    <n v="19"/>
    <x v="2"/>
    <x v="0"/>
    <x v="1469"/>
    <x v="1469"/>
    <x v="2"/>
    <x v="1472"/>
    <n v="3689094"/>
    <x v="8"/>
    <n v="0"/>
  </r>
  <r>
    <x v="1473"/>
    <x v="5"/>
    <x v="8"/>
    <x v="8"/>
    <x v="34"/>
    <n v="36"/>
    <x v="3"/>
    <x v="0"/>
    <x v="1470"/>
    <x v="1470"/>
    <x v="1"/>
    <x v="1473"/>
    <n v="553392"/>
    <x v="20"/>
    <n v="0"/>
  </r>
  <r>
    <x v="1474"/>
    <x v="4"/>
    <x v="19"/>
    <x v="19"/>
    <x v="28"/>
    <n v="21"/>
    <x v="2"/>
    <x v="0"/>
    <x v="1471"/>
    <x v="1471"/>
    <x v="2"/>
    <x v="1474"/>
    <n v="6754126"/>
    <x v="22"/>
    <n v="0"/>
  </r>
  <r>
    <x v="1475"/>
    <x v="1"/>
    <x v="11"/>
    <x v="11"/>
    <x v="5"/>
    <n v="24"/>
    <x v="0"/>
    <x v="0"/>
    <x v="1472"/>
    <x v="1472"/>
    <x v="1"/>
    <x v="1475"/>
    <n v="1254981"/>
    <x v="1"/>
    <n v="0"/>
  </r>
  <r>
    <x v="1476"/>
    <x v="4"/>
    <x v="21"/>
    <x v="21"/>
    <x v="15"/>
    <n v="30"/>
    <x v="1"/>
    <x v="0"/>
    <x v="1473"/>
    <x v="1473"/>
    <x v="1"/>
    <x v="1476"/>
    <n v="5193767"/>
    <x v="7"/>
    <n v="0"/>
  </r>
  <r>
    <x v="1477"/>
    <x v="2"/>
    <x v="19"/>
    <x v="19"/>
    <x v="32"/>
    <n v="51"/>
    <x v="3"/>
    <x v="0"/>
    <x v="1474"/>
    <x v="1474"/>
    <x v="0"/>
    <x v="1477"/>
    <n v="3925557"/>
    <x v="13"/>
    <n v="0"/>
  </r>
  <r>
    <x v="1478"/>
    <x v="6"/>
    <x v="8"/>
    <x v="8"/>
    <x v="16"/>
    <n v="11"/>
    <x v="3"/>
    <x v="0"/>
    <x v="1475"/>
    <x v="1475"/>
    <x v="2"/>
    <x v="1478"/>
    <n v="8788328"/>
    <x v="26"/>
    <n v="0"/>
  </r>
  <r>
    <x v="1479"/>
    <x v="0"/>
    <x v="18"/>
    <x v="18"/>
    <x v="26"/>
    <n v="42"/>
    <x v="2"/>
    <x v="1"/>
    <x v="1476"/>
    <x v="1476"/>
    <x v="1"/>
    <x v="1479"/>
    <n v="8828455"/>
    <x v="23"/>
    <n v="0"/>
  </r>
  <r>
    <x v="1480"/>
    <x v="6"/>
    <x v="18"/>
    <x v="18"/>
    <x v="38"/>
    <n v="43"/>
    <x v="3"/>
    <x v="1"/>
    <x v="1477"/>
    <x v="1477"/>
    <x v="0"/>
    <x v="1480"/>
    <n v="7157406"/>
    <x v="24"/>
    <n v="0"/>
  </r>
  <r>
    <x v="1481"/>
    <x v="1"/>
    <x v="12"/>
    <x v="12"/>
    <x v="31"/>
    <n v="50"/>
    <x v="1"/>
    <x v="1"/>
    <x v="1478"/>
    <x v="1478"/>
    <x v="2"/>
    <x v="1481"/>
    <n v="6729383"/>
    <x v="14"/>
    <n v="0"/>
  </r>
  <r>
    <x v="1482"/>
    <x v="6"/>
    <x v="5"/>
    <x v="5"/>
    <x v="8"/>
    <n v="57"/>
    <x v="3"/>
    <x v="1"/>
    <x v="1479"/>
    <x v="1479"/>
    <x v="2"/>
    <x v="1482"/>
    <n v="747004"/>
    <x v="21"/>
    <n v="0"/>
  </r>
  <r>
    <x v="1483"/>
    <x v="6"/>
    <x v="1"/>
    <x v="1"/>
    <x v="16"/>
    <n v="11"/>
    <x v="1"/>
    <x v="1"/>
    <x v="1480"/>
    <x v="1480"/>
    <x v="1"/>
    <x v="1483"/>
    <n v="3976876"/>
    <x v="24"/>
    <n v="0"/>
  </r>
  <r>
    <x v="1484"/>
    <x v="1"/>
    <x v="4"/>
    <x v="4"/>
    <x v="10"/>
    <n v="18"/>
    <x v="0"/>
    <x v="1"/>
    <x v="1481"/>
    <x v="1481"/>
    <x v="2"/>
    <x v="1484"/>
    <n v="4342933"/>
    <x v="11"/>
    <n v="0"/>
  </r>
  <r>
    <x v="1485"/>
    <x v="5"/>
    <x v="7"/>
    <x v="7"/>
    <x v="12"/>
    <n v="54"/>
    <x v="0"/>
    <x v="1"/>
    <x v="1482"/>
    <x v="1482"/>
    <x v="0"/>
    <x v="1485"/>
    <n v="5760195"/>
    <x v="16"/>
    <n v="0"/>
  </r>
  <r>
    <x v="1486"/>
    <x v="5"/>
    <x v="23"/>
    <x v="23"/>
    <x v="17"/>
    <n v="33"/>
    <x v="1"/>
    <x v="0"/>
    <x v="1483"/>
    <x v="1483"/>
    <x v="0"/>
    <x v="1486"/>
    <n v="9411267"/>
    <x v="15"/>
    <n v="0"/>
  </r>
  <r>
    <x v="1487"/>
    <x v="1"/>
    <x v="9"/>
    <x v="9"/>
    <x v="45"/>
    <n v="38"/>
    <x v="2"/>
    <x v="0"/>
    <x v="1484"/>
    <x v="1484"/>
    <x v="2"/>
    <x v="1487"/>
    <n v="7377999"/>
    <x v="25"/>
    <n v="0"/>
  </r>
  <r>
    <x v="1488"/>
    <x v="0"/>
    <x v="12"/>
    <x v="12"/>
    <x v="38"/>
    <n v="43"/>
    <x v="3"/>
    <x v="1"/>
    <x v="1485"/>
    <x v="1485"/>
    <x v="0"/>
    <x v="1488"/>
    <n v="5734398"/>
    <x v="23"/>
    <n v="0"/>
  </r>
  <r>
    <x v="1489"/>
    <x v="2"/>
    <x v="9"/>
    <x v="9"/>
    <x v="1"/>
    <n v="44"/>
    <x v="2"/>
    <x v="0"/>
    <x v="1486"/>
    <x v="1486"/>
    <x v="2"/>
    <x v="1489"/>
    <n v="7818924"/>
    <x v="13"/>
    <n v="0"/>
  </r>
  <r>
    <x v="1490"/>
    <x v="6"/>
    <x v="0"/>
    <x v="0"/>
    <x v="8"/>
    <n v="57"/>
    <x v="3"/>
    <x v="0"/>
    <x v="1487"/>
    <x v="1487"/>
    <x v="0"/>
    <x v="1490"/>
    <n v="4023458"/>
    <x v="18"/>
    <n v="0"/>
  </r>
  <r>
    <x v="1491"/>
    <x v="0"/>
    <x v="0"/>
    <x v="0"/>
    <x v="49"/>
    <n v="60"/>
    <x v="0"/>
    <x v="0"/>
    <x v="1488"/>
    <x v="1488"/>
    <x v="2"/>
    <x v="1491"/>
    <n v="7439434"/>
    <x v="23"/>
    <n v="0"/>
  </r>
  <r>
    <x v="1492"/>
    <x v="6"/>
    <x v="14"/>
    <x v="14"/>
    <x v="25"/>
    <n v="46"/>
    <x v="0"/>
    <x v="0"/>
    <x v="1489"/>
    <x v="1489"/>
    <x v="2"/>
    <x v="1492"/>
    <n v="4401424"/>
    <x v="24"/>
    <n v="0"/>
  </r>
  <r>
    <x v="1493"/>
    <x v="2"/>
    <x v="19"/>
    <x v="19"/>
    <x v="5"/>
    <n v="24"/>
    <x v="0"/>
    <x v="0"/>
    <x v="1490"/>
    <x v="1490"/>
    <x v="2"/>
    <x v="1493"/>
    <n v="3156783"/>
    <x v="5"/>
    <n v="0"/>
  </r>
  <r>
    <x v="1494"/>
    <x v="5"/>
    <x v="17"/>
    <x v="17"/>
    <x v="12"/>
    <n v="54"/>
    <x v="3"/>
    <x v="1"/>
    <x v="1491"/>
    <x v="1491"/>
    <x v="0"/>
    <x v="1494"/>
    <n v="6292378"/>
    <x v="15"/>
    <n v="0"/>
  </r>
  <r>
    <x v="1495"/>
    <x v="0"/>
    <x v="10"/>
    <x v="10"/>
    <x v="50"/>
    <n v="12"/>
    <x v="0"/>
    <x v="0"/>
    <x v="1492"/>
    <x v="1492"/>
    <x v="2"/>
    <x v="1495"/>
    <n v="7025337"/>
    <x v="0"/>
    <n v="0"/>
  </r>
  <r>
    <x v="1496"/>
    <x v="3"/>
    <x v="16"/>
    <x v="16"/>
    <x v="27"/>
    <n v="22"/>
    <x v="0"/>
    <x v="1"/>
    <x v="1493"/>
    <x v="1493"/>
    <x v="2"/>
    <x v="1496"/>
    <n v="4863289"/>
    <x v="27"/>
    <n v="0"/>
  </r>
  <r>
    <x v="1497"/>
    <x v="3"/>
    <x v="5"/>
    <x v="5"/>
    <x v="37"/>
    <n v="55"/>
    <x v="0"/>
    <x v="1"/>
    <x v="1494"/>
    <x v="1494"/>
    <x v="1"/>
    <x v="1497"/>
    <n v="5872257"/>
    <x v="10"/>
    <n v="0"/>
  </r>
  <r>
    <x v="1498"/>
    <x v="3"/>
    <x v="8"/>
    <x v="8"/>
    <x v="0"/>
    <n v="23"/>
    <x v="0"/>
    <x v="1"/>
    <x v="1495"/>
    <x v="1495"/>
    <x v="1"/>
    <x v="1498"/>
    <n v="7093628"/>
    <x v="10"/>
    <n v="0"/>
  </r>
  <r>
    <x v="1499"/>
    <x v="5"/>
    <x v="3"/>
    <x v="3"/>
    <x v="28"/>
    <n v="21"/>
    <x v="2"/>
    <x v="0"/>
    <x v="1496"/>
    <x v="1496"/>
    <x v="2"/>
    <x v="1499"/>
    <n v="7793245"/>
    <x v="15"/>
    <n v="0"/>
  </r>
  <r>
    <x v="1500"/>
    <x v="5"/>
    <x v="14"/>
    <x v="14"/>
    <x v="47"/>
    <n v="17"/>
    <x v="0"/>
    <x v="1"/>
    <x v="1497"/>
    <x v="1497"/>
    <x v="1"/>
    <x v="1500"/>
    <n v="9007929"/>
    <x v="20"/>
    <n v="0"/>
  </r>
  <r>
    <x v="1501"/>
    <x v="2"/>
    <x v="18"/>
    <x v="18"/>
    <x v="7"/>
    <n v="53"/>
    <x v="0"/>
    <x v="1"/>
    <x v="1498"/>
    <x v="1498"/>
    <x v="2"/>
    <x v="1501"/>
    <n v="386817"/>
    <x v="13"/>
    <n v="0"/>
  </r>
  <r>
    <x v="1502"/>
    <x v="6"/>
    <x v="21"/>
    <x v="21"/>
    <x v="42"/>
    <n v="35"/>
    <x v="2"/>
    <x v="1"/>
    <x v="1499"/>
    <x v="1499"/>
    <x v="1"/>
    <x v="1502"/>
    <n v="9539034"/>
    <x v="18"/>
    <n v="0"/>
  </r>
  <r>
    <x v="1503"/>
    <x v="2"/>
    <x v="0"/>
    <x v="0"/>
    <x v="1"/>
    <n v="44"/>
    <x v="2"/>
    <x v="1"/>
    <x v="1500"/>
    <x v="1500"/>
    <x v="0"/>
    <x v="1503"/>
    <n v="6554158"/>
    <x v="2"/>
    <n v="0"/>
  </r>
  <r>
    <x v="1504"/>
    <x v="2"/>
    <x v="15"/>
    <x v="15"/>
    <x v="27"/>
    <n v="22"/>
    <x v="3"/>
    <x v="0"/>
    <x v="1501"/>
    <x v="1501"/>
    <x v="0"/>
    <x v="1504"/>
    <n v="7983168"/>
    <x v="13"/>
    <n v="0"/>
  </r>
  <r>
    <x v="1505"/>
    <x v="5"/>
    <x v="7"/>
    <x v="7"/>
    <x v="43"/>
    <n v="48"/>
    <x v="1"/>
    <x v="1"/>
    <x v="1502"/>
    <x v="1502"/>
    <x v="2"/>
    <x v="1505"/>
    <n v="7147806"/>
    <x v="20"/>
    <n v="0"/>
  </r>
  <r>
    <x v="1506"/>
    <x v="3"/>
    <x v="19"/>
    <x v="19"/>
    <x v="43"/>
    <n v="48"/>
    <x v="0"/>
    <x v="1"/>
    <x v="1503"/>
    <x v="1503"/>
    <x v="2"/>
    <x v="1506"/>
    <n v="2452931"/>
    <x v="27"/>
    <n v="0"/>
  </r>
  <r>
    <x v="1507"/>
    <x v="4"/>
    <x v="8"/>
    <x v="8"/>
    <x v="4"/>
    <n v="26"/>
    <x v="0"/>
    <x v="1"/>
    <x v="1504"/>
    <x v="1504"/>
    <x v="0"/>
    <x v="1507"/>
    <n v="1178665"/>
    <x v="22"/>
    <n v="0"/>
  </r>
  <r>
    <x v="1508"/>
    <x v="6"/>
    <x v="8"/>
    <x v="8"/>
    <x v="40"/>
    <n v="31"/>
    <x v="0"/>
    <x v="1"/>
    <x v="1505"/>
    <x v="1505"/>
    <x v="0"/>
    <x v="1508"/>
    <n v="7399721"/>
    <x v="21"/>
    <n v="0"/>
  </r>
  <r>
    <x v="1509"/>
    <x v="5"/>
    <x v="23"/>
    <x v="23"/>
    <x v="13"/>
    <n v="20"/>
    <x v="3"/>
    <x v="0"/>
    <x v="1506"/>
    <x v="1506"/>
    <x v="1"/>
    <x v="1509"/>
    <n v="535500"/>
    <x v="15"/>
    <n v="0"/>
  </r>
  <r>
    <x v="1510"/>
    <x v="3"/>
    <x v="9"/>
    <x v="9"/>
    <x v="21"/>
    <n v="59"/>
    <x v="0"/>
    <x v="1"/>
    <x v="1507"/>
    <x v="1507"/>
    <x v="2"/>
    <x v="1510"/>
    <n v="7171027"/>
    <x v="8"/>
    <n v="0"/>
  </r>
  <r>
    <x v="1511"/>
    <x v="0"/>
    <x v="15"/>
    <x v="15"/>
    <x v="26"/>
    <n v="42"/>
    <x v="1"/>
    <x v="1"/>
    <x v="1508"/>
    <x v="1508"/>
    <x v="0"/>
    <x v="1511"/>
    <n v="5030007"/>
    <x v="23"/>
    <n v="0"/>
  </r>
  <r>
    <x v="1512"/>
    <x v="4"/>
    <x v="21"/>
    <x v="21"/>
    <x v="8"/>
    <n v="57"/>
    <x v="2"/>
    <x v="1"/>
    <x v="1509"/>
    <x v="1509"/>
    <x v="0"/>
    <x v="1512"/>
    <n v="3466228"/>
    <x v="7"/>
    <n v="0"/>
  </r>
  <r>
    <x v="1513"/>
    <x v="4"/>
    <x v="2"/>
    <x v="2"/>
    <x v="41"/>
    <n v="25"/>
    <x v="3"/>
    <x v="1"/>
    <x v="1510"/>
    <x v="1510"/>
    <x v="2"/>
    <x v="1513"/>
    <n v="320767"/>
    <x v="19"/>
    <n v="0"/>
  </r>
  <r>
    <x v="1514"/>
    <x v="5"/>
    <x v="20"/>
    <x v="20"/>
    <x v="39"/>
    <n v="49"/>
    <x v="2"/>
    <x v="1"/>
    <x v="1511"/>
    <x v="1511"/>
    <x v="1"/>
    <x v="1514"/>
    <n v="7440055"/>
    <x v="20"/>
    <n v="0"/>
  </r>
  <r>
    <x v="1515"/>
    <x v="1"/>
    <x v="9"/>
    <x v="9"/>
    <x v="43"/>
    <n v="48"/>
    <x v="0"/>
    <x v="1"/>
    <x v="1512"/>
    <x v="1512"/>
    <x v="1"/>
    <x v="1515"/>
    <n v="3129411"/>
    <x v="11"/>
    <n v="0"/>
  </r>
  <r>
    <x v="1516"/>
    <x v="6"/>
    <x v="4"/>
    <x v="4"/>
    <x v="2"/>
    <n v="45"/>
    <x v="0"/>
    <x v="0"/>
    <x v="1513"/>
    <x v="1513"/>
    <x v="1"/>
    <x v="1516"/>
    <n v="728943"/>
    <x v="24"/>
    <n v="0"/>
  </r>
  <r>
    <x v="1517"/>
    <x v="4"/>
    <x v="1"/>
    <x v="1"/>
    <x v="18"/>
    <n v="58"/>
    <x v="0"/>
    <x v="1"/>
    <x v="1514"/>
    <x v="1514"/>
    <x v="1"/>
    <x v="1517"/>
    <n v="4147621"/>
    <x v="7"/>
    <n v="0"/>
  </r>
  <r>
    <x v="1518"/>
    <x v="5"/>
    <x v="7"/>
    <x v="7"/>
    <x v="15"/>
    <n v="30"/>
    <x v="1"/>
    <x v="0"/>
    <x v="1515"/>
    <x v="1515"/>
    <x v="0"/>
    <x v="1518"/>
    <n v="7823535"/>
    <x v="20"/>
    <n v="0"/>
  </r>
  <r>
    <x v="1519"/>
    <x v="5"/>
    <x v="14"/>
    <x v="14"/>
    <x v="47"/>
    <n v="17"/>
    <x v="1"/>
    <x v="0"/>
    <x v="1516"/>
    <x v="1516"/>
    <x v="2"/>
    <x v="1519"/>
    <n v="1856694"/>
    <x v="12"/>
    <n v="0"/>
  </r>
  <r>
    <x v="1520"/>
    <x v="3"/>
    <x v="12"/>
    <x v="12"/>
    <x v="1"/>
    <n v="44"/>
    <x v="3"/>
    <x v="1"/>
    <x v="1517"/>
    <x v="1517"/>
    <x v="2"/>
    <x v="1520"/>
    <n v="2447309"/>
    <x v="4"/>
    <n v="0"/>
  </r>
  <r>
    <x v="1521"/>
    <x v="0"/>
    <x v="6"/>
    <x v="6"/>
    <x v="25"/>
    <n v="46"/>
    <x v="2"/>
    <x v="0"/>
    <x v="1518"/>
    <x v="1518"/>
    <x v="0"/>
    <x v="1521"/>
    <n v="701616"/>
    <x v="23"/>
    <n v="0"/>
  </r>
  <r>
    <x v="1522"/>
    <x v="1"/>
    <x v="4"/>
    <x v="4"/>
    <x v="14"/>
    <n v="39"/>
    <x v="0"/>
    <x v="1"/>
    <x v="1519"/>
    <x v="1519"/>
    <x v="0"/>
    <x v="1522"/>
    <n v="5822196"/>
    <x v="11"/>
    <n v="0"/>
  </r>
  <r>
    <x v="1523"/>
    <x v="6"/>
    <x v="19"/>
    <x v="19"/>
    <x v="13"/>
    <n v="20"/>
    <x v="0"/>
    <x v="0"/>
    <x v="1520"/>
    <x v="1520"/>
    <x v="0"/>
    <x v="1523"/>
    <n v="2436844"/>
    <x v="21"/>
    <n v="0"/>
  </r>
  <r>
    <x v="1524"/>
    <x v="2"/>
    <x v="19"/>
    <x v="19"/>
    <x v="42"/>
    <n v="35"/>
    <x v="0"/>
    <x v="1"/>
    <x v="1521"/>
    <x v="1521"/>
    <x v="2"/>
    <x v="1524"/>
    <n v="9076857"/>
    <x v="6"/>
    <n v="0"/>
  </r>
  <r>
    <x v="1525"/>
    <x v="0"/>
    <x v="4"/>
    <x v="4"/>
    <x v="4"/>
    <n v="26"/>
    <x v="0"/>
    <x v="0"/>
    <x v="1522"/>
    <x v="1522"/>
    <x v="2"/>
    <x v="1525"/>
    <n v="3121469"/>
    <x v="9"/>
    <n v="0"/>
  </r>
  <r>
    <x v="1526"/>
    <x v="0"/>
    <x v="19"/>
    <x v="19"/>
    <x v="40"/>
    <n v="31"/>
    <x v="1"/>
    <x v="0"/>
    <x v="1523"/>
    <x v="1523"/>
    <x v="2"/>
    <x v="1526"/>
    <n v="4500178"/>
    <x v="0"/>
    <n v="0"/>
  </r>
  <r>
    <x v="1527"/>
    <x v="3"/>
    <x v="23"/>
    <x v="23"/>
    <x v="26"/>
    <n v="42"/>
    <x v="2"/>
    <x v="1"/>
    <x v="1524"/>
    <x v="1524"/>
    <x v="1"/>
    <x v="1527"/>
    <n v="2421735"/>
    <x v="8"/>
    <n v="0"/>
  </r>
  <r>
    <x v="1528"/>
    <x v="4"/>
    <x v="13"/>
    <x v="13"/>
    <x v="11"/>
    <n v="47"/>
    <x v="2"/>
    <x v="0"/>
    <x v="1525"/>
    <x v="1525"/>
    <x v="0"/>
    <x v="1528"/>
    <n v="4186262"/>
    <x v="22"/>
    <n v="0"/>
  </r>
  <r>
    <x v="1529"/>
    <x v="4"/>
    <x v="14"/>
    <x v="14"/>
    <x v="27"/>
    <n v="22"/>
    <x v="3"/>
    <x v="0"/>
    <x v="1526"/>
    <x v="1526"/>
    <x v="0"/>
    <x v="1529"/>
    <n v="5170644"/>
    <x v="22"/>
    <n v="0"/>
  </r>
  <r>
    <x v="1530"/>
    <x v="3"/>
    <x v="21"/>
    <x v="21"/>
    <x v="15"/>
    <n v="30"/>
    <x v="1"/>
    <x v="0"/>
    <x v="1527"/>
    <x v="1527"/>
    <x v="0"/>
    <x v="1530"/>
    <n v="3304847"/>
    <x v="4"/>
    <n v="0"/>
  </r>
  <r>
    <x v="1531"/>
    <x v="5"/>
    <x v="7"/>
    <x v="7"/>
    <x v="0"/>
    <n v="23"/>
    <x v="0"/>
    <x v="0"/>
    <x v="1528"/>
    <x v="1528"/>
    <x v="2"/>
    <x v="1531"/>
    <n v="780639"/>
    <x v="20"/>
    <n v="0"/>
  </r>
  <r>
    <x v="1532"/>
    <x v="4"/>
    <x v="22"/>
    <x v="22"/>
    <x v="13"/>
    <n v="20"/>
    <x v="2"/>
    <x v="0"/>
    <x v="1529"/>
    <x v="1529"/>
    <x v="0"/>
    <x v="1532"/>
    <n v="4242363"/>
    <x v="22"/>
    <n v="0"/>
  </r>
  <r>
    <x v="1533"/>
    <x v="1"/>
    <x v="0"/>
    <x v="0"/>
    <x v="39"/>
    <n v="49"/>
    <x v="2"/>
    <x v="1"/>
    <x v="1530"/>
    <x v="1530"/>
    <x v="0"/>
    <x v="1533"/>
    <n v="7430345"/>
    <x v="25"/>
    <n v="0"/>
  </r>
  <r>
    <x v="1534"/>
    <x v="6"/>
    <x v="15"/>
    <x v="15"/>
    <x v="37"/>
    <n v="55"/>
    <x v="1"/>
    <x v="0"/>
    <x v="1531"/>
    <x v="1531"/>
    <x v="1"/>
    <x v="1534"/>
    <n v="2467186"/>
    <x v="21"/>
    <n v="0"/>
  </r>
  <r>
    <x v="1535"/>
    <x v="0"/>
    <x v="12"/>
    <x v="12"/>
    <x v="35"/>
    <n v="29"/>
    <x v="3"/>
    <x v="0"/>
    <x v="1532"/>
    <x v="1532"/>
    <x v="2"/>
    <x v="1535"/>
    <n v="4081837"/>
    <x v="0"/>
    <n v="0"/>
  </r>
  <r>
    <x v="1536"/>
    <x v="0"/>
    <x v="5"/>
    <x v="5"/>
    <x v="43"/>
    <n v="48"/>
    <x v="3"/>
    <x v="1"/>
    <x v="1533"/>
    <x v="1533"/>
    <x v="0"/>
    <x v="1536"/>
    <n v="576554"/>
    <x v="23"/>
    <n v="0"/>
  </r>
  <r>
    <x v="1537"/>
    <x v="1"/>
    <x v="0"/>
    <x v="0"/>
    <x v="37"/>
    <n v="55"/>
    <x v="0"/>
    <x v="1"/>
    <x v="1534"/>
    <x v="1534"/>
    <x v="2"/>
    <x v="1537"/>
    <n v="7707057"/>
    <x v="1"/>
    <n v="0"/>
  </r>
  <r>
    <x v="1538"/>
    <x v="4"/>
    <x v="15"/>
    <x v="15"/>
    <x v="19"/>
    <n v="52"/>
    <x v="3"/>
    <x v="1"/>
    <x v="1535"/>
    <x v="1535"/>
    <x v="2"/>
    <x v="1538"/>
    <n v="6445923"/>
    <x v="17"/>
    <n v="0"/>
  </r>
  <r>
    <x v="1539"/>
    <x v="0"/>
    <x v="16"/>
    <x v="16"/>
    <x v="20"/>
    <n v="19"/>
    <x v="2"/>
    <x v="0"/>
    <x v="1536"/>
    <x v="1536"/>
    <x v="2"/>
    <x v="1539"/>
    <n v="8269322"/>
    <x v="3"/>
    <n v="0"/>
  </r>
  <r>
    <x v="1540"/>
    <x v="2"/>
    <x v="20"/>
    <x v="20"/>
    <x v="18"/>
    <n v="58"/>
    <x v="3"/>
    <x v="0"/>
    <x v="1537"/>
    <x v="1537"/>
    <x v="1"/>
    <x v="1540"/>
    <n v="4828302"/>
    <x v="13"/>
    <n v="0"/>
  </r>
  <r>
    <x v="1541"/>
    <x v="6"/>
    <x v="21"/>
    <x v="21"/>
    <x v="35"/>
    <n v="29"/>
    <x v="0"/>
    <x v="0"/>
    <x v="1538"/>
    <x v="1538"/>
    <x v="2"/>
    <x v="1541"/>
    <n v="8097536"/>
    <x v="24"/>
    <n v="0"/>
  </r>
  <r>
    <x v="1542"/>
    <x v="6"/>
    <x v="19"/>
    <x v="19"/>
    <x v="46"/>
    <n v="27"/>
    <x v="2"/>
    <x v="0"/>
    <x v="1539"/>
    <x v="1539"/>
    <x v="2"/>
    <x v="1542"/>
    <n v="6652034"/>
    <x v="24"/>
    <n v="0"/>
  </r>
  <r>
    <x v="1543"/>
    <x v="0"/>
    <x v="19"/>
    <x v="19"/>
    <x v="29"/>
    <n v="13"/>
    <x v="3"/>
    <x v="1"/>
    <x v="1540"/>
    <x v="1540"/>
    <x v="2"/>
    <x v="1543"/>
    <n v="534323"/>
    <x v="3"/>
    <n v="0"/>
  </r>
  <r>
    <x v="1544"/>
    <x v="3"/>
    <x v="22"/>
    <x v="22"/>
    <x v="48"/>
    <n v="34"/>
    <x v="3"/>
    <x v="1"/>
    <x v="1541"/>
    <x v="1541"/>
    <x v="0"/>
    <x v="1544"/>
    <n v="2910096"/>
    <x v="8"/>
    <n v="0"/>
  </r>
  <r>
    <x v="1545"/>
    <x v="0"/>
    <x v="0"/>
    <x v="0"/>
    <x v="9"/>
    <n v="15"/>
    <x v="1"/>
    <x v="0"/>
    <x v="1542"/>
    <x v="1542"/>
    <x v="1"/>
    <x v="1545"/>
    <n v="5191968"/>
    <x v="3"/>
    <n v="0"/>
  </r>
  <r>
    <x v="1546"/>
    <x v="3"/>
    <x v="15"/>
    <x v="15"/>
    <x v="27"/>
    <n v="22"/>
    <x v="0"/>
    <x v="0"/>
    <x v="1543"/>
    <x v="1543"/>
    <x v="0"/>
    <x v="1546"/>
    <n v="637753"/>
    <x v="10"/>
    <n v="0"/>
  </r>
  <r>
    <x v="1547"/>
    <x v="0"/>
    <x v="10"/>
    <x v="10"/>
    <x v="4"/>
    <n v="26"/>
    <x v="3"/>
    <x v="0"/>
    <x v="1544"/>
    <x v="1544"/>
    <x v="1"/>
    <x v="1547"/>
    <n v="1123113"/>
    <x v="9"/>
    <n v="0"/>
  </r>
  <r>
    <x v="1548"/>
    <x v="2"/>
    <x v="15"/>
    <x v="15"/>
    <x v="31"/>
    <n v="50"/>
    <x v="1"/>
    <x v="0"/>
    <x v="1545"/>
    <x v="1545"/>
    <x v="1"/>
    <x v="1548"/>
    <n v="7198259"/>
    <x v="5"/>
    <n v="0"/>
  </r>
  <r>
    <x v="1549"/>
    <x v="5"/>
    <x v="20"/>
    <x v="20"/>
    <x v="12"/>
    <n v="54"/>
    <x v="2"/>
    <x v="1"/>
    <x v="1546"/>
    <x v="1546"/>
    <x v="2"/>
    <x v="1549"/>
    <n v="5663593"/>
    <x v="20"/>
    <n v="0"/>
  </r>
  <r>
    <x v="1550"/>
    <x v="6"/>
    <x v="6"/>
    <x v="6"/>
    <x v="41"/>
    <n v="25"/>
    <x v="1"/>
    <x v="1"/>
    <x v="1547"/>
    <x v="1547"/>
    <x v="2"/>
    <x v="1550"/>
    <n v="5494903"/>
    <x v="24"/>
    <n v="0"/>
  </r>
  <r>
    <x v="1551"/>
    <x v="0"/>
    <x v="13"/>
    <x v="13"/>
    <x v="7"/>
    <n v="53"/>
    <x v="1"/>
    <x v="0"/>
    <x v="1548"/>
    <x v="1548"/>
    <x v="0"/>
    <x v="1551"/>
    <n v="3274433"/>
    <x v="3"/>
    <n v="0"/>
  </r>
  <r>
    <x v="1552"/>
    <x v="2"/>
    <x v="1"/>
    <x v="1"/>
    <x v="7"/>
    <n v="53"/>
    <x v="3"/>
    <x v="1"/>
    <x v="1549"/>
    <x v="1549"/>
    <x v="1"/>
    <x v="1552"/>
    <n v="6150819"/>
    <x v="2"/>
    <n v="0"/>
  </r>
  <r>
    <x v="1553"/>
    <x v="3"/>
    <x v="23"/>
    <x v="23"/>
    <x v="43"/>
    <n v="48"/>
    <x v="3"/>
    <x v="0"/>
    <x v="1550"/>
    <x v="1550"/>
    <x v="2"/>
    <x v="1553"/>
    <n v="761182"/>
    <x v="10"/>
    <n v="0"/>
  </r>
  <r>
    <x v="1554"/>
    <x v="3"/>
    <x v="4"/>
    <x v="4"/>
    <x v="47"/>
    <n v="17"/>
    <x v="3"/>
    <x v="0"/>
    <x v="1551"/>
    <x v="1551"/>
    <x v="2"/>
    <x v="1554"/>
    <n v="1114653"/>
    <x v="10"/>
    <n v="0"/>
  </r>
  <r>
    <x v="1555"/>
    <x v="6"/>
    <x v="10"/>
    <x v="10"/>
    <x v="2"/>
    <n v="45"/>
    <x v="1"/>
    <x v="1"/>
    <x v="1552"/>
    <x v="1552"/>
    <x v="2"/>
    <x v="1555"/>
    <n v="7471766"/>
    <x v="21"/>
    <n v="0"/>
  </r>
  <r>
    <x v="1556"/>
    <x v="1"/>
    <x v="15"/>
    <x v="15"/>
    <x v="8"/>
    <n v="57"/>
    <x v="2"/>
    <x v="0"/>
    <x v="1553"/>
    <x v="1553"/>
    <x v="2"/>
    <x v="1556"/>
    <n v="3557968"/>
    <x v="1"/>
    <n v="0"/>
  </r>
  <r>
    <x v="1557"/>
    <x v="0"/>
    <x v="1"/>
    <x v="1"/>
    <x v="1"/>
    <n v="44"/>
    <x v="0"/>
    <x v="1"/>
    <x v="1554"/>
    <x v="1554"/>
    <x v="0"/>
    <x v="1557"/>
    <n v="3796187"/>
    <x v="0"/>
    <n v="0"/>
  </r>
  <r>
    <x v="1558"/>
    <x v="4"/>
    <x v="0"/>
    <x v="0"/>
    <x v="46"/>
    <n v="27"/>
    <x v="1"/>
    <x v="0"/>
    <x v="1555"/>
    <x v="1555"/>
    <x v="0"/>
    <x v="1558"/>
    <n v="2479659"/>
    <x v="17"/>
    <n v="0"/>
  </r>
  <r>
    <x v="1559"/>
    <x v="3"/>
    <x v="6"/>
    <x v="6"/>
    <x v="42"/>
    <n v="35"/>
    <x v="3"/>
    <x v="1"/>
    <x v="1556"/>
    <x v="1556"/>
    <x v="2"/>
    <x v="1559"/>
    <n v="4733397"/>
    <x v="10"/>
    <n v="0"/>
  </r>
  <r>
    <x v="1560"/>
    <x v="5"/>
    <x v="2"/>
    <x v="2"/>
    <x v="26"/>
    <n v="42"/>
    <x v="0"/>
    <x v="0"/>
    <x v="1557"/>
    <x v="1557"/>
    <x v="2"/>
    <x v="1560"/>
    <n v="993938"/>
    <x v="16"/>
    <n v="0"/>
  </r>
  <r>
    <x v="1561"/>
    <x v="5"/>
    <x v="3"/>
    <x v="3"/>
    <x v="34"/>
    <n v="36"/>
    <x v="2"/>
    <x v="1"/>
    <x v="1558"/>
    <x v="1558"/>
    <x v="2"/>
    <x v="1561"/>
    <n v="3353451"/>
    <x v="20"/>
    <n v="0"/>
  </r>
  <r>
    <x v="1562"/>
    <x v="3"/>
    <x v="6"/>
    <x v="6"/>
    <x v="44"/>
    <n v="16"/>
    <x v="0"/>
    <x v="0"/>
    <x v="1559"/>
    <x v="1559"/>
    <x v="2"/>
    <x v="1562"/>
    <n v="5507677"/>
    <x v="10"/>
    <n v="0"/>
  </r>
  <r>
    <x v="1563"/>
    <x v="1"/>
    <x v="3"/>
    <x v="3"/>
    <x v="4"/>
    <n v="26"/>
    <x v="3"/>
    <x v="0"/>
    <x v="1560"/>
    <x v="1560"/>
    <x v="2"/>
    <x v="1563"/>
    <n v="4923503"/>
    <x v="25"/>
    <n v="0"/>
  </r>
  <r>
    <x v="1564"/>
    <x v="1"/>
    <x v="9"/>
    <x v="9"/>
    <x v="31"/>
    <n v="50"/>
    <x v="1"/>
    <x v="1"/>
    <x v="1561"/>
    <x v="1561"/>
    <x v="1"/>
    <x v="1564"/>
    <n v="9996862"/>
    <x v="25"/>
    <n v="0"/>
  </r>
  <r>
    <x v="1565"/>
    <x v="2"/>
    <x v="11"/>
    <x v="11"/>
    <x v="7"/>
    <n v="53"/>
    <x v="1"/>
    <x v="0"/>
    <x v="1562"/>
    <x v="1562"/>
    <x v="1"/>
    <x v="1565"/>
    <n v="4193264"/>
    <x v="6"/>
    <n v="0"/>
  </r>
  <r>
    <x v="1566"/>
    <x v="5"/>
    <x v="21"/>
    <x v="21"/>
    <x v="47"/>
    <n v="17"/>
    <x v="3"/>
    <x v="1"/>
    <x v="1563"/>
    <x v="1563"/>
    <x v="1"/>
    <x v="1566"/>
    <n v="4176491"/>
    <x v="15"/>
    <n v="0"/>
  </r>
  <r>
    <x v="1567"/>
    <x v="2"/>
    <x v="1"/>
    <x v="1"/>
    <x v="18"/>
    <n v="58"/>
    <x v="1"/>
    <x v="1"/>
    <x v="1564"/>
    <x v="1564"/>
    <x v="1"/>
    <x v="1567"/>
    <n v="5284027"/>
    <x v="2"/>
    <n v="0"/>
  </r>
  <r>
    <x v="1568"/>
    <x v="5"/>
    <x v="18"/>
    <x v="18"/>
    <x v="4"/>
    <n v="26"/>
    <x v="3"/>
    <x v="0"/>
    <x v="1565"/>
    <x v="1565"/>
    <x v="2"/>
    <x v="1568"/>
    <n v="230788"/>
    <x v="12"/>
    <n v="0"/>
  </r>
  <r>
    <x v="1569"/>
    <x v="0"/>
    <x v="8"/>
    <x v="8"/>
    <x v="38"/>
    <n v="43"/>
    <x v="1"/>
    <x v="0"/>
    <x v="1566"/>
    <x v="1566"/>
    <x v="1"/>
    <x v="1569"/>
    <n v="8824892"/>
    <x v="23"/>
    <n v="0"/>
  </r>
  <r>
    <x v="1570"/>
    <x v="0"/>
    <x v="23"/>
    <x v="23"/>
    <x v="43"/>
    <n v="48"/>
    <x v="1"/>
    <x v="0"/>
    <x v="1567"/>
    <x v="1567"/>
    <x v="1"/>
    <x v="1570"/>
    <n v="5936544"/>
    <x v="0"/>
    <n v="0"/>
  </r>
  <r>
    <x v="1571"/>
    <x v="4"/>
    <x v="15"/>
    <x v="15"/>
    <x v="32"/>
    <n v="51"/>
    <x v="1"/>
    <x v="0"/>
    <x v="1568"/>
    <x v="1568"/>
    <x v="0"/>
    <x v="1571"/>
    <n v="2325023"/>
    <x v="19"/>
    <n v="0"/>
  </r>
  <r>
    <x v="1572"/>
    <x v="0"/>
    <x v="12"/>
    <x v="12"/>
    <x v="8"/>
    <n v="57"/>
    <x v="2"/>
    <x v="1"/>
    <x v="1569"/>
    <x v="1569"/>
    <x v="1"/>
    <x v="1572"/>
    <n v="8037695"/>
    <x v="0"/>
    <n v="0"/>
  </r>
  <r>
    <x v="1573"/>
    <x v="4"/>
    <x v="10"/>
    <x v="10"/>
    <x v="4"/>
    <n v="26"/>
    <x v="2"/>
    <x v="0"/>
    <x v="1570"/>
    <x v="1570"/>
    <x v="1"/>
    <x v="1573"/>
    <n v="826156"/>
    <x v="7"/>
    <n v="0"/>
  </r>
  <r>
    <x v="1574"/>
    <x v="0"/>
    <x v="9"/>
    <x v="9"/>
    <x v="7"/>
    <n v="53"/>
    <x v="3"/>
    <x v="0"/>
    <x v="1571"/>
    <x v="1571"/>
    <x v="2"/>
    <x v="1574"/>
    <n v="983436"/>
    <x v="9"/>
    <n v="0"/>
  </r>
  <r>
    <x v="1575"/>
    <x v="6"/>
    <x v="21"/>
    <x v="21"/>
    <x v="47"/>
    <n v="17"/>
    <x v="2"/>
    <x v="0"/>
    <x v="1572"/>
    <x v="1572"/>
    <x v="1"/>
    <x v="1575"/>
    <n v="8718919"/>
    <x v="18"/>
    <n v="0"/>
  </r>
  <r>
    <x v="1576"/>
    <x v="0"/>
    <x v="1"/>
    <x v="1"/>
    <x v="2"/>
    <n v="45"/>
    <x v="3"/>
    <x v="1"/>
    <x v="1573"/>
    <x v="1573"/>
    <x v="1"/>
    <x v="1576"/>
    <n v="6006575"/>
    <x v="0"/>
    <n v="0"/>
  </r>
  <r>
    <x v="1577"/>
    <x v="2"/>
    <x v="0"/>
    <x v="0"/>
    <x v="11"/>
    <n v="47"/>
    <x v="0"/>
    <x v="0"/>
    <x v="1574"/>
    <x v="1574"/>
    <x v="2"/>
    <x v="1577"/>
    <n v="1557309"/>
    <x v="2"/>
    <n v="0"/>
  </r>
  <r>
    <x v="1578"/>
    <x v="3"/>
    <x v="23"/>
    <x v="23"/>
    <x v="1"/>
    <n v="44"/>
    <x v="0"/>
    <x v="1"/>
    <x v="1575"/>
    <x v="1575"/>
    <x v="1"/>
    <x v="1578"/>
    <n v="2545091"/>
    <x v="8"/>
    <n v="0"/>
  </r>
  <r>
    <x v="1579"/>
    <x v="2"/>
    <x v="7"/>
    <x v="7"/>
    <x v="0"/>
    <n v="23"/>
    <x v="2"/>
    <x v="0"/>
    <x v="1576"/>
    <x v="1576"/>
    <x v="2"/>
    <x v="1579"/>
    <n v="3154634"/>
    <x v="5"/>
    <n v="0"/>
  </r>
  <r>
    <x v="1580"/>
    <x v="3"/>
    <x v="17"/>
    <x v="17"/>
    <x v="12"/>
    <n v="54"/>
    <x v="0"/>
    <x v="1"/>
    <x v="1577"/>
    <x v="1577"/>
    <x v="1"/>
    <x v="1580"/>
    <n v="2789802"/>
    <x v="10"/>
    <n v="0"/>
  </r>
  <r>
    <x v="1581"/>
    <x v="1"/>
    <x v="20"/>
    <x v="20"/>
    <x v="10"/>
    <n v="18"/>
    <x v="0"/>
    <x v="0"/>
    <x v="1578"/>
    <x v="1578"/>
    <x v="0"/>
    <x v="1581"/>
    <n v="522644"/>
    <x v="1"/>
    <n v="0"/>
  </r>
  <r>
    <x v="1582"/>
    <x v="2"/>
    <x v="8"/>
    <x v="8"/>
    <x v="29"/>
    <n v="13"/>
    <x v="1"/>
    <x v="0"/>
    <x v="1579"/>
    <x v="1579"/>
    <x v="0"/>
    <x v="1582"/>
    <n v="9473324"/>
    <x v="6"/>
    <n v="0"/>
  </r>
  <r>
    <x v="1583"/>
    <x v="1"/>
    <x v="1"/>
    <x v="1"/>
    <x v="25"/>
    <n v="46"/>
    <x v="1"/>
    <x v="1"/>
    <x v="1580"/>
    <x v="1580"/>
    <x v="1"/>
    <x v="1583"/>
    <n v="471964"/>
    <x v="14"/>
    <n v="0"/>
  </r>
  <r>
    <x v="1584"/>
    <x v="4"/>
    <x v="19"/>
    <x v="19"/>
    <x v="48"/>
    <n v="34"/>
    <x v="3"/>
    <x v="0"/>
    <x v="1581"/>
    <x v="1581"/>
    <x v="0"/>
    <x v="1584"/>
    <n v="6784863"/>
    <x v="22"/>
    <n v="0"/>
  </r>
  <r>
    <x v="1585"/>
    <x v="4"/>
    <x v="11"/>
    <x v="11"/>
    <x v="19"/>
    <n v="52"/>
    <x v="0"/>
    <x v="0"/>
    <x v="1582"/>
    <x v="1582"/>
    <x v="2"/>
    <x v="1585"/>
    <n v="704154"/>
    <x v="22"/>
    <n v="0"/>
  </r>
  <r>
    <x v="1586"/>
    <x v="6"/>
    <x v="6"/>
    <x v="6"/>
    <x v="35"/>
    <n v="29"/>
    <x v="3"/>
    <x v="0"/>
    <x v="1583"/>
    <x v="1583"/>
    <x v="1"/>
    <x v="1586"/>
    <n v="8780017"/>
    <x v="21"/>
    <n v="0"/>
  </r>
  <r>
    <x v="1587"/>
    <x v="0"/>
    <x v="17"/>
    <x v="17"/>
    <x v="10"/>
    <n v="18"/>
    <x v="3"/>
    <x v="1"/>
    <x v="1584"/>
    <x v="1584"/>
    <x v="2"/>
    <x v="1587"/>
    <n v="821302"/>
    <x v="3"/>
    <n v="0"/>
  </r>
  <r>
    <x v="1588"/>
    <x v="2"/>
    <x v="19"/>
    <x v="19"/>
    <x v="19"/>
    <n v="52"/>
    <x v="0"/>
    <x v="0"/>
    <x v="1585"/>
    <x v="1585"/>
    <x v="0"/>
    <x v="1588"/>
    <n v="4341136"/>
    <x v="2"/>
    <n v="0"/>
  </r>
  <r>
    <x v="1589"/>
    <x v="1"/>
    <x v="0"/>
    <x v="0"/>
    <x v="33"/>
    <n v="37"/>
    <x v="2"/>
    <x v="1"/>
    <x v="1586"/>
    <x v="1586"/>
    <x v="2"/>
    <x v="1589"/>
    <n v="7954984"/>
    <x v="25"/>
    <n v="0"/>
  </r>
  <r>
    <x v="1590"/>
    <x v="3"/>
    <x v="19"/>
    <x v="19"/>
    <x v="20"/>
    <n v="19"/>
    <x v="0"/>
    <x v="1"/>
    <x v="1587"/>
    <x v="1587"/>
    <x v="0"/>
    <x v="1590"/>
    <n v="8241237"/>
    <x v="4"/>
    <n v="0"/>
  </r>
  <r>
    <x v="1591"/>
    <x v="4"/>
    <x v="21"/>
    <x v="21"/>
    <x v="25"/>
    <n v="46"/>
    <x v="1"/>
    <x v="1"/>
    <x v="1588"/>
    <x v="1588"/>
    <x v="0"/>
    <x v="1591"/>
    <n v="930966"/>
    <x v="17"/>
    <n v="0"/>
  </r>
  <r>
    <x v="1592"/>
    <x v="0"/>
    <x v="20"/>
    <x v="20"/>
    <x v="34"/>
    <n v="36"/>
    <x v="0"/>
    <x v="0"/>
    <x v="1589"/>
    <x v="1589"/>
    <x v="0"/>
    <x v="1592"/>
    <n v="7176546"/>
    <x v="9"/>
    <n v="0"/>
  </r>
  <r>
    <x v="1593"/>
    <x v="4"/>
    <x v="1"/>
    <x v="1"/>
    <x v="6"/>
    <n v="40"/>
    <x v="2"/>
    <x v="1"/>
    <x v="1590"/>
    <x v="1590"/>
    <x v="2"/>
    <x v="1593"/>
    <n v="2828962"/>
    <x v="17"/>
    <n v="0"/>
  </r>
  <r>
    <x v="1594"/>
    <x v="3"/>
    <x v="6"/>
    <x v="6"/>
    <x v="17"/>
    <n v="33"/>
    <x v="3"/>
    <x v="1"/>
    <x v="1591"/>
    <x v="1591"/>
    <x v="0"/>
    <x v="1594"/>
    <n v="5303825"/>
    <x v="8"/>
    <n v="0"/>
  </r>
  <r>
    <x v="1595"/>
    <x v="0"/>
    <x v="10"/>
    <x v="10"/>
    <x v="32"/>
    <n v="51"/>
    <x v="3"/>
    <x v="0"/>
    <x v="1592"/>
    <x v="1592"/>
    <x v="1"/>
    <x v="1595"/>
    <n v="80728"/>
    <x v="9"/>
    <n v="0"/>
  </r>
  <r>
    <x v="1596"/>
    <x v="0"/>
    <x v="9"/>
    <x v="9"/>
    <x v="32"/>
    <n v="51"/>
    <x v="1"/>
    <x v="1"/>
    <x v="1593"/>
    <x v="1593"/>
    <x v="0"/>
    <x v="1596"/>
    <n v="6645819"/>
    <x v="9"/>
    <n v="0"/>
  </r>
  <r>
    <x v="1597"/>
    <x v="1"/>
    <x v="20"/>
    <x v="20"/>
    <x v="2"/>
    <n v="45"/>
    <x v="1"/>
    <x v="1"/>
    <x v="1594"/>
    <x v="1594"/>
    <x v="1"/>
    <x v="1597"/>
    <n v="5765805"/>
    <x v="11"/>
    <n v="0"/>
  </r>
  <r>
    <x v="1598"/>
    <x v="1"/>
    <x v="15"/>
    <x v="15"/>
    <x v="9"/>
    <n v="15"/>
    <x v="1"/>
    <x v="0"/>
    <x v="1595"/>
    <x v="1595"/>
    <x v="1"/>
    <x v="1598"/>
    <n v="6834945"/>
    <x v="25"/>
    <n v="0"/>
  </r>
  <r>
    <x v="1599"/>
    <x v="2"/>
    <x v="12"/>
    <x v="12"/>
    <x v="19"/>
    <n v="52"/>
    <x v="3"/>
    <x v="0"/>
    <x v="1596"/>
    <x v="1596"/>
    <x v="1"/>
    <x v="1599"/>
    <n v="9336335"/>
    <x v="13"/>
    <n v="0"/>
  </r>
  <r>
    <x v="1600"/>
    <x v="2"/>
    <x v="3"/>
    <x v="3"/>
    <x v="1"/>
    <n v="44"/>
    <x v="1"/>
    <x v="1"/>
    <x v="1597"/>
    <x v="1597"/>
    <x v="1"/>
    <x v="1600"/>
    <n v="7029128"/>
    <x v="6"/>
    <n v="0"/>
  </r>
  <r>
    <x v="1601"/>
    <x v="5"/>
    <x v="20"/>
    <x v="20"/>
    <x v="2"/>
    <n v="45"/>
    <x v="0"/>
    <x v="0"/>
    <x v="1598"/>
    <x v="1598"/>
    <x v="2"/>
    <x v="1601"/>
    <n v="3544274"/>
    <x v="20"/>
    <n v="0"/>
  </r>
  <r>
    <x v="1602"/>
    <x v="5"/>
    <x v="6"/>
    <x v="6"/>
    <x v="36"/>
    <n v="28"/>
    <x v="3"/>
    <x v="0"/>
    <x v="1599"/>
    <x v="1599"/>
    <x v="1"/>
    <x v="1602"/>
    <n v="2387998"/>
    <x v="15"/>
    <n v="0"/>
  </r>
  <r>
    <x v="1603"/>
    <x v="6"/>
    <x v="20"/>
    <x v="20"/>
    <x v="12"/>
    <n v="54"/>
    <x v="2"/>
    <x v="0"/>
    <x v="1600"/>
    <x v="1600"/>
    <x v="0"/>
    <x v="1603"/>
    <n v="8619044"/>
    <x v="18"/>
    <n v="0"/>
  </r>
  <r>
    <x v="1604"/>
    <x v="4"/>
    <x v="9"/>
    <x v="9"/>
    <x v="25"/>
    <n v="46"/>
    <x v="3"/>
    <x v="1"/>
    <x v="1601"/>
    <x v="1601"/>
    <x v="1"/>
    <x v="1604"/>
    <n v="2346155"/>
    <x v="22"/>
    <n v="0"/>
  </r>
  <r>
    <x v="1605"/>
    <x v="2"/>
    <x v="11"/>
    <x v="11"/>
    <x v="44"/>
    <n v="16"/>
    <x v="0"/>
    <x v="1"/>
    <x v="1602"/>
    <x v="1602"/>
    <x v="0"/>
    <x v="1605"/>
    <n v="2035291"/>
    <x v="13"/>
    <n v="0"/>
  </r>
  <r>
    <x v="1606"/>
    <x v="1"/>
    <x v="19"/>
    <x v="19"/>
    <x v="15"/>
    <n v="30"/>
    <x v="0"/>
    <x v="0"/>
    <x v="1603"/>
    <x v="1603"/>
    <x v="2"/>
    <x v="1606"/>
    <n v="2462815"/>
    <x v="25"/>
    <n v="0"/>
  </r>
  <r>
    <x v="1607"/>
    <x v="3"/>
    <x v="0"/>
    <x v="0"/>
    <x v="12"/>
    <n v="54"/>
    <x v="1"/>
    <x v="1"/>
    <x v="1604"/>
    <x v="1604"/>
    <x v="1"/>
    <x v="1607"/>
    <n v="5333988"/>
    <x v="8"/>
    <n v="0"/>
  </r>
  <r>
    <x v="1608"/>
    <x v="1"/>
    <x v="8"/>
    <x v="8"/>
    <x v="50"/>
    <n v="12"/>
    <x v="3"/>
    <x v="0"/>
    <x v="1605"/>
    <x v="1605"/>
    <x v="0"/>
    <x v="1608"/>
    <n v="1679781"/>
    <x v="1"/>
    <n v="0"/>
  </r>
  <r>
    <x v="1609"/>
    <x v="4"/>
    <x v="5"/>
    <x v="5"/>
    <x v="18"/>
    <n v="58"/>
    <x v="3"/>
    <x v="0"/>
    <x v="1606"/>
    <x v="1606"/>
    <x v="2"/>
    <x v="1609"/>
    <n v="9412124"/>
    <x v="17"/>
    <n v="0"/>
  </r>
  <r>
    <x v="1610"/>
    <x v="5"/>
    <x v="22"/>
    <x v="22"/>
    <x v="1"/>
    <n v="44"/>
    <x v="3"/>
    <x v="0"/>
    <x v="1607"/>
    <x v="1607"/>
    <x v="2"/>
    <x v="1610"/>
    <n v="967941"/>
    <x v="15"/>
    <n v="0"/>
  </r>
  <r>
    <x v="1611"/>
    <x v="1"/>
    <x v="2"/>
    <x v="2"/>
    <x v="26"/>
    <n v="42"/>
    <x v="2"/>
    <x v="0"/>
    <x v="1608"/>
    <x v="1608"/>
    <x v="0"/>
    <x v="1611"/>
    <n v="9751118"/>
    <x v="11"/>
    <n v="0"/>
  </r>
  <r>
    <x v="1612"/>
    <x v="6"/>
    <x v="3"/>
    <x v="3"/>
    <x v="5"/>
    <n v="24"/>
    <x v="1"/>
    <x v="0"/>
    <x v="1609"/>
    <x v="1609"/>
    <x v="1"/>
    <x v="1612"/>
    <n v="871686"/>
    <x v="21"/>
    <n v="0"/>
  </r>
  <r>
    <x v="1613"/>
    <x v="4"/>
    <x v="14"/>
    <x v="14"/>
    <x v="27"/>
    <n v="22"/>
    <x v="0"/>
    <x v="1"/>
    <x v="1610"/>
    <x v="1610"/>
    <x v="2"/>
    <x v="1613"/>
    <n v="9488877"/>
    <x v="7"/>
    <n v="0"/>
  </r>
  <r>
    <x v="1614"/>
    <x v="5"/>
    <x v="0"/>
    <x v="0"/>
    <x v="8"/>
    <n v="57"/>
    <x v="0"/>
    <x v="1"/>
    <x v="183"/>
    <x v="183"/>
    <x v="0"/>
    <x v="1614"/>
    <n v="9975442"/>
    <x v="16"/>
    <n v="0"/>
  </r>
  <r>
    <x v="1615"/>
    <x v="3"/>
    <x v="1"/>
    <x v="1"/>
    <x v="41"/>
    <n v="25"/>
    <x v="1"/>
    <x v="1"/>
    <x v="1611"/>
    <x v="1611"/>
    <x v="1"/>
    <x v="1615"/>
    <n v="9453077"/>
    <x v="8"/>
    <n v="0"/>
  </r>
  <r>
    <x v="1616"/>
    <x v="5"/>
    <x v="1"/>
    <x v="1"/>
    <x v="39"/>
    <n v="49"/>
    <x v="0"/>
    <x v="1"/>
    <x v="1612"/>
    <x v="1612"/>
    <x v="2"/>
    <x v="1616"/>
    <n v="687392"/>
    <x v="12"/>
    <n v="0"/>
  </r>
  <r>
    <x v="1617"/>
    <x v="0"/>
    <x v="16"/>
    <x v="16"/>
    <x v="15"/>
    <n v="30"/>
    <x v="0"/>
    <x v="0"/>
    <x v="1613"/>
    <x v="1613"/>
    <x v="0"/>
    <x v="1617"/>
    <n v="7161686"/>
    <x v="3"/>
    <n v="0"/>
  </r>
  <r>
    <x v="1618"/>
    <x v="6"/>
    <x v="3"/>
    <x v="3"/>
    <x v="47"/>
    <n v="17"/>
    <x v="1"/>
    <x v="0"/>
    <x v="1614"/>
    <x v="1614"/>
    <x v="2"/>
    <x v="1618"/>
    <n v="1661403"/>
    <x v="21"/>
    <n v="0"/>
  </r>
  <r>
    <x v="1619"/>
    <x v="4"/>
    <x v="3"/>
    <x v="3"/>
    <x v="16"/>
    <n v="11"/>
    <x v="0"/>
    <x v="1"/>
    <x v="1615"/>
    <x v="1615"/>
    <x v="2"/>
    <x v="1619"/>
    <n v="8805822"/>
    <x v="17"/>
    <n v="0"/>
  </r>
  <r>
    <x v="1620"/>
    <x v="3"/>
    <x v="5"/>
    <x v="5"/>
    <x v="33"/>
    <n v="37"/>
    <x v="3"/>
    <x v="1"/>
    <x v="1616"/>
    <x v="1616"/>
    <x v="0"/>
    <x v="1620"/>
    <n v="1066576"/>
    <x v="4"/>
    <n v="0"/>
  </r>
  <r>
    <x v="1621"/>
    <x v="6"/>
    <x v="14"/>
    <x v="14"/>
    <x v="21"/>
    <n v="59"/>
    <x v="2"/>
    <x v="0"/>
    <x v="1617"/>
    <x v="1617"/>
    <x v="2"/>
    <x v="1621"/>
    <n v="351844"/>
    <x v="26"/>
    <n v="0"/>
  </r>
  <r>
    <x v="1622"/>
    <x v="5"/>
    <x v="13"/>
    <x v="13"/>
    <x v="36"/>
    <n v="28"/>
    <x v="1"/>
    <x v="0"/>
    <x v="1618"/>
    <x v="1618"/>
    <x v="0"/>
    <x v="1622"/>
    <n v="9915941"/>
    <x v="16"/>
    <n v="0"/>
  </r>
  <r>
    <x v="1623"/>
    <x v="6"/>
    <x v="21"/>
    <x v="21"/>
    <x v="36"/>
    <n v="28"/>
    <x v="2"/>
    <x v="0"/>
    <x v="1619"/>
    <x v="1619"/>
    <x v="1"/>
    <x v="1623"/>
    <n v="4512115"/>
    <x v="21"/>
    <n v="0"/>
  </r>
  <r>
    <x v="1624"/>
    <x v="4"/>
    <x v="14"/>
    <x v="14"/>
    <x v="46"/>
    <n v="27"/>
    <x v="0"/>
    <x v="1"/>
    <x v="1620"/>
    <x v="1620"/>
    <x v="0"/>
    <x v="1624"/>
    <n v="1745984"/>
    <x v="22"/>
    <n v="0"/>
  </r>
  <r>
    <x v="1625"/>
    <x v="2"/>
    <x v="9"/>
    <x v="9"/>
    <x v="34"/>
    <n v="36"/>
    <x v="0"/>
    <x v="0"/>
    <x v="1621"/>
    <x v="1621"/>
    <x v="1"/>
    <x v="1625"/>
    <n v="9708299"/>
    <x v="13"/>
    <n v="0"/>
  </r>
  <r>
    <x v="1626"/>
    <x v="6"/>
    <x v="18"/>
    <x v="18"/>
    <x v="23"/>
    <n v="32"/>
    <x v="3"/>
    <x v="0"/>
    <x v="1622"/>
    <x v="1622"/>
    <x v="2"/>
    <x v="1626"/>
    <n v="9849327"/>
    <x v="26"/>
    <n v="0"/>
  </r>
  <r>
    <x v="1627"/>
    <x v="0"/>
    <x v="8"/>
    <x v="8"/>
    <x v="12"/>
    <n v="54"/>
    <x v="1"/>
    <x v="1"/>
    <x v="1623"/>
    <x v="1623"/>
    <x v="0"/>
    <x v="1627"/>
    <n v="2276906"/>
    <x v="23"/>
    <n v="0"/>
  </r>
  <r>
    <x v="1628"/>
    <x v="6"/>
    <x v="13"/>
    <x v="13"/>
    <x v="42"/>
    <n v="35"/>
    <x v="0"/>
    <x v="1"/>
    <x v="1624"/>
    <x v="1624"/>
    <x v="0"/>
    <x v="1628"/>
    <n v="8715636"/>
    <x v="18"/>
    <n v="0"/>
  </r>
  <r>
    <x v="1629"/>
    <x v="5"/>
    <x v="12"/>
    <x v="12"/>
    <x v="42"/>
    <n v="35"/>
    <x v="1"/>
    <x v="1"/>
    <x v="1625"/>
    <x v="1625"/>
    <x v="0"/>
    <x v="1629"/>
    <n v="4209022"/>
    <x v="20"/>
    <n v="0"/>
  </r>
  <r>
    <x v="1630"/>
    <x v="5"/>
    <x v="9"/>
    <x v="9"/>
    <x v="47"/>
    <n v="17"/>
    <x v="1"/>
    <x v="0"/>
    <x v="1626"/>
    <x v="1626"/>
    <x v="0"/>
    <x v="1630"/>
    <n v="412300"/>
    <x v="15"/>
    <n v="0"/>
  </r>
  <r>
    <x v="1631"/>
    <x v="3"/>
    <x v="1"/>
    <x v="1"/>
    <x v="21"/>
    <n v="59"/>
    <x v="1"/>
    <x v="0"/>
    <x v="1627"/>
    <x v="1627"/>
    <x v="1"/>
    <x v="1631"/>
    <n v="2995628"/>
    <x v="4"/>
    <n v="0"/>
  </r>
  <r>
    <x v="1632"/>
    <x v="5"/>
    <x v="7"/>
    <x v="7"/>
    <x v="27"/>
    <n v="22"/>
    <x v="1"/>
    <x v="1"/>
    <x v="1628"/>
    <x v="1628"/>
    <x v="1"/>
    <x v="1632"/>
    <n v="924748"/>
    <x v="16"/>
    <n v="0"/>
  </r>
  <r>
    <x v="1633"/>
    <x v="1"/>
    <x v="0"/>
    <x v="0"/>
    <x v="30"/>
    <n v="14"/>
    <x v="1"/>
    <x v="0"/>
    <x v="1629"/>
    <x v="1629"/>
    <x v="2"/>
    <x v="1633"/>
    <n v="3046085"/>
    <x v="1"/>
    <n v="0"/>
  </r>
  <r>
    <x v="1634"/>
    <x v="4"/>
    <x v="1"/>
    <x v="1"/>
    <x v="38"/>
    <n v="43"/>
    <x v="2"/>
    <x v="0"/>
    <x v="1630"/>
    <x v="1630"/>
    <x v="2"/>
    <x v="1634"/>
    <n v="1010881"/>
    <x v="22"/>
    <n v="0"/>
  </r>
  <r>
    <x v="1635"/>
    <x v="4"/>
    <x v="6"/>
    <x v="6"/>
    <x v="6"/>
    <n v="40"/>
    <x v="3"/>
    <x v="0"/>
    <x v="1631"/>
    <x v="1631"/>
    <x v="2"/>
    <x v="1635"/>
    <n v="9281534"/>
    <x v="22"/>
    <n v="0"/>
  </r>
  <r>
    <x v="1636"/>
    <x v="2"/>
    <x v="2"/>
    <x v="2"/>
    <x v="40"/>
    <n v="31"/>
    <x v="1"/>
    <x v="1"/>
    <x v="1632"/>
    <x v="1632"/>
    <x v="2"/>
    <x v="1636"/>
    <n v="6786346"/>
    <x v="5"/>
    <n v="0"/>
  </r>
  <r>
    <x v="1637"/>
    <x v="2"/>
    <x v="7"/>
    <x v="7"/>
    <x v="40"/>
    <n v="31"/>
    <x v="2"/>
    <x v="1"/>
    <x v="1633"/>
    <x v="1633"/>
    <x v="0"/>
    <x v="1637"/>
    <n v="8922915"/>
    <x v="5"/>
    <n v="0"/>
  </r>
  <r>
    <x v="1638"/>
    <x v="4"/>
    <x v="1"/>
    <x v="1"/>
    <x v="39"/>
    <n v="49"/>
    <x v="0"/>
    <x v="0"/>
    <x v="1634"/>
    <x v="1634"/>
    <x v="1"/>
    <x v="1638"/>
    <n v="7314261"/>
    <x v="19"/>
    <n v="0"/>
  </r>
  <r>
    <x v="1639"/>
    <x v="0"/>
    <x v="12"/>
    <x v="12"/>
    <x v="13"/>
    <n v="20"/>
    <x v="1"/>
    <x v="0"/>
    <x v="1635"/>
    <x v="1635"/>
    <x v="1"/>
    <x v="1639"/>
    <n v="1747225"/>
    <x v="23"/>
    <n v="0"/>
  </r>
  <r>
    <x v="1640"/>
    <x v="2"/>
    <x v="12"/>
    <x v="12"/>
    <x v="32"/>
    <n v="51"/>
    <x v="0"/>
    <x v="0"/>
    <x v="1636"/>
    <x v="1636"/>
    <x v="1"/>
    <x v="1640"/>
    <n v="9435525"/>
    <x v="5"/>
    <n v="0"/>
  </r>
  <r>
    <x v="1641"/>
    <x v="3"/>
    <x v="21"/>
    <x v="21"/>
    <x v="26"/>
    <n v="42"/>
    <x v="1"/>
    <x v="0"/>
    <x v="1637"/>
    <x v="1637"/>
    <x v="1"/>
    <x v="1641"/>
    <n v="9048984"/>
    <x v="10"/>
    <n v="0"/>
  </r>
  <r>
    <x v="1642"/>
    <x v="5"/>
    <x v="11"/>
    <x v="11"/>
    <x v="40"/>
    <n v="31"/>
    <x v="2"/>
    <x v="1"/>
    <x v="1638"/>
    <x v="1638"/>
    <x v="2"/>
    <x v="1642"/>
    <n v="3806723"/>
    <x v="12"/>
    <n v="0"/>
  </r>
  <r>
    <x v="1643"/>
    <x v="4"/>
    <x v="15"/>
    <x v="15"/>
    <x v="17"/>
    <n v="33"/>
    <x v="2"/>
    <x v="1"/>
    <x v="1639"/>
    <x v="1639"/>
    <x v="0"/>
    <x v="1643"/>
    <n v="1559567"/>
    <x v="17"/>
    <n v="0"/>
  </r>
  <r>
    <x v="1644"/>
    <x v="2"/>
    <x v="23"/>
    <x v="23"/>
    <x v="0"/>
    <n v="23"/>
    <x v="2"/>
    <x v="0"/>
    <x v="1640"/>
    <x v="1640"/>
    <x v="1"/>
    <x v="1644"/>
    <n v="718947"/>
    <x v="6"/>
    <n v="0"/>
  </r>
  <r>
    <x v="1645"/>
    <x v="4"/>
    <x v="16"/>
    <x v="16"/>
    <x v="43"/>
    <n v="48"/>
    <x v="3"/>
    <x v="0"/>
    <x v="1641"/>
    <x v="1641"/>
    <x v="0"/>
    <x v="1645"/>
    <n v="7419432"/>
    <x v="17"/>
    <n v="0"/>
  </r>
  <r>
    <x v="1646"/>
    <x v="1"/>
    <x v="22"/>
    <x v="22"/>
    <x v="34"/>
    <n v="36"/>
    <x v="0"/>
    <x v="1"/>
    <x v="1642"/>
    <x v="1642"/>
    <x v="0"/>
    <x v="1646"/>
    <n v="9019876"/>
    <x v="25"/>
    <n v="0"/>
  </r>
  <r>
    <x v="1647"/>
    <x v="6"/>
    <x v="17"/>
    <x v="17"/>
    <x v="4"/>
    <n v="26"/>
    <x v="3"/>
    <x v="0"/>
    <x v="1643"/>
    <x v="1643"/>
    <x v="0"/>
    <x v="1647"/>
    <n v="100023"/>
    <x v="26"/>
    <n v="0"/>
  </r>
  <r>
    <x v="1648"/>
    <x v="5"/>
    <x v="5"/>
    <x v="5"/>
    <x v="6"/>
    <n v="40"/>
    <x v="1"/>
    <x v="1"/>
    <x v="1644"/>
    <x v="1644"/>
    <x v="0"/>
    <x v="1648"/>
    <n v="1846186"/>
    <x v="20"/>
    <n v="0"/>
  </r>
  <r>
    <x v="1649"/>
    <x v="4"/>
    <x v="15"/>
    <x v="15"/>
    <x v="49"/>
    <n v="60"/>
    <x v="0"/>
    <x v="0"/>
    <x v="1645"/>
    <x v="1645"/>
    <x v="1"/>
    <x v="1649"/>
    <n v="6183364"/>
    <x v="7"/>
    <n v="0"/>
  </r>
  <r>
    <x v="1650"/>
    <x v="6"/>
    <x v="0"/>
    <x v="0"/>
    <x v="23"/>
    <n v="32"/>
    <x v="2"/>
    <x v="1"/>
    <x v="1646"/>
    <x v="1646"/>
    <x v="1"/>
    <x v="1650"/>
    <n v="638175"/>
    <x v="26"/>
    <n v="0"/>
  </r>
  <r>
    <x v="1651"/>
    <x v="2"/>
    <x v="0"/>
    <x v="0"/>
    <x v="24"/>
    <n v="56"/>
    <x v="0"/>
    <x v="0"/>
    <x v="1647"/>
    <x v="1647"/>
    <x v="1"/>
    <x v="1651"/>
    <n v="819292"/>
    <x v="6"/>
    <n v="0"/>
  </r>
  <r>
    <x v="1652"/>
    <x v="6"/>
    <x v="0"/>
    <x v="0"/>
    <x v="46"/>
    <n v="27"/>
    <x v="2"/>
    <x v="0"/>
    <x v="1648"/>
    <x v="1648"/>
    <x v="2"/>
    <x v="1652"/>
    <n v="4270854"/>
    <x v="26"/>
    <n v="0"/>
  </r>
  <r>
    <x v="1653"/>
    <x v="5"/>
    <x v="18"/>
    <x v="18"/>
    <x v="29"/>
    <n v="13"/>
    <x v="3"/>
    <x v="1"/>
    <x v="1649"/>
    <x v="1649"/>
    <x v="1"/>
    <x v="1653"/>
    <n v="6049536"/>
    <x v="12"/>
    <n v="0"/>
  </r>
  <r>
    <x v="1654"/>
    <x v="4"/>
    <x v="17"/>
    <x v="17"/>
    <x v="13"/>
    <n v="20"/>
    <x v="3"/>
    <x v="1"/>
    <x v="1650"/>
    <x v="1650"/>
    <x v="2"/>
    <x v="1654"/>
    <n v="7510158"/>
    <x v="22"/>
    <n v="0"/>
  </r>
  <r>
    <x v="1655"/>
    <x v="1"/>
    <x v="1"/>
    <x v="1"/>
    <x v="40"/>
    <n v="31"/>
    <x v="2"/>
    <x v="0"/>
    <x v="1651"/>
    <x v="1651"/>
    <x v="2"/>
    <x v="1655"/>
    <n v="3503432"/>
    <x v="14"/>
    <n v="0"/>
  </r>
  <r>
    <x v="1656"/>
    <x v="0"/>
    <x v="14"/>
    <x v="14"/>
    <x v="28"/>
    <n v="21"/>
    <x v="2"/>
    <x v="0"/>
    <x v="1652"/>
    <x v="1652"/>
    <x v="2"/>
    <x v="1656"/>
    <n v="5097083"/>
    <x v="0"/>
    <n v="0"/>
  </r>
  <r>
    <x v="1657"/>
    <x v="2"/>
    <x v="23"/>
    <x v="23"/>
    <x v="22"/>
    <n v="10"/>
    <x v="1"/>
    <x v="1"/>
    <x v="1653"/>
    <x v="1653"/>
    <x v="1"/>
    <x v="1657"/>
    <n v="8233521"/>
    <x v="2"/>
    <n v="0"/>
  </r>
  <r>
    <x v="1658"/>
    <x v="4"/>
    <x v="19"/>
    <x v="19"/>
    <x v="24"/>
    <n v="56"/>
    <x v="3"/>
    <x v="1"/>
    <x v="1654"/>
    <x v="1654"/>
    <x v="1"/>
    <x v="1658"/>
    <n v="9562003"/>
    <x v="7"/>
    <n v="0"/>
  </r>
  <r>
    <x v="1659"/>
    <x v="5"/>
    <x v="15"/>
    <x v="15"/>
    <x v="19"/>
    <n v="52"/>
    <x v="3"/>
    <x v="0"/>
    <x v="1655"/>
    <x v="1655"/>
    <x v="1"/>
    <x v="1659"/>
    <n v="2687989"/>
    <x v="15"/>
    <n v="0"/>
  </r>
  <r>
    <x v="1660"/>
    <x v="2"/>
    <x v="12"/>
    <x v="12"/>
    <x v="11"/>
    <n v="47"/>
    <x v="1"/>
    <x v="0"/>
    <x v="1656"/>
    <x v="1656"/>
    <x v="2"/>
    <x v="1660"/>
    <n v="2903901"/>
    <x v="2"/>
    <n v="0"/>
  </r>
  <r>
    <x v="1661"/>
    <x v="3"/>
    <x v="2"/>
    <x v="2"/>
    <x v="10"/>
    <n v="18"/>
    <x v="3"/>
    <x v="1"/>
    <x v="1657"/>
    <x v="1657"/>
    <x v="2"/>
    <x v="1661"/>
    <n v="9428273"/>
    <x v="4"/>
    <n v="0"/>
  </r>
  <r>
    <x v="1662"/>
    <x v="6"/>
    <x v="13"/>
    <x v="13"/>
    <x v="44"/>
    <n v="16"/>
    <x v="2"/>
    <x v="1"/>
    <x v="1658"/>
    <x v="1658"/>
    <x v="0"/>
    <x v="1662"/>
    <n v="4261156"/>
    <x v="26"/>
    <n v="0"/>
  </r>
  <r>
    <x v="1663"/>
    <x v="0"/>
    <x v="16"/>
    <x v="16"/>
    <x v="29"/>
    <n v="13"/>
    <x v="0"/>
    <x v="1"/>
    <x v="1659"/>
    <x v="1659"/>
    <x v="2"/>
    <x v="1663"/>
    <n v="7324309"/>
    <x v="9"/>
    <n v="0"/>
  </r>
  <r>
    <x v="1664"/>
    <x v="5"/>
    <x v="7"/>
    <x v="7"/>
    <x v="25"/>
    <n v="46"/>
    <x v="0"/>
    <x v="1"/>
    <x v="1660"/>
    <x v="1660"/>
    <x v="2"/>
    <x v="1664"/>
    <n v="631652"/>
    <x v="15"/>
    <n v="0"/>
  </r>
  <r>
    <x v="1665"/>
    <x v="3"/>
    <x v="20"/>
    <x v="20"/>
    <x v="24"/>
    <n v="56"/>
    <x v="3"/>
    <x v="1"/>
    <x v="1661"/>
    <x v="1661"/>
    <x v="1"/>
    <x v="1665"/>
    <n v="3213083"/>
    <x v="10"/>
    <n v="0"/>
  </r>
  <r>
    <x v="1666"/>
    <x v="4"/>
    <x v="20"/>
    <x v="20"/>
    <x v="23"/>
    <n v="32"/>
    <x v="1"/>
    <x v="0"/>
    <x v="1662"/>
    <x v="1662"/>
    <x v="0"/>
    <x v="1666"/>
    <n v="6708841"/>
    <x v="17"/>
    <n v="0"/>
  </r>
  <r>
    <x v="1667"/>
    <x v="1"/>
    <x v="9"/>
    <x v="9"/>
    <x v="44"/>
    <n v="16"/>
    <x v="2"/>
    <x v="0"/>
    <x v="1663"/>
    <x v="1663"/>
    <x v="0"/>
    <x v="1667"/>
    <n v="6727876"/>
    <x v="14"/>
    <n v="0"/>
  </r>
  <r>
    <x v="1668"/>
    <x v="2"/>
    <x v="23"/>
    <x v="23"/>
    <x v="34"/>
    <n v="36"/>
    <x v="0"/>
    <x v="1"/>
    <x v="1664"/>
    <x v="1664"/>
    <x v="0"/>
    <x v="1668"/>
    <n v="612821"/>
    <x v="2"/>
    <n v="0"/>
  </r>
  <r>
    <x v="1669"/>
    <x v="6"/>
    <x v="20"/>
    <x v="20"/>
    <x v="46"/>
    <n v="27"/>
    <x v="2"/>
    <x v="0"/>
    <x v="1665"/>
    <x v="1665"/>
    <x v="1"/>
    <x v="1669"/>
    <n v="1446778"/>
    <x v="24"/>
    <n v="0"/>
  </r>
  <r>
    <x v="1670"/>
    <x v="2"/>
    <x v="4"/>
    <x v="4"/>
    <x v="35"/>
    <n v="29"/>
    <x v="3"/>
    <x v="0"/>
    <x v="1666"/>
    <x v="1666"/>
    <x v="0"/>
    <x v="1670"/>
    <n v="9954132"/>
    <x v="13"/>
    <n v="0"/>
  </r>
  <r>
    <x v="1671"/>
    <x v="0"/>
    <x v="4"/>
    <x v="4"/>
    <x v="3"/>
    <n v="41"/>
    <x v="3"/>
    <x v="1"/>
    <x v="1667"/>
    <x v="1667"/>
    <x v="0"/>
    <x v="1671"/>
    <n v="4303956"/>
    <x v="0"/>
    <n v="0"/>
  </r>
  <r>
    <x v="1672"/>
    <x v="4"/>
    <x v="6"/>
    <x v="6"/>
    <x v="25"/>
    <n v="46"/>
    <x v="0"/>
    <x v="0"/>
    <x v="1668"/>
    <x v="1668"/>
    <x v="1"/>
    <x v="1672"/>
    <n v="6563384"/>
    <x v="17"/>
    <n v="0"/>
  </r>
  <r>
    <x v="1673"/>
    <x v="2"/>
    <x v="16"/>
    <x v="16"/>
    <x v="44"/>
    <n v="16"/>
    <x v="3"/>
    <x v="0"/>
    <x v="1669"/>
    <x v="1669"/>
    <x v="0"/>
    <x v="1673"/>
    <n v="8914736"/>
    <x v="2"/>
    <n v="0"/>
  </r>
  <r>
    <x v="1674"/>
    <x v="6"/>
    <x v="3"/>
    <x v="3"/>
    <x v="50"/>
    <n v="12"/>
    <x v="1"/>
    <x v="0"/>
    <x v="1670"/>
    <x v="1670"/>
    <x v="2"/>
    <x v="1674"/>
    <n v="4521241"/>
    <x v="24"/>
    <n v="0"/>
  </r>
  <r>
    <x v="1675"/>
    <x v="4"/>
    <x v="10"/>
    <x v="10"/>
    <x v="49"/>
    <n v="60"/>
    <x v="3"/>
    <x v="1"/>
    <x v="1671"/>
    <x v="1671"/>
    <x v="2"/>
    <x v="1675"/>
    <n v="7852288"/>
    <x v="17"/>
    <n v="0"/>
  </r>
  <r>
    <x v="1676"/>
    <x v="2"/>
    <x v="22"/>
    <x v="22"/>
    <x v="27"/>
    <n v="22"/>
    <x v="3"/>
    <x v="1"/>
    <x v="1672"/>
    <x v="1672"/>
    <x v="2"/>
    <x v="1676"/>
    <n v="9732332"/>
    <x v="13"/>
    <n v="0"/>
  </r>
  <r>
    <x v="1677"/>
    <x v="1"/>
    <x v="8"/>
    <x v="8"/>
    <x v="29"/>
    <n v="13"/>
    <x v="3"/>
    <x v="0"/>
    <x v="1673"/>
    <x v="1673"/>
    <x v="2"/>
    <x v="1677"/>
    <n v="390988"/>
    <x v="1"/>
    <n v="0"/>
  </r>
  <r>
    <x v="1678"/>
    <x v="5"/>
    <x v="23"/>
    <x v="23"/>
    <x v="20"/>
    <n v="19"/>
    <x v="2"/>
    <x v="0"/>
    <x v="1674"/>
    <x v="1674"/>
    <x v="2"/>
    <x v="1678"/>
    <n v="4350061"/>
    <x v="15"/>
    <n v="0"/>
  </r>
  <r>
    <x v="1679"/>
    <x v="4"/>
    <x v="8"/>
    <x v="8"/>
    <x v="50"/>
    <n v="12"/>
    <x v="2"/>
    <x v="0"/>
    <x v="1675"/>
    <x v="1675"/>
    <x v="2"/>
    <x v="1679"/>
    <n v="9102973"/>
    <x v="19"/>
    <n v="0"/>
  </r>
  <r>
    <x v="1680"/>
    <x v="5"/>
    <x v="12"/>
    <x v="12"/>
    <x v="15"/>
    <n v="30"/>
    <x v="0"/>
    <x v="0"/>
    <x v="1676"/>
    <x v="1676"/>
    <x v="2"/>
    <x v="1680"/>
    <n v="2016607"/>
    <x v="12"/>
    <n v="0"/>
  </r>
  <r>
    <x v="1681"/>
    <x v="4"/>
    <x v="23"/>
    <x v="23"/>
    <x v="31"/>
    <n v="50"/>
    <x v="0"/>
    <x v="0"/>
    <x v="1677"/>
    <x v="1677"/>
    <x v="2"/>
    <x v="1681"/>
    <n v="771651"/>
    <x v="7"/>
    <n v="0"/>
  </r>
  <r>
    <x v="1682"/>
    <x v="1"/>
    <x v="1"/>
    <x v="1"/>
    <x v="46"/>
    <n v="27"/>
    <x v="0"/>
    <x v="0"/>
    <x v="1678"/>
    <x v="1678"/>
    <x v="2"/>
    <x v="1682"/>
    <n v="9134446"/>
    <x v="25"/>
    <n v="0"/>
  </r>
  <r>
    <x v="1683"/>
    <x v="5"/>
    <x v="7"/>
    <x v="7"/>
    <x v="23"/>
    <n v="32"/>
    <x v="3"/>
    <x v="1"/>
    <x v="1679"/>
    <x v="1679"/>
    <x v="1"/>
    <x v="1683"/>
    <n v="830512"/>
    <x v="20"/>
    <n v="0"/>
  </r>
  <r>
    <x v="1684"/>
    <x v="3"/>
    <x v="17"/>
    <x v="17"/>
    <x v="1"/>
    <n v="44"/>
    <x v="2"/>
    <x v="0"/>
    <x v="1680"/>
    <x v="1680"/>
    <x v="1"/>
    <x v="1684"/>
    <n v="9739539"/>
    <x v="8"/>
    <n v="0"/>
  </r>
  <r>
    <x v="1685"/>
    <x v="6"/>
    <x v="0"/>
    <x v="0"/>
    <x v="42"/>
    <n v="35"/>
    <x v="1"/>
    <x v="0"/>
    <x v="1681"/>
    <x v="1681"/>
    <x v="2"/>
    <x v="1685"/>
    <n v="1053259"/>
    <x v="26"/>
    <n v="0"/>
  </r>
  <r>
    <x v="1686"/>
    <x v="3"/>
    <x v="17"/>
    <x v="17"/>
    <x v="7"/>
    <n v="53"/>
    <x v="3"/>
    <x v="1"/>
    <x v="1682"/>
    <x v="1682"/>
    <x v="1"/>
    <x v="1686"/>
    <n v="1983685"/>
    <x v="4"/>
    <n v="0"/>
  </r>
  <r>
    <x v="1687"/>
    <x v="2"/>
    <x v="11"/>
    <x v="11"/>
    <x v="7"/>
    <n v="53"/>
    <x v="3"/>
    <x v="0"/>
    <x v="1683"/>
    <x v="1683"/>
    <x v="1"/>
    <x v="1687"/>
    <n v="1500469"/>
    <x v="2"/>
    <n v="0"/>
  </r>
  <r>
    <x v="1688"/>
    <x v="1"/>
    <x v="11"/>
    <x v="11"/>
    <x v="22"/>
    <n v="10"/>
    <x v="3"/>
    <x v="0"/>
    <x v="1684"/>
    <x v="1684"/>
    <x v="2"/>
    <x v="1688"/>
    <n v="6992453"/>
    <x v="11"/>
    <n v="0"/>
  </r>
  <r>
    <x v="1689"/>
    <x v="3"/>
    <x v="23"/>
    <x v="23"/>
    <x v="39"/>
    <n v="49"/>
    <x v="1"/>
    <x v="0"/>
    <x v="1685"/>
    <x v="1685"/>
    <x v="2"/>
    <x v="1689"/>
    <n v="6257096"/>
    <x v="4"/>
    <n v="0"/>
  </r>
  <r>
    <x v="1690"/>
    <x v="4"/>
    <x v="18"/>
    <x v="18"/>
    <x v="17"/>
    <n v="33"/>
    <x v="0"/>
    <x v="0"/>
    <x v="1686"/>
    <x v="1686"/>
    <x v="1"/>
    <x v="1690"/>
    <n v="3913684"/>
    <x v="7"/>
    <n v="0"/>
  </r>
  <r>
    <x v="1691"/>
    <x v="2"/>
    <x v="21"/>
    <x v="21"/>
    <x v="21"/>
    <n v="59"/>
    <x v="1"/>
    <x v="1"/>
    <x v="1687"/>
    <x v="1687"/>
    <x v="2"/>
    <x v="1691"/>
    <n v="1045523"/>
    <x v="13"/>
    <n v="0"/>
  </r>
  <r>
    <x v="1692"/>
    <x v="2"/>
    <x v="19"/>
    <x v="19"/>
    <x v="48"/>
    <n v="34"/>
    <x v="0"/>
    <x v="0"/>
    <x v="1688"/>
    <x v="1688"/>
    <x v="2"/>
    <x v="1692"/>
    <n v="6576789"/>
    <x v="13"/>
    <n v="0"/>
  </r>
  <r>
    <x v="1693"/>
    <x v="3"/>
    <x v="18"/>
    <x v="18"/>
    <x v="21"/>
    <n v="59"/>
    <x v="1"/>
    <x v="1"/>
    <x v="1689"/>
    <x v="1689"/>
    <x v="2"/>
    <x v="1693"/>
    <n v="5916145"/>
    <x v="10"/>
    <n v="0"/>
  </r>
  <r>
    <x v="1694"/>
    <x v="3"/>
    <x v="12"/>
    <x v="12"/>
    <x v="43"/>
    <n v="48"/>
    <x v="2"/>
    <x v="0"/>
    <x v="1690"/>
    <x v="1690"/>
    <x v="2"/>
    <x v="1694"/>
    <n v="1572581"/>
    <x v="27"/>
    <n v="0"/>
  </r>
  <r>
    <x v="1695"/>
    <x v="1"/>
    <x v="19"/>
    <x v="19"/>
    <x v="27"/>
    <n v="22"/>
    <x v="3"/>
    <x v="0"/>
    <x v="1691"/>
    <x v="1691"/>
    <x v="1"/>
    <x v="1695"/>
    <n v="9134642"/>
    <x v="14"/>
    <n v="0"/>
  </r>
  <r>
    <x v="1696"/>
    <x v="6"/>
    <x v="15"/>
    <x v="15"/>
    <x v="33"/>
    <n v="37"/>
    <x v="3"/>
    <x v="1"/>
    <x v="1692"/>
    <x v="1692"/>
    <x v="0"/>
    <x v="1696"/>
    <n v="2390022"/>
    <x v="21"/>
    <n v="0"/>
  </r>
  <r>
    <x v="1697"/>
    <x v="3"/>
    <x v="17"/>
    <x v="17"/>
    <x v="49"/>
    <n v="60"/>
    <x v="3"/>
    <x v="0"/>
    <x v="1693"/>
    <x v="1693"/>
    <x v="1"/>
    <x v="1697"/>
    <n v="7563337"/>
    <x v="4"/>
    <n v="0"/>
  </r>
  <r>
    <x v="1698"/>
    <x v="0"/>
    <x v="17"/>
    <x v="17"/>
    <x v="7"/>
    <n v="53"/>
    <x v="0"/>
    <x v="1"/>
    <x v="1694"/>
    <x v="1694"/>
    <x v="0"/>
    <x v="1698"/>
    <n v="8908221"/>
    <x v="0"/>
    <n v="0"/>
  </r>
  <r>
    <x v="1699"/>
    <x v="3"/>
    <x v="19"/>
    <x v="19"/>
    <x v="9"/>
    <n v="15"/>
    <x v="1"/>
    <x v="1"/>
    <x v="1695"/>
    <x v="1695"/>
    <x v="0"/>
    <x v="1699"/>
    <n v="6005012"/>
    <x v="4"/>
    <n v="0"/>
  </r>
  <r>
    <x v="1700"/>
    <x v="5"/>
    <x v="22"/>
    <x v="22"/>
    <x v="2"/>
    <n v="45"/>
    <x v="2"/>
    <x v="1"/>
    <x v="1696"/>
    <x v="1696"/>
    <x v="0"/>
    <x v="1700"/>
    <n v="2845065"/>
    <x v="16"/>
    <n v="0"/>
  </r>
  <r>
    <x v="1701"/>
    <x v="4"/>
    <x v="18"/>
    <x v="18"/>
    <x v="46"/>
    <n v="27"/>
    <x v="1"/>
    <x v="0"/>
    <x v="1697"/>
    <x v="1697"/>
    <x v="1"/>
    <x v="1701"/>
    <n v="3437861"/>
    <x v="7"/>
    <n v="0"/>
  </r>
  <r>
    <x v="1702"/>
    <x v="0"/>
    <x v="21"/>
    <x v="21"/>
    <x v="22"/>
    <n v="10"/>
    <x v="3"/>
    <x v="0"/>
    <x v="1698"/>
    <x v="1698"/>
    <x v="1"/>
    <x v="1702"/>
    <n v="8914602"/>
    <x v="23"/>
    <n v="0"/>
  </r>
  <r>
    <x v="1703"/>
    <x v="0"/>
    <x v="23"/>
    <x v="23"/>
    <x v="15"/>
    <n v="30"/>
    <x v="2"/>
    <x v="0"/>
    <x v="1699"/>
    <x v="1699"/>
    <x v="1"/>
    <x v="1703"/>
    <n v="3333443"/>
    <x v="0"/>
    <n v="0"/>
  </r>
  <r>
    <x v="1704"/>
    <x v="5"/>
    <x v="10"/>
    <x v="10"/>
    <x v="27"/>
    <n v="22"/>
    <x v="2"/>
    <x v="0"/>
    <x v="1700"/>
    <x v="1700"/>
    <x v="1"/>
    <x v="1704"/>
    <n v="758881"/>
    <x v="12"/>
    <n v="0"/>
  </r>
  <r>
    <x v="1705"/>
    <x v="5"/>
    <x v="17"/>
    <x v="17"/>
    <x v="32"/>
    <n v="51"/>
    <x v="3"/>
    <x v="1"/>
    <x v="1701"/>
    <x v="1701"/>
    <x v="1"/>
    <x v="1705"/>
    <n v="990657"/>
    <x v="20"/>
    <n v="0"/>
  </r>
  <r>
    <x v="1706"/>
    <x v="2"/>
    <x v="13"/>
    <x v="13"/>
    <x v="46"/>
    <n v="27"/>
    <x v="1"/>
    <x v="0"/>
    <x v="1702"/>
    <x v="1702"/>
    <x v="0"/>
    <x v="1706"/>
    <n v="9998259"/>
    <x v="13"/>
    <n v="0"/>
  </r>
  <r>
    <x v="1707"/>
    <x v="6"/>
    <x v="22"/>
    <x v="22"/>
    <x v="32"/>
    <n v="51"/>
    <x v="3"/>
    <x v="0"/>
    <x v="1703"/>
    <x v="1703"/>
    <x v="1"/>
    <x v="1707"/>
    <n v="5568058"/>
    <x v="21"/>
    <n v="0"/>
  </r>
  <r>
    <x v="1708"/>
    <x v="4"/>
    <x v="10"/>
    <x v="10"/>
    <x v="22"/>
    <n v="10"/>
    <x v="1"/>
    <x v="1"/>
    <x v="1704"/>
    <x v="1704"/>
    <x v="0"/>
    <x v="1708"/>
    <n v="835228"/>
    <x v="22"/>
    <n v="0"/>
  </r>
  <r>
    <x v="1709"/>
    <x v="1"/>
    <x v="2"/>
    <x v="2"/>
    <x v="41"/>
    <n v="25"/>
    <x v="2"/>
    <x v="1"/>
    <x v="1705"/>
    <x v="1705"/>
    <x v="1"/>
    <x v="1709"/>
    <n v="9907374"/>
    <x v="1"/>
    <n v="0"/>
  </r>
  <r>
    <x v="1710"/>
    <x v="0"/>
    <x v="2"/>
    <x v="2"/>
    <x v="27"/>
    <n v="22"/>
    <x v="2"/>
    <x v="0"/>
    <x v="1706"/>
    <x v="1706"/>
    <x v="1"/>
    <x v="1710"/>
    <n v="4059392"/>
    <x v="9"/>
    <n v="0"/>
  </r>
  <r>
    <x v="1711"/>
    <x v="1"/>
    <x v="21"/>
    <x v="21"/>
    <x v="27"/>
    <n v="22"/>
    <x v="3"/>
    <x v="1"/>
    <x v="1707"/>
    <x v="1707"/>
    <x v="2"/>
    <x v="1711"/>
    <n v="2897891"/>
    <x v="14"/>
    <n v="0"/>
  </r>
  <r>
    <x v="1712"/>
    <x v="3"/>
    <x v="14"/>
    <x v="14"/>
    <x v="29"/>
    <n v="13"/>
    <x v="2"/>
    <x v="1"/>
    <x v="1708"/>
    <x v="1708"/>
    <x v="0"/>
    <x v="1712"/>
    <n v="1585217"/>
    <x v="8"/>
    <n v="0"/>
  </r>
  <r>
    <x v="1713"/>
    <x v="3"/>
    <x v="9"/>
    <x v="9"/>
    <x v="20"/>
    <n v="19"/>
    <x v="0"/>
    <x v="1"/>
    <x v="1709"/>
    <x v="1709"/>
    <x v="1"/>
    <x v="1713"/>
    <n v="1838547"/>
    <x v="4"/>
    <n v="0"/>
  </r>
  <r>
    <x v="1714"/>
    <x v="1"/>
    <x v="23"/>
    <x v="23"/>
    <x v="45"/>
    <n v="38"/>
    <x v="2"/>
    <x v="1"/>
    <x v="1710"/>
    <x v="1710"/>
    <x v="1"/>
    <x v="1714"/>
    <n v="8608785"/>
    <x v="11"/>
    <n v="0"/>
  </r>
  <r>
    <x v="1715"/>
    <x v="3"/>
    <x v="17"/>
    <x v="17"/>
    <x v="41"/>
    <n v="25"/>
    <x v="0"/>
    <x v="1"/>
    <x v="1711"/>
    <x v="1711"/>
    <x v="1"/>
    <x v="1715"/>
    <n v="6092869"/>
    <x v="8"/>
    <n v="0"/>
  </r>
  <r>
    <x v="1716"/>
    <x v="6"/>
    <x v="23"/>
    <x v="23"/>
    <x v="40"/>
    <n v="31"/>
    <x v="2"/>
    <x v="0"/>
    <x v="1712"/>
    <x v="1712"/>
    <x v="2"/>
    <x v="1716"/>
    <n v="8800237"/>
    <x v="18"/>
    <n v="0"/>
  </r>
  <r>
    <x v="1717"/>
    <x v="5"/>
    <x v="2"/>
    <x v="2"/>
    <x v="35"/>
    <n v="29"/>
    <x v="3"/>
    <x v="0"/>
    <x v="1713"/>
    <x v="1713"/>
    <x v="0"/>
    <x v="1717"/>
    <n v="7999823"/>
    <x v="16"/>
    <n v="0"/>
  </r>
  <r>
    <x v="1718"/>
    <x v="3"/>
    <x v="15"/>
    <x v="15"/>
    <x v="12"/>
    <n v="54"/>
    <x v="3"/>
    <x v="0"/>
    <x v="1714"/>
    <x v="1714"/>
    <x v="1"/>
    <x v="1718"/>
    <n v="6900574"/>
    <x v="27"/>
    <n v="0"/>
  </r>
  <r>
    <x v="1719"/>
    <x v="2"/>
    <x v="15"/>
    <x v="15"/>
    <x v="37"/>
    <n v="55"/>
    <x v="0"/>
    <x v="0"/>
    <x v="1715"/>
    <x v="1715"/>
    <x v="1"/>
    <x v="1719"/>
    <n v="6288466"/>
    <x v="2"/>
    <n v="0"/>
  </r>
  <r>
    <x v="1720"/>
    <x v="3"/>
    <x v="10"/>
    <x v="10"/>
    <x v="42"/>
    <n v="35"/>
    <x v="3"/>
    <x v="0"/>
    <x v="1716"/>
    <x v="1716"/>
    <x v="1"/>
    <x v="1720"/>
    <n v="95922"/>
    <x v="4"/>
    <n v="0"/>
  </r>
  <r>
    <x v="1721"/>
    <x v="4"/>
    <x v="15"/>
    <x v="15"/>
    <x v="46"/>
    <n v="27"/>
    <x v="2"/>
    <x v="0"/>
    <x v="1717"/>
    <x v="1717"/>
    <x v="2"/>
    <x v="1721"/>
    <n v="8786614"/>
    <x v="22"/>
    <n v="0"/>
  </r>
  <r>
    <x v="1722"/>
    <x v="6"/>
    <x v="1"/>
    <x v="1"/>
    <x v="9"/>
    <n v="15"/>
    <x v="2"/>
    <x v="0"/>
    <x v="1718"/>
    <x v="1718"/>
    <x v="1"/>
    <x v="1722"/>
    <n v="446950"/>
    <x v="21"/>
    <n v="0"/>
  </r>
  <r>
    <x v="1723"/>
    <x v="4"/>
    <x v="14"/>
    <x v="14"/>
    <x v="18"/>
    <n v="58"/>
    <x v="3"/>
    <x v="1"/>
    <x v="1719"/>
    <x v="1719"/>
    <x v="0"/>
    <x v="1723"/>
    <n v="5817975"/>
    <x v="17"/>
    <n v="0"/>
  </r>
  <r>
    <x v="1724"/>
    <x v="4"/>
    <x v="16"/>
    <x v="16"/>
    <x v="29"/>
    <n v="13"/>
    <x v="2"/>
    <x v="0"/>
    <x v="1720"/>
    <x v="1720"/>
    <x v="0"/>
    <x v="1724"/>
    <n v="708558"/>
    <x v="19"/>
    <n v="0"/>
  </r>
  <r>
    <x v="1725"/>
    <x v="2"/>
    <x v="10"/>
    <x v="10"/>
    <x v="41"/>
    <n v="25"/>
    <x v="1"/>
    <x v="0"/>
    <x v="1721"/>
    <x v="1721"/>
    <x v="0"/>
    <x v="1725"/>
    <n v="9392698"/>
    <x v="2"/>
    <n v="0"/>
  </r>
  <r>
    <x v="1726"/>
    <x v="6"/>
    <x v="17"/>
    <x v="17"/>
    <x v="41"/>
    <n v="25"/>
    <x v="1"/>
    <x v="0"/>
    <x v="1722"/>
    <x v="1722"/>
    <x v="0"/>
    <x v="1726"/>
    <n v="9076034"/>
    <x v="26"/>
    <n v="0"/>
  </r>
  <r>
    <x v="1727"/>
    <x v="6"/>
    <x v="0"/>
    <x v="0"/>
    <x v="4"/>
    <n v="26"/>
    <x v="2"/>
    <x v="1"/>
    <x v="1723"/>
    <x v="1723"/>
    <x v="1"/>
    <x v="1727"/>
    <n v="5661141"/>
    <x v="24"/>
    <n v="0"/>
  </r>
  <r>
    <x v="1728"/>
    <x v="6"/>
    <x v="13"/>
    <x v="13"/>
    <x v="10"/>
    <n v="18"/>
    <x v="3"/>
    <x v="0"/>
    <x v="1724"/>
    <x v="1724"/>
    <x v="2"/>
    <x v="1728"/>
    <n v="5984461"/>
    <x v="21"/>
    <n v="0"/>
  </r>
  <r>
    <x v="1729"/>
    <x v="6"/>
    <x v="10"/>
    <x v="10"/>
    <x v="39"/>
    <n v="49"/>
    <x v="0"/>
    <x v="0"/>
    <x v="1725"/>
    <x v="1725"/>
    <x v="2"/>
    <x v="1729"/>
    <n v="7197664"/>
    <x v="24"/>
    <n v="0"/>
  </r>
  <r>
    <x v="1730"/>
    <x v="6"/>
    <x v="4"/>
    <x v="4"/>
    <x v="44"/>
    <n v="16"/>
    <x v="3"/>
    <x v="1"/>
    <x v="1726"/>
    <x v="1726"/>
    <x v="2"/>
    <x v="1730"/>
    <n v="3014602"/>
    <x v="24"/>
    <n v="0"/>
  </r>
  <r>
    <x v="1731"/>
    <x v="2"/>
    <x v="16"/>
    <x v="16"/>
    <x v="26"/>
    <n v="42"/>
    <x v="0"/>
    <x v="0"/>
    <x v="1727"/>
    <x v="1727"/>
    <x v="1"/>
    <x v="1731"/>
    <n v="2608198"/>
    <x v="2"/>
    <n v="0"/>
  </r>
  <r>
    <x v="1732"/>
    <x v="3"/>
    <x v="14"/>
    <x v="14"/>
    <x v="44"/>
    <n v="16"/>
    <x v="3"/>
    <x v="0"/>
    <x v="1728"/>
    <x v="1728"/>
    <x v="2"/>
    <x v="335"/>
    <n v="6903218"/>
    <x v="27"/>
    <n v="0"/>
  </r>
  <r>
    <x v="1733"/>
    <x v="4"/>
    <x v="10"/>
    <x v="10"/>
    <x v="30"/>
    <n v="14"/>
    <x v="2"/>
    <x v="1"/>
    <x v="1729"/>
    <x v="1729"/>
    <x v="0"/>
    <x v="1732"/>
    <n v="1492013"/>
    <x v="7"/>
    <n v="0"/>
  </r>
  <r>
    <x v="1734"/>
    <x v="6"/>
    <x v="10"/>
    <x v="10"/>
    <x v="37"/>
    <n v="55"/>
    <x v="1"/>
    <x v="0"/>
    <x v="1730"/>
    <x v="1730"/>
    <x v="1"/>
    <x v="1733"/>
    <n v="4813589"/>
    <x v="26"/>
    <n v="0"/>
  </r>
  <r>
    <x v="1735"/>
    <x v="0"/>
    <x v="15"/>
    <x v="15"/>
    <x v="13"/>
    <n v="20"/>
    <x v="3"/>
    <x v="1"/>
    <x v="1731"/>
    <x v="1731"/>
    <x v="2"/>
    <x v="1734"/>
    <n v="5181224"/>
    <x v="23"/>
    <n v="0"/>
  </r>
  <r>
    <x v="1736"/>
    <x v="3"/>
    <x v="8"/>
    <x v="8"/>
    <x v="32"/>
    <n v="51"/>
    <x v="0"/>
    <x v="0"/>
    <x v="1732"/>
    <x v="1732"/>
    <x v="0"/>
    <x v="1735"/>
    <n v="4122701"/>
    <x v="10"/>
    <n v="0"/>
  </r>
  <r>
    <x v="1737"/>
    <x v="3"/>
    <x v="12"/>
    <x v="12"/>
    <x v="33"/>
    <n v="37"/>
    <x v="1"/>
    <x v="0"/>
    <x v="1733"/>
    <x v="1733"/>
    <x v="0"/>
    <x v="1736"/>
    <n v="2260048"/>
    <x v="8"/>
    <n v="0"/>
  </r>
  <r>
    <x v="1738"/>
    <x v="4"/>
    <x v="10"/>
    <x v="10"/>
    <x v="30"/>
    <n v="14"/>
    <x v="0"/>
    <x v="0"/>
    <x v="1734"/>
    <x v="1734"/>
    <x v="1"/>
    <x v="1737"/>
    <n v="3875505"/>
    <x v="19"/>
    <n v="0"/>
  </r>
  <r>
    <x v="1739"/>
    <x v="2"/>
    <x v="11"/>
    <x v="11"/>
    <x v="18"/>
    <n v="58"/>
    <x v="2"/>
    <x v="1"/>
    <x v="1735"/>
    <x v="1735"/>
    <x v="1"/>
    <x v="1738"/>
    <n v="3706794"/>
    <x v="6"/>
    <n v="0"/>
  </r>
  <r>
    <x v="1740"/>
    <x v="1"/>
    <x v="23"/>
    <x v="23"/>
    <x v="27"/>
    <n v="22"/>
    <x v="1"/>
    <x v="1"/>
    <x v="1736"/>
    <x v="1736"/>
    <x v="2"/>
    <x v="1739"/>
    <n v="5243024"/>
    <x v="1"/>
    <n v="0"/>
  </r>
  <r>
    <x v="1741"/>
    <x v="1"/>
    <x v="17"/>
    <x v="17"/>
    <x v="7"/>
    <n v="53"/>
    <x v="0"/>
    <x v="1"/>
    <x v="1737"/>
    <x v="1737"/>
    <x v="2"/>
    <x v="1740"/>
    <n v="6909468"/>
    <x v="25"/>
    <n v="0"/>
  </r>
  <r>
    <x v="1742"/>
    <x v="3"/>
    <x v="13"/>
    <x v="13"/>
    <x v="10"/>
    <n v="18"/>
    <x v="3"/>
    <x v="0"/>
    <x v="1738"/>
    <x v="1738"/>
    <x v="2"/>
    <x v="1741"/>
    <n v="9698234"/>
    <x v="10"/>
    <n v="0"/>
  </r>
  <r>
    <x v="1743"/>
    <x v="5"/>
    <x v="2"/>
    <x v="2"/>
    <x v="7"/>
    <n v="53"/>
    <x v="2"/>
    <x v="0"/>
    <x v="1029"/>
    <x v="1029"/>
    <x v="1"/>
    <x v="1742"/>
    <n v="1869551"/>
    <x v="16"/>
    <n v="0"/>
  </r>
  <r>
    <x v="1744"/>
    <x v="5"/>
    <x v="8"/>
    <x v="8"/>
    <x v="16"/>
    <n v="11"/>
    <x v="2"/>
    <x v="1"/>
    <x v="1739"/>
    <x v="1739"/>
    <x v="2"/>
    <x v="1743"/>
    <n v="8793663"/>
    <x v="15"/>
    <n v="0"/>
  </r>
  <r>
    <x v="1745"/>
    <x v="4"/>
    <x v="13"/>
    <x v="13"/>
    <x v="34"/>
    <n v="36"/>
    <x v="2"/>
    <x v="1"/>
    <x v="1740"/>
    <x v="1740"/>
    <x v="2"/>
    <x v="1744"/>
    <n v="3199691"/>
    <x v="19"/>
    <n v="0"/>
  </r>
  <r>
    <x v="1746"/>
    <x v="1"/>
    <x v="20"/>
    <x v="20"/>
    <x v="43"/>
    <n v="48"/>
    <x v="3"/>
    <x v="0"/>
    <x v="1741"/>
    <x v="1741"/>
    <x v="0"/>
    <x v="1745"/>
    <n v="6118041"/>
    <x v="14"/>
    <n v="0"/>
  </r>
  <r>
    <x v="1747"/>
    <x v="3"/>
    <x v="11"/>
    <x v="11"/>
    <x v="8"/>
    <n v="57"/>
    <x v="3"/>
    <x v="0"/>
    <x v="1742"/>
    <x v="1742"/>
    <x v="0"/>
    <x v="1746"/>
    <n v="5694001"/>
    <x v="4"/>
    <n v="0"/>
  </r>
  <r>
    <x v="1748"/>
    <x v="2"/>
    <x v="6"/>
    <x v="6"/>
    <x v="37"/>
    <n v="55"/>
    <x v="1"/>
    <x v="0"/>
    <x v="1743"/>
    <x v="1743"/>
    <x v="0"/>
    <x v="1747"/>
    <n v="579101"/>
    <x v="13"/>
    <n v="0"/>
  </r>
  <r>
    <x v="1749"/>
    <x v="1"/>
    <x v="11"/>
    <x v="11"/>
    <x v="32"/>
    <n v="51"/>
    <x v="3"/>
    <x v="0"/>
    <x v="1744"/>
    <x v="1744"/>
    <x v="2"/>
    <x v="1748"/>
    <n v="7371907"/>
    <x v="25"/>
    <n v="0"/>
  </r>
  <r>
    <x v="1750"/>
    <x v="3"/>
    <x v="18"/>
    <x v="18"/>
    <x v="12"/>
    <n v="54"/>
    <x v="1"/>
    <x v="1"/>
    <x v="1745"/>
    <x v="1745"/>
    <x v="1"/>
    <x v="1749"/>
    <n v="4126039"/>
    <x v="4"/>
    <n v="0"/>
  </r>
  <r>
    <x v="1751"/>
    <x v="3"/>
    <x v="0"/>
    <x v="0"/>
    <x v="13"/>
    <n v="20"/>
    <x v="2"/>
    <x v="0"/>
    <x v="1746"/>
    <x v="1746"/>
    <x v="0"/>
    <x v="1750"/>
    <n v="353145"/>
    <x v="4"/>
    <n v="0"/>
  </r>
  <r>
    <x v="1752"/>
    <x v="6"/>
    <x v="22"/>
    <x v="22"/>
    <x v="5"/>
    <n v="24"/>
    <x v="1"/>
    <x v="0"/>
    <x v="1747"/>
    <x v="1747"/>
    <x v="1"/>
    <x v="1751"/>
    <n v="8601928"/>
    <x v="18"/>
    <n v="0"/>
  </r>
  <r>
    <x v="1753"/>
    <x v="2"/>
    <x v="6"/>
    <x v="6"/>
    <x v="5"/>
    <n v="24"/>
    <x v="0"/>
    <x v="0"/>
    <x v="1748"/>
    <x v="1748"/>
    <x v="2"/>
    <x v="1752"/>
    <n v="2590903"/>
    <x v="2"/>
    <n v="0"/>
  </r>
  <r>
    <x v="1754"/>
    <x v="6"/>
    <x v="15"/>
    <x v="15"/>
    <x v="35"/>
    <n v="29"/>
    <x v="2"/>
    <x v="0"/>
    <x v="1749"/>
    <x v="1749"/>
    <x v="2"/>
    <x v="1753"/>
    <n v="2212337"/>
    <x v="21"/>
    <n v="0"/>
  </r>
  <r>
    <x v="1755"/>
    <x v="4"/>
    <x v="6"/>
    <x v="6"/>
    <x v="15"/>
    <n v="30"/>
    <x v="2"/>
    <x v="0"/>
    <x v="1750"/>
    <x v="1750"/>
    <x v="0"/>
    <x v="1754"/>
    <n v="648271"/>
    <x v="7"/>
    <n v="0"/>
  </r>
  <r>
    <x v="1756"/>
    <x v="6"/>
    <x v="1"/>
    <x v="1"/>
    <x v="33"/>
    <n v="37"/>
    <x v="1"/>
    <x v="0"/>
    <x v="1751"/>
    <x v="1751"/>
    <x v="1"/>
    <x v="1755"/>
    <n v="2500489"/>
    <x v="21"/>
    <n v="0"/>
  </r>
  <r>
    <x v="1757"/>
    <x v="0"/>
    <x v="6"/>
    <x v="6"/>
    <x v="10"/>
    <n v="18"/>
    <x v="2"/>
    <x v="0"/>
    <x v="1752"/>
    <x v="1752"/>
    <x v="0"/>
    <x v="1756"/>
    <n v="5426049"/>
    <x v="9"/>
    <n v="0"/>
  </r>
  <r>
    <x v="1758"/>
    <x v="6"/>
    <x v="1"/>
    <x v="1"/>
    <x v="2"/>
    <n v="45"/>
    <x v="3"/>
    <x v="1"/>
    <x v="1753"/>
    <x v="1753"/>
    <x v="2"/>
    <x v="1757"/>
    <n v="5615834"/>
    <x v="18"/>
    <n v="0"/>
  </r>
  <r>
    <x v="1759"/>
    <x v="0"/>
    <x v="20"/>
    <x v="20"/>
    <x v="10"/>
    <n v="18"/>
    <x v="0"/>
    <x v="1"/>
    <x v="1754"/>
    <x v="1754"/>
    <x v="1"/>
    <x v="1758"/>
    <n v="2916995"/>
    <x v="23"/>
    <n v="0"/>
  </r>
  <r>
    <x v="1760"/>
    <x v="1"/>
    <x v="0"/>
    <x v="0"/>
    <x v="4"/>
    <n v="26"/>
    <x v="1"/>
    <x v="1"/>
    <x v="1755"/>
    <x v="1755"/>
    <x v="0"/>
    <x v="1759"/>
    <n v="1186605"/>
    <x v="1"/>
    <n v="0"/>
  </r>
  <r>
    <x v="1761"/>
    <x v="5"/>
    <x v="13"/>
    <x v="13"/>
    <x v="42"/>
    <n v="35"/>
    <x v="1"/>
    <x v="0"/>
    <x v="1756"/>
    <x v="1756"/>
    <x v="2"/>
    <x v="1760"/>
    <n v="7574088"/>
    <x v="20"/>
    <n v="0"/>
  </r>
  <r>
    <x v="1762"/>
    <x v="3"/>
    <x v="13"/>
    <x v="13"/>
    <x v="31"/>
    <n v="50"/>
    <x v="2"/>
    <x v="1"/>
    <x v="1757"/>
    <x v="1757"/>
    <x v="0"/>
    <x v="1761"/>
    <n v="7700766"/>
    <x v="10"/>
    <n v="0"/>
  </r>
  <r>
    <x v="1763"/>
    <x v="0"/>
    <x v="4"/>
    <x v="4"/>
    <x v="11"/>
    <n v="47"/>
    <x v="3"/>
    <x v="0"/>
    <x v="1758"/>
    <x v="1758"/>
    <x v="1"/>
    <x v="1762"/>
    <n v="9979446"/>
    <x v="9"/>
    <n v="0"/>
  </r>
  <r>
    <x v="1764"/>
    <x v="2"/>
    <x v="4"/>
    <x v="4"/>
    <x v="26"/>
    <n v="42"/>
    <x v="2"/>
    <x v="0"/>
    <x v="1759"/>
    <x v="1759"/>
    <x v="1"/>
    <x v="1763"/>
    <n v="9050281"/>
    <x v="5"/>
    <n v="0"/>
  </r>
  <r>
    <x v="1765"/>
    <x v="6"/>
    <x v="21"/>
    <x v="21"/>
    <x v="10"/>
    <n v="18"/>
    <x v="2"/>
    <x v="0"/>
    <x v="1760"/>
    <x v="1760"/>
    <x v="1"/>
    <x v="1764"/>
    <n v="929759"/>
    <x v="18"/>
    <n v="0"/>
  </r>
  <r>
    <x v="1766"/>
    <x v="0"/>
    <x v="17"/>
    <x v="17"/>
    <x v="33"/>
    <n v="37"/>
    <x v="1"/>
    <x v="0"/>
    <x v="1761"/>
    <x v="1761"/>
    <x v="1"/>
    <x v="1765"/>
    <n v="8082936"/>
    <x v="9"/>
    <n v="0"/>
  </r>
  <r>
    <x v="1767"/>
    <x v="2"/>
    <x v="20"/>
    <x v="20"/>
    <x v="30"/>
    <n v="14"/>
    <x v="2"/>
    <x v="1"/>
    <x v="1762"/>
    <x v="1762"/>
    <x v="1"/>
    <x v="1766"/>
    <n v="6347277"/>
    <x v="2"/>
    <n v="0"/>
  </r>
  <r>
    <x v="1768"/>
    <x v="5"/>
    <x v="5"/>
    <x v="5"/>
    <x v="35"/>
    <n v="29"/>
    <x v="0"/>
    <x v="0"/>
    <x v="1763"/>
    <x v="1763"/>
    <x v="0"/>
    <x v="1767"/>
    <n v="1721187"/>
    <x v="16"/>
    <n v="0"/>
  </r>
  <r>
    <x v="1769"/>
    <x v="5"/>
    <x v="5"/>
    <x v="5"/>
    <x v="40"/>
    <n v="31"/>
    <x v="2"/>
    <x v="0"/>
    <x v="1764"/>
    <x v="1764"/>
    <x v="0"/>
    <x v="1768"/>
    <n v="6411976"/>
    <x v="12"/>
    <n v="0"/>
  </r>
  <r>
    <x v="1770"/>
    <x v="6"/>
    <x v="7"/>
    <x v="7"/>
    <x v="50"/>
    <n v="12"/>
    <x v="2"/>
    <x v="1"/>
    <x v="1765"/>
    <x v="1765"/>
    <x v="0"/>
    <x v="1769"/>
    <n v="1031581"/>
    <x v="18"/>
    <n v="0"/>
  </r>
  <r>
    <x v="1771"/>
    <x v="4"/>
    <x v="2"/>
    <x v="2"/>
    <x v="5"/>
    <n v="24"/>
    <x v="1"/>
    <x v="1"/>
    <x v="1766"/>
    <x v="1766"/>
    <x v="0"/>
    <x v="1770"/>
    <n v="8910342"/>
    <x v="17"/>
    <n v="0"/>
  </r>
  <r>
    <x v="1772"/>
    <x v="6"/>
    <x v="7"/>
    <x v="7"/>
    <x v="18"/>
    <n v="58"/>
    <x v="2"/>
    <x v="1"/>
    <x v="1767"/>
    <x v="1767"/>
    <x v="2"/>
    <x v="1771"/>
    <n v="5077303"/>
    <x v="21"/>
    <n v="0"/>
  </r>
  <r>
    <x v="1773"/>
    <x v="1"/>
    <x v="2"/>
    <x v="2"/>
    <x v="18"/>
    <n v="58"/>
    <x v="3"/>
    <x v="0"/>
    <x v="1768"/>
    <x v="1768"/>
    <x v="2"/>
    <x v="1772"/>
    <n v="7125992"/>
    <x v="25"/>
    <n v="0"/>
  </r>
  <r>
    <x v="1774"/>
    <x v="0"/>
    <x v="5"/>
    <x v="5"/>
    <x v="36"/>
    <n v="28"/>
    <x v="1"/>
    <x v="1"/>
    <x v="1769"/>
    <x v="1769"/>
    <x v="0"/>
    <x v="1773"/>
    <n v="996315"/>
    <x v="0"/>
    <n v="0"/>
  </r>
  <r>
    <x v="1775"/>
    <x v="3"/>
    <x v="6"/>
    <x v="6"/>
    <x v="50"/>
    <n v="12"/>
    <x v="2"/>
    <x v="0"/>
    <x v="1770"/>
    <x v="1770"/>
    <x v="2"/>
    <x v="1774"/>
    <n v="557536"/>
    <x v="8"/>
    <n v="0"/>
  </r>
  <r>
    <x v="1776"/>
    <x v="4"/>
    <x v="8"/>
    <x v="8"/>
    <x v="20"/>
    <n v="19"/>
    <x v="0"/>
    <x v="0"/>
    <x v="1771"/>
    <x v="1771"/>
    <x v="2"/>
    <x v="1775"/>
    <n v="3362002"/>
    <x v="22"/>
    <n v="0"/>
  </r>
  <r>
    <x v="1777"/>
    <x v="6"/>
    <x v="12"/>
    <x v="12"/>
    <x v="15"/>
    <n v="30"/>
    <x v="0"/>
    <x v="1"/>
    <x v="1772"/>
    <x v="1772"/>
    <x v="1"/>
    <x v="1776"/>
    <n v="3207199"/>
    <x v="18"/>
    <n v="0"/>
  </r>
  <r>
    <x v="1778"/>
    <x v="2"/>
    <x v="20"/>
    <x v="20"/>
    <x v="8"/>
    <n v="57"/>
    <x v="1"/>
    <x v="1"/>
    <x v="1773"/>
    <x v="1773"/>
    <x v="0"/>
    <x v="1777"/>
    <n v="4201731"/>
    <x v="5"/>
    <n v="0"/>
  </r>
  <r>
    <x v="1779"/>
    <x v="4"/>
    <x v="21"/>
    <x v="21"/>
    <x v="47"/>
    <n v="17"/>
    <x v="1"/>
    <x v="1"/>
    <x v="1774"/>
    <x v="1774"/>
    <x v="2"/>
    <x v="1778"/>
    <n v="506075"/>
    <x v="19"/>
    <n v="0"/>
  </r>
  <r>
    <x v="1780"/>
    <x v="0"/>
    <x v="15"/>
    <x v="15"/>
    <x v="43"/>
    <n v="48"/>
    <x v="2"/>
    <x v="0"/>
    <x v="1775"/>
    <x v="1775"/>
    <x v="2"/>
    <x v="1779"/>
    <n v="4933278"/>
    <x v="9"/>
    <n v="0"/>
  </r>
  <r>
    <x v="1781"/>
    <x v="4"/>
    <x v="13"/>
    <x v="13"/>
    <x v="9"/>
    <n v="15"/>
    <x v="3"/>
    <x v="0"/>
    <x v="1776"/>
    <x v="1776"/>
    <x v="0"/>
    <x v="1780"/>
    <n v="5122383"/>
    <x v="7"/>
    <n v="0"/>
  </r>
  <r>
    <x v="1782"/>
    <x v="0"/>
    <x v="17"/>
    <x v="17"/>
    <x v="21"/>
    <n v="59"/>
    <x v="2"/>
    <x v="0"/>
    <x v="1777"/>
    <x v="1777"/>
    <x v="1"/>
    <x v="1781"/>
    <n v="8699744"/>
    <x v="0"/>
    <n v="0"/>
  </r>
  <r>
    <x v="1783"/>
    <x v="6"/>
    <x v="7"/>
    <x v="7"/>
    <x v="35"/>
    <n v="29"/>
    <x v="0"/>
    <x v="0"/>
    <x v="1778"/>
    <x v="1778"/>
    <x v="0"/>
    <x v="1782"/>
    <n v="4760993"/>
    <x v="24"/>
    <n v="0"/>
  </r>
  <r>
    <x v="1784"/>
    <x v="0"/>
    <x v="3"/>
    <x v="3"/>
    <x v="39"/>
    <n v="49"/>
    <x v="3"/>
    <x v="0"/>
    <x v="761"/>
    <x v="761"/>
    <x v="1"/>
    <x v="1783"/>
    <n v="3953785"/>
    <x v="0"/>
    <n v="0"/>
  </r>
  <r>
    <x v="1785"/>
    <x v="4"/>
    <x v="13"/>
    <x v="13"/>
    <x v="46"/>
    <n v="27"/>
    <x v="3"/>
    <x v="0"/>
    <x v="1779"/>
    <x v="1779"/>
    <x v="2"/>
    <x v="1784"/>
    <n v="9950097"/>
    <x v="7"/>
    <n v="0"/>
  </r>
  <r>
    <x v="1786"/>
    <x v="2"/>
    <x v="2"/>
    <x v="2"/>
    <x v="3"/>
    <n v="41"/>
    <x v="3"/>
    <x v="1"/>
    <x v="1780"/>
    <x v="1780"/>
    <x v="1"/>
    <x v="1785"/>
    <n v="5926527"/>
    <x v="5"/>
    <n v="0"/>
  </r>
  <r>
    <x v="1787"/>
    <x v="5"/>
    <x v="10"/>
    <x v="10"/>
    <x v="13"/>
    <n v="20"/>
    <x v="2"/>
    <x v="0"/>
    <x v="1781"/>
    <x v="1781"/>
    <x v="1"/>
    <x v="1786"/>
    <n v="4989825"/>
    <x v="12"/>
    <n v="0"/>
  </r>
  <r>
    <x v="1788"/>
    <x v="4"/>
    <x v="7"/>
    <x v="7"/>
    <x v="47"/>
    <n v="17"/>
    <x v="0"/>
    <x v="1"/>
    <x v="1782"/>
    <x v="1782"/>
    <x v="0"/>
    <x v="1787"/>
    <n v="521139"/>
    <x v="22"/>
    <n v="0"/>
  </r>
  <r>
    <x v="1789"/>
    <x v="0"/>
    <x v="8"/>
    <x v="8"/>
    <x v="8"/>
    <n v="57"/>
    <x v="1"/>
    <x v="1"/>
    <x v="1783"/>
    <x v="1783"/>
    <x v="2"/>
    <x v="1788"/>
    <n v="8187222"/>
    <x v="9"/>
    <n v="0"/>
  </r>
  <r>
    <x v="1790"/>
    <x v="5"/>
    <x v="10"/>
    <x v="10"/>
    <x v="24"/>
    <n v="56"/>
    <x v="2"/>
    <x v="1"/>
    <x v="1784"/>
    <x v="1784"/>
    <x v="0"/>
    <x v="1789"/>
    <n v="3736426"/>
    <x v="15"/>
    <n v="0"/>
  </r>
  <r>
    <x v="1791"/>
    <x v="0"/>
    <x v="9"/>
    <x v="9"/>
    <x v="12"/>
    <n v="54"/>
    <x v="1"/>
    <x v="1"/>
    <x v="1785"/>
    <x v="1785"/>
    <x v="0"/>
    <x v="1790"/>
    <n v="4197024"/>
    <x v="9"/>
    <n v="0"/>
  </r>
  <r>
    <x v="1792"/>
    <x v="2"/>
    <x v="22"/>
    <x v="22"/>
    <x v="3"/>
    <n v="41"/>
    <x v="3"/>
    <x v="1"/>
    <x v="1786"/>
    <x v="1786"/>
    <x v="2"/>
    <x v="1791"/>
    <n v="7680797"/>
    <x v="13"/>
    <n v="0"/>
  </r>
  <r>
    <x v="1793"/>
    <x v="0"/>
    <x v="3"/>
    <x v="3"/>
    <x v="31"/>
    <n v="50"/>
    <x v="3"/>
    <x v="0"/>
    <x v="1787"/>
    <x v="1787"/>
    <x v="0"/>
    <x v="1792"/>
    <n v="1193346"/>
    <x v="9"/>
    <n v="0"/>
  </r>
  <r>
    <x v="1794"/>
    <x v="6"/>
    <x v="0"/>
    <x v="0"/>
    <x v="29"/>
    <n v="13"/>
    <x v="2"/>
    <x v="0"/>
    <x v="1788"/>
    <x v="1788"/>
    <x v="0"/>
    <x v="1793"/>
    <n v="8719107"/>
    <x v="26"/>
    <n v="0"/>
  </r>
  <r>
    <x v="1795"/>
    <x v="3"/>
    <x v="12"/>
    <x v="12"/>
    <x v="46"/>
    <n v="27"/>
    <x v="0"/>
    <x v="0"/>
    <x v="1789"/>
    <x v="1789"/>
    <x v="1"/>
    <x v="1794"/>
    <n v="4586926"/>
    <x v="10"/>
    <n v="0"/>
  </r>
  <r>
    <x v="1796"/>
    <x v="4"/>
    <x v="0"/>
    <x v="0"/>
    <x v="4"/>
    <n v="26"/>
    <x v="3"/>
    <x v="0"/>
    <x v="1790"/>
    <x v="1790"/>
    <x v="0"/>
    <x v="1795"/>
    <n v="6022283"/>
    <x v="22"/>
    <n v="0"/>
  </r>
  <r>
    <x v="1797"/>
    <x v="3"/>
    <x v="7"/>
    <x v="7"/>
    <x v="26"/>
    <n v="42"/>
    <x v="1"/>
    <x v="1"/>
    <x v="1791"/>
    <x v="1791"/>
    <x v="2"/>
    <x v="1796"/>
    <n v="7696024"/>
    <x v="10"/>
    <n v="0"/>
  </r>
  <r>
    <x v="1798"/>
    <x v="0"/>
    <x v="20"/>
    <x v="20"/>
    <x v="36"/>
    <n v="28"/>
    <x v="1"/>
    <x v="1"/>
    <x v="1792"/>
    <x v="1792"/>
    <x v="0"/>
    <x v="1797"/>
    <n v="3027493"/>
    <x v="3"/>
    <n v="0"/>
  </r>
  <r>
    <x v="1799"/>
    <x v="2"/>
    <x v="14"/>
    <x v="14"/>
    <x v="47"/>
    <n v="17"/>
    <x v="2"/>
    <x v="1"/>
    <x v="1793"/>
    <x v="1793"/>
    <x v="1"/>
    <x v="1798"/>
    <n v="8957985"/>
    <x v="2"/>
    <n v="0"/>
  </r>
  <r>
    <x v="1800"/>
    <x v="4"/>
    <x v="0"/>
    <x v="0"/>
    <x v="6"/>
    <n v="40"/>
    <x v="1"/>
    <x v="0"/>
    <x v="1794"/>
    <x v="1794"/>
    <x v="0"/>
    <x v="1799"/>
    <n v="9802637"/>
    <x v="19"/>
    <n v="0"/>
  </r>
  <r>
    <x v="1801"/>
    <x v="0"/>
    <x v="13"/>
    <x v="13"/>
    <x v="32"/>
    <n v="51"/>
    <x v="0"/>
    <x v="0"/>
    <x v="1795"/>
    <x v="1795"/>
    <x v="0"/>
    <x v="1800"/>
    <n v="5195606"/>
    <x v="3"/>
    <n v="0"/>
  </r>
  <r>
    <x v="1802"/>
    <x v="5"/>
    <x v="8"/>
    <x v="8"/>
    <x v="35"/>
    <n v="29"/>
    <x v="3"/>
    <x v="0"/>
    <x v="1796"/>
    <x v="1796"/>
    <x v="0"/>
    <x v="1801"/>
    <n v="9400905"/>
    <x v="16"/>
    <n v="0"/>
  </r>
  <r>
    <x v="1803"/>
    <x v="1"/>
    <x v="7"/>
    <x v="7"/>
    <x v="47"/>
    <n v="17"/>
    <x v="1"/>
    <x v="0"/>
    <x v="1797"/>
    <x v="1797"/>
    <x v="1"/>
    <x v="1802"/>
    <n v="510722"/>
    <x v="14"/>
    <n v="0"/>
  </r>
  <r>
    <x v="1804"/>
    <x v="0"/>
    <x v="17"/>
    <x v="17"/>
    <x v="13"/>
    <n v="20"/>
    <x v="1"/>
    <x v="1"/>
    <x v="1798"/>
    <x v="1798"/>
    <x v="2"/>
    <x v="1803"/>
    <n v="8995259"/>
    <x v="3"/>
    <n v="0"/>
  </r>
  <r>
    <x v="1805"/>
    <x v="3"/>
    <x v="22"/>
    <x v="22"/>
    <x v="27"/>
    <n v="22"/>
    <x v="3"/>
    <x v="1"/>
    <x v="1799"/>
    <x v="1799"/>
    <x v="2"/>
    <x v="1804"/>
    <n v="3454931"/>
    <x v="10"/>
    <n v="0"/>
  </r>
  <r>
    <x v="1806"/>
    <x v="4"/>
    <x v="14"/>
    <x v="14"/>
    <x v="41"/>
    <n v="25"/>
    <x v="2"/>
    <x v="0"/>
    <x v="1800"/>
    <x v="1800"/>
    <x v="1"/>
    <x v="1805"/>
    <n v="3459207"/>
    <x v="7"/>
    <n v="0"/>
  </r>
  <r>
    <x v="1807"/>
    <x v="3"/>
    <x v="19"/>
    <x v="19"/>
    <x v="26"/>
    <n v="42"/>
    <x v="1"/>
    <x v="0"/>
    <x v="1801"/>
    <x v="1801"/>
    <x v="1"/>
    <x v="1806"/>
    <n v="2666844"/>
    <x v="8"/>
    <n v="0"/>
  </r>
  <r>
    <x v="1808"/>
    <x v="4"/>
    <x v="3"/>
    <x v="3"/>
    <x v="6"/>
    <n v="40"/>
    <x v="2"/>
    <x v="1"/>
    <x v="1802"/>
    <x v="1802"/>
    <x v="0"/>
    <x v="1807"/>
    <n v="3511632"/>
    <x v="17"/>
    <n v="0"/>
  </r>
  <r>
    <x v="1809"/>
    <x v="0"/>
    <x v="9"/>
    <x v="9"/>
    <x v="2"/>
    <n v="45"/>
    <x v="2"/>
    <x v="1"/>
    <x v="1803"/>
    <x v="1803"/>
    <x v="2"/>
    <x v="1808"/>
    <n v="2528104"/>
    <x v="0"/>
    <n v="0"/>
  </r>
  <r>
    <x v="1810"/>
    <x v="6"/>
    <x v="18"/>
    <x v="18"/>
    <x v="36"/>
    <n v="28"/>
    <x v="1"/>
    <x v="1"/>
    <x v="1804"/>
    <x v="1804"/>
    <x v="1"/>
    <x v="1809"/>
    <n v="9105757"/>
    <x v="21"/>
    <n v="0"/>
  </r>
  <r>
    <x v="1811"/>
    <x v="5"/>
    <x v="9"/>
    <x v="9"/>
    <x v="32"/>
    <n v="51"/>
    <x v="0"/>
    <x v="1"/>
    <x v="1805"/>
    <x v="1805"/>
    <x v="2"/>
    <x v="1810"/>
    <n v="9040725"/>
    <x v="20"/>
    <n v="0"/>
  </r>
  <r>
    <x v="1812"/>
    <x v="0"/>
    <x v="1"/>
    <x v="1"/>
    <x v="13"/>
    <n v="20"/>
    <x v="2"/>
    <x v="0"/>
    <x v="1806"/>
    <x v="1806"/>
    <x v="0"/>
    <x v="1811"/>
    <n v="1471007"/>
    <x v="23"/>
    <n v="0"/>
  </r>
  <r>
    <x v="1813"/>
    <x v="3"/>
    <x v="22"/>
    <x v="22"/>
    <x v="17"/>
    <n v="33"/>
    <x v="1"/>
    <x v="1"/>
    <x v="1807"/>
    <x v="1807"/>
    <x v="1"/>
    <x v="1812"/>
    <n v="1857155"/>
    <x v="10"/>
    <n v="0"/>
  </r>
  <r>
    <x v="1814"/>
    <x v="1"/>
    <x v="10"/>
    <x v="10"/>
    <x v="31"/>
    <n v="50"/>
    <x v="2"/>
    <x v="1"/>
    <x v="1808"/>
    <x v="1808"/>
    <x v="2"/>
    <x v="1813"/>
    <n v="8689177"/>
    <x v="1"/>
    <n v="0"/>
  </r>
  <r>
    <x v="1815"/>
    <x v="1"/>
    <x v="3"/>
    <x v="3"/>
    <x v="20"/>
    <n v="19"/>
    <x v="3"/>
    <x v="1"/>
    <x v="1809"/>
    <x v="1809"/>
    <x v="2"/>
    <x v="1814"/>
    <n v="4289909"/>
    <x v="11"/>
    <n v="0"/>
  </r>
  <r>
    <x v="1816"/>
    <x v="2"/>
    <x v="21"/>
    <x v="21"/>
    <x v="9"/>
    <n v="15"/>
    <x v="0"/>
    <x v="1"/>
    <x v="1810"/>
    <x v="1810"/>
    <x v="0"/>
    <x v="1815"/>
    <n v="2108081"/>
    <x v="5"/>
    <n v="0"/>
  </r>
  <r>
    <x v="1817"/>
    <x v="4"/>
    <x v="21"/>
    <x v="21"/>
    <x v="12"/>
    <n v="54"/>
    <x v="0"/>
    <x v="0"/>
    <x v="1811"/>
    <x v="1811"/>
    <x v="1"/>
    <x v="1816"/>
    <n v="5351359"/>
    <x v="17"/>
    <n v="0"/>
  </r>
  <r>
    <x v="1818"/>
    <x v="3"/>
    <x v="7"/>
    <x v="7"/>
    <x v="46"/>
    <n v="27"/>
    <x v="3"/>
    <x v="0"/>
    <x v="1812"/>
    <x v="1812"/>
    <x v="2"/>
    <x v="1817"/>
    <n v="4458346"/>
    <x v="10"/>
    <n v="0"/>
  </r>
  <r>
    <x v="1819"/>
    <x v="2"/>
    <x v="12"/>
    <x v="12"/>
    <x v="1"/>
    <n v="44"/>
    <x v="3"/>
    <x v="0"/>
    <x v="1813"/>
    <x v="1813"/>
    <x v="0"/>
    <x v="1818"/>
    <n v="2582035"/>
    <x v="13"/>
    <n v="0"/>
  </r>
  <r>
    <x v="1820"/>
    <x v="3"/>
    <x v="1"/>
    <x v="1"/>
    <x v="16"/>
    <n v="11"/>
    <x v="2"/>
    <x v="0"/>
    <x v="1814"/>
    <x v="1814"/>
    <x v="2"/>
    <x v="1819"/>
    <n v="7347146"/>
    <x v="27"/>
    <n v="0"/>
  </r>
  <r>
    <x v="1821"/>
    <x v="4"/>
    <x v="15"/>
    <x v="15"/>
    <x v="2"/>
    <n v="45"/>
    <x v="3"/>
    <x v="0"/>
    <x v="1815"/>
    <x v="1815"/>
    <x v="0"/>
    <x v="1820"/>
    <n v="6497248"/>
    <x v="22"/>
    <n v="0"/>
  </r>
  <r>
    <x v="1822"/>
    <x v="0"/>
    <x v="1"/>
    <x v="1"/>
    <x v="4"/>
    <n v="26"/>
    <x v="0"/>
    <x v="0"/>
    <x v="1816"/>
    <x v="1816"/>
    <x v="2"/>
    <x v="1821"/>
    <n v="1446785"/>
    <x v="0"/>
    <n v="0"/>
  </r>
  <r>
    <x v="1823"/>
    <x v="0"/>
    <x v="0"/>
    <x v="0"/>
    <x v="29"/>
    <n v="13"/>
    <x v="3"/>
    <x v="1"/>
    <x v="1817"/>
    <x v="1817"/>
    <x v="2"/>
    <x v="1822"/>
    <n v="9291174"/>
    <x v="9"/>
    <n v="0"/>
  </r>
  <r>
    <x v="1824"/>
    <x v="1"/>
    <x v="14"/>
    <x v="14"/>
    <x v="6"/>
    <n v="40"/>
    <x v="1"/>
    <x v="1"/>
    <x v="1818"/>
    <x v="1818"/>
    <x v="0"/>
    <x v="1823"/>
    <n v="5805465"/>
    <x v="1"/>
    <n v="0"/>
  </r>
  <r>
    <x v="1825"/>
    <x v="0"/>
    <x v="16"/>
    <x v="16"/>
    <x v="27"/>
    <n v="22"/>
    <x v="1"/>
    <x v="1"/>
    <x v="1819"/>
    <x v="1819"/>
    <x v="1"/>
    <x v="1824"/>
    <n v="2876943"/>
    <x v="0"/>
    <n v="0"/>
  </r>
  <r>
    <x v="1826"/>
    <x v="0"/>
    <x v="8"/>
    <x v="8"/>
    <x v="35"/>
    <n v="29"/>
    <x v="2"/>
    <x v="1"/>
    <x v="1820"/>
    <x v="1820"/>
    <x v="0"/>
    <x v="1825"/>
    <n v="2459772"/>
    <x v="9"/>
    <n v="0"/>
  </r>
  <r>
    <x v="1827"/>
    <x v="6"/>
    <x v="3"/>
    <x v="3"/>
    <x v="30"/>
    <n v="14"/>
    <x v="0"/>
    <x v="0"/>
    <x v="1821"/>
    <x v="1821"/>
    <x v="1"/>
    <x v="1826"/>
    <n v="1791506"/>
    <x v="26"/>
    <n v="0"/>
  </r>
  <r>
    <x v="1828"/>
    <x v="1"/>
    <x v="1"/>
    <x v="1"/>
    <x v="47"/>
    <n v="17"/>
    <x v="1"/>
    <x v="1"/>
    <x v="1822"/>
    <x v="1822"/>
    <x v="2"/>
    <x v="1827"/>
    <n v="4534055"/>
    <x v="14"/>
    <n v="0"/>
  </r>
  <r>
    <x v="1829"/>
    <x v="2"/>
    <x v="19"/>
    <x v="19"/>
    <x v="41"/>
    <n v="25"/>
    <x v="3"/>
    <x v="0"/>
    <x v="1823"/>
    <x v="1823"/>
    <x v="2"/>
    <x v="1828"/>
    <n v="178764"/>
    <x v="13"/>
    <n v="0"/>
  </r>
  <r>
    <x v="1830"/>
    <x v="5"/>
    <x v="0"/>
    <x v="0"/>
    <x v="30"/>
    <n v="14"/>
    <x v="1"/>
    <x v="1"/>
    <x v="1824"/>
    <x v="1824"/>
    <x v="0"/>
    <x v="1829"/>
    <n v="4450256"/>
    <x v="12"/>
    <n v="0"/>
  </r>
  <r>
    <x v="1831"/>
    <x v="6"/>
    <x v="13"/>
    <x v="13"/>
    <x v="24"/>
    <n v="56"/>
    <x v="1"/>
    <x v="1"/>
    <x v="1825"/>
    <x v="1825"/>
    <x v="0"/>
    <x v="1830"/>
    <n v="1913319"/>
    <x v="24"/>
    <n v="0"/>
  </r>
  <r>
    <x v="1832"/>
    <x v="2"/>
    <x v="18"/>
    <x v="18"/>
    <x v="22"/>
    <n v="10"/>
    <x v="2"/>
    <x v="1"/>
    <x v="1826"/>
    <x v="1826"/>
    <x v="1"/>
    <x v="1831"/>
    <n v="6739671"/>
    <x v="6"/>
    <n v="0"/>
  </r>
  <r>
    <x v="1833"/>
    <x v="4"/>
    <x v="8"/>
    <x v="8"/>
    <x v="48"/>
    <n v="34"/>
    <x v="3"/>
    <x v="0"/>
    <x v="1827"/>
    <x v="1827"/>
    <x v="1"/>
    <x v="1832"/>
    <n v="7959799"/>
    <x v="19"/>
    <n v="0"/>
  </r>
  <r>
    <x v="1834"/>
    <x v="6"/>
    <x v="13"/>
    <x v="13"/>
    <x v="44"/>
    <n v="16"/>
    <x v="3"/>
    <x v="1"/>
    <x v="1828"/>
    <x v="1828"/>
    <x v="1"/>
    <x v="1833"/>
    <n v="5720466"/>
    <x v="18"/>
    <n v="0"/>
  </r>
  <r>
    <x v="1835"/>
    <x v="2"/>
    <x v="4"/>
    <x v="4"/>
    <x v="41"/>
    <n v="25"/>
    <x v="3"/>
    <x v="0"/>
    <x v="1829"/>
    <x v="1829"/>
    <x v="0"/>
    <x v="1834"/>
    <n v="696054"/>
    <x v="2"/>
    <n v="0"/>
  </r>
  <r>
    <x v="1836"/>
    <x v="4"/>
    <x v="12"/>
    <x v="12"/>
    <x v="24"/>
    <n v="56"/>
    <x v="2"/>
    <x v="0"/>
    <x v="1830"/>
    <x v="1830"/>
    <x v="2"/>
    <x v="1835"/>
    <n v="9414598"/>
    <x v="22"/>
    <n v="0"/>
  </r>
  <r>
    <x v="1837"/>
    <x v="1"/>
    <x v="13"/>
    <x v="13"/>
    <x v="10"/>
    <n v="18"/>
    <x v="3"/>
    <x v="1"/>
    <x v="1831"/>
    <x v="1831"/>
    <x v="0"/>
    <x v="1836"/>
    <n v="656453"/>
    <x v="25"/>
    <n v="0"/>
  </r>
  <r>
    <x v="1838"/>
    <x v="5"/>
    <x v="6"/>
    <x v="6"/>
    <x v="18"/>
    <n v="58"/>
    <x v="3"/>
    <x v="0"/>
    <x v="1832"/>
    <x v="1832"/>
    <x v="2"/>
    <x v="1837"/>
    <n v="3959503"/>
    <x v="16"/>
    <n v="0"/>
  </r>
  <r>
    <x v="1839"/>
    <x v="4"/>
    <x v="6"/>
    <x v="6"/>
    <x v="13"/>
    <n v="20"/>
    <x v="1"/>
    <x v="0"/>
    <x v="1833"/>
    <x v="1833"/>
    <x v="0"/>
    <x v="1838"/>
    <n v="4770062"/>
    <x v="7"/>
    <n v="0"/>
  </r>
  <r>
    <x v="1840"/>
    <x v="0"/>
    <x v="9"/>
    <x v="9"/>
    <x v="11"/>
    <n v="47"/>
    <x v="1"/>
    <x v="1"/>
    <x v="1834"/>
    <x v="1834"/>
    <x v="0"/>
    <x v="1839"/>
    <n v="867499"/>
    <x v="3"/>
    <n v="0"/>
  </r>
  <r>
    <x v="1841"/>
    <x v="3"/>
    <x v="15"/>
    <x v="15"/>
    <x v="33"/>
    <n v="37"/>
    <x v="3"/>
    <x v="1"/>
    <x v="1835"/>
    <x v="1835"/>
    <x v="1"/>
    <x v="1840"/>
    <n v="1741843"/>
    <x v="10"/>
    <n v="0"/>
  </r>
  <r>
    <x v="1842"/>
    <x v="4"/>
    <x v="19"/>
    <x v="19"/>
    <x v="12"/>
    <n v="54"/>
    <x v="0"/>
    <x v="1"/>
    <x v="1836"/>
    <x v="1836"/>
    <x v="2"/>
    <x v="1841"/>
    <n v="3594502"/>
    <x v="19"/>
    <n v="0"/>
  </r>
  <r>
    <x v="1843"/>
    <x v="4"/>
    <x v="18"/>
    <x v="18"/>
    <x v="45"/>
    <n v="38"/>
    <x v="0"/>
    <x v="1"/>
    <x v="1837"/>
    <x v="1837"/>
    <x v="0"/>
    <x v="1842"/>
    <n v="5984161"/>
    <x v="17"/>
    <n v="0"/>
  </r>
  <r>
    <x v="1844"/>
    <x v="5"/>
    <x v="8"/>
    <x v="8"/>
    <x v="33"/>
    <n v="37"/>
    <x v="3"/>
    <x v="1"/>
    <x v="1838"/>
    <x v="1838"/>
    <x v="0"/>
    <x v="1843"/>
    <n v="6925701"/>
    <x v="20"/>
    <n v="0"/>
  </r>
  <r>
    <x v="1845"/>
    <x v="3"/>
    <x v="3"/>
    <x v="3"/>
    <x v="13"/>
    <n v="20"/>
    <x v="0"/>
    <x v="1"/>
    <x v="1839"/>
    <x v="1839"/>
    <x v="2"/>
    <x v="1844"/>
    <n v="7753241"/>
    <x v="27"/>
    <n v="0"/>
  </r>
  <r>
    <x v="1846"/>
    <x v="0"/>
    <x v="9"/>
    <x v="9"/>
    <x v="10"/>
    <n v="18"/>
    <x v="2"/>
    <x v="0"/>
    <x v="1840"/>
    <x v="1840"/>
    <x v="0"/>
    <x v="1845"/>
    <n v="3522965"/>
    <x v="9"/>
    <n v="0"/>
  </r>
  <r>
    <x v="1847"/>
    <x v="2"/>
    <x v="0"/>
    <x v="0"/>
    <x v="24"/>
    <n v="56"/>
    <x v="1"/>
    <x v="1"/>
    <x v="1841"/>
    <x v="1841"/>
    <x v="2"/>
    <x v="1846"/>
    <n v="1885662"/>
    <x v="13"/>
    <n v="0"/>
  </r>
  <r>
    <x v="1848"/>
    <x v="2"/>
    <x v="21"/>
    <x v="21"/>
    <x v="4"/>
    <n v="26"/>
    <x v="2"/>
    <x v="1"/>
    <x v="1842"/>
    <x v="1842"/>
    <x v="1"/>
    <x v="1847"/>
    <n v="9570972"/>
    <x v="13"/>
    <n v="0"/>
  </r>
  <r>
    <x v="1849"/>
    <x v="4"/>
    <x v="12"/>
    <x v="12"/>
    <x v="35"/>
    <n v="29"/>
    <x v="1"/>
    <x v="0"/>
    <x v="1843"/>
    <x v="1843"/>
    <x v="1"/>
    <x v="1848"/>
    <n v="1225726"/>
    <x v="7"/>
    <n v="0"/>
  </r>
  <r>
    <x v="1850"/>
    <x v="3"/>
    <x v="22"/>
    <x v="22"/>
    <x v="43"/>
    <n v="48"/>
    <x v="0"/>
    <x v="1"/>
    <x v="1844"/>
    <x v="1844"/>
    <x v="2"/>
    <x v="1849"/>
    <n v="1410151"/>
    <x v="4"/>
    <n v="0"/>
  </r>
  <r>
    <x v="1851"/>
    <x v="3"/>
    <x v="6"/>
    <x v="6"/>
    <x v="46"/>
    <n v="27"/>
    <x v="0"/>
    <x v="0"/>
    <x v="1845"/>
    <x v="1845"/>
    <x v="1"/>
    <x v="1850"/>
    <n v="5201954"/>
    <x v="10"/>
    <n v="0"/>
  </r>
  <r>
    <x v="1852"/>
    <x v="0"/>
    <x v="5"/>
    <x v="5"/>
    <x v="18"/>
    <n v="58"/>
    <x v="3"/>
    <x v="1"/>
    <x v="1846"/>
    <x v="1846"/>
    <x v="2"/>
    <x v="1851"/>
    <n v="8283075"/>
    <x v="23"/>
    <n v="0"/>
  </r>
  <r>
    <x v="1853"/>
    <x v="5"/>
    <x v="1"/>
    <x v="1"/>
    <x v="11"/>
    <n v="47"/>
    <x v="0"/>
    <x v="1"/>
    <x v="1847"/>
    <x v="1847"/>
    <x v="0"/>
    <x v="1852"/>
    <n v="7857789"/>
    <x v="16"/>
    <n v="0"/>
  </r>
  <r>
    <x v="1854"/>
    <x v="1"/>
    <x v="1"/>
    <x v="1"/>
    <x v="6"/>
    <n v="40"/>
    <x v="0"/>
    <x v="0"/>
    <x v="1848"/>
    <x v="1848"/>
    <x v="0"/>
    <x v="1853"/>
    <n v="9408143"/>
    <x v="14"/>
    <n v="0"/>
  </r>
  <r>
    <x v="1855"/>
    <x v="2"/>
    <x v="3"/>
    <x v="3"/>
    <x v="12"/>
    <n v="54"/>
    <x v="3"/>
    <x v="1"/>
    <x v="1849"/>
    <x v="1849"/>
    <x v="2"/>
    <x v="1854"/>
    <n v="1845224"/>
    <x v="2"/>
    <n v="0"/>
  </r>
  <r>
    <x v="1856"/>
    <x v="5"/>
    <x v="19"/>
    <x v="19"/>
    <x v="50"/>
    <n v="12"/>
    <x v="3"/>
    <x v="0"/>
    <x v="1850"/>
    <x v="1850"/>
    <x v="0"/>
    <x v="1855"/>
    <n v="4069409"/>
    <x v="15"/>
    <n v="0"/>
  </r>
  <r>
    <x v="1857"/>
    <x v="6"/>
    <x v="4"/>
    <x v="4"/>
    <x v="0"/>
    <n v="23"/>
    <x v="1"/>
    <x v="1"/>
    <x v="1851"/>
    <x v="1851"/>
    <x v="1"/>
    <x v="1856"/>
    <n v="318035"/>
    <x v="24"/>
    <n v="0"/>
  </r>
  <r>
    <x v="1858"/>
    <x v="2"/>
    <x v="0"/>
    <x v="0"/>
    <x v="17"/>
    <n v="33"/>
    <x v="0"/>
    <x v="1"/>
    <x v="1852"/>
    <x v="1852"/>
    <x v="0"/>
    <x v="1857"/>
    <n v="8678266"/>
    <x v="5"/>
    <n v="0"/>
  </r>
  <r>
    <x v="1859"/>
    <x v="5"/>
    <x v="19"/>
    <x v="19"/>
    <x v="28"/>
    <n v="21"/>
    <x v="1"/>
    <x v="0"/>
    <x v="1853"/>
    <x v="1853"/>
    <x v="0"/>
    <x v="1858"/>
    <n v="5139369"/>
    <x v="15"/>
    <n v="0"/>
  </r>
  <r>
    <x v="1860"/>
    <x v="2"/>
    <x v="20"/>
    <x v="20"/>
    <x v="11"/>
    <n v="47"/>
    <x v="1"/>
    <x v="1"/>
    <x v="1854"/>
    <x v="1854"/>
    <x v="2"/>
    <x v="1859"/>
    <n v="755055"/>
    <x v="5"/>
    <n v="0"/>
  </r>
  <r>
    <x v="1861"/>
    <x v="1"/>
    <x v="16"/>
    <x v="16"/>
    <x v="24"/>
    <n v="56"/>
    <x v="2"/>
    <x v="1"/>
    <x v="1855"/>
    <x v="1855"/>
    <x v="1"/>
    <x v="1860"/>
    <n v="7225662"/>
    <x v="25"/>
    <n v="0"/>
  </r>
  <r>
    <x v="1862"/>
    <x v="6"/>
    <x v="11"/>
    <x v="11"/>
    <x v="40"/>
    <n v="31"/>
    <x v="0"/>
    <x v="0"/>
    <x v="1856"/>
    <x v="1856"/>
    <x v="0"/>
    <x v="1861"/>
    <n v="4192632"/>
    <x v="18"/>
    <n v="0"/>
  </r>
  <r>
    <x v="1863"/>
    <x v="1"/>
    <x v="22"/>
    <x v="22"/>
    <x v="46"/>
    <n v="27"/>
    <x v="0"/>
    <x v="1"/>
    <x v="1857"/>
    <x v="1857"/>
    <x v="0"/>
    <x v="1862"/>
    <n v="5545894"/>
    <x v="1"/>
    <n v="0"/>
  </r>
  <r>
    <x v="1864"/>
    <x v="0"/>
    <x v="23"/>
    <x v="23"/>
    <x v="18"/>
    <n v="58"/>
    <x v="2"/>
    <x v="0"/>
    <x v="1858"/>
    <x v="1858"/>
    <x v="2"/>
    <x v="1863"/>
    <n v="8990981"/>
    <x v="0"/>
    <n v="0"/>
  </r>
  <r>
    <x v="1865"/>
    <x v="6"/>
    <x v="12"/>
    <x v="12"/>
    <x v="23"/>
    <n v="32"/>
    <x v="1"/>
    <x v="1"/>
    <x v="1859"/>
    <x v="1859"/>
    <x v="2"/>
    <x v="1864"/>
    <n v="2939009"/>
    <x v="26"/>
    <n v="0"/>
  </r>
  <r>
    <x v="1866"/>
    <x v="4"/>
    <x v="16"/>
    <x v="16"/>
    <x v="48"/>
    <n v="34"/>
    <x v="0"/>
    <x v="0"/>
    <x v="1860"/>
    <x v="1860"/>
    <x v="1"/>
    <x v="1865"/>
    <n v="2782514"/>
    <x v="19"/>
    <n v="0"/>
  </r>
  <r>
    <x v="1867"/>
    <x v="5"/>
    <x v="7"/>
    <x v="7"/>
    <x v="36"/>
    <n v="28"/>
    <x v="1"/>
    <x v="1"/>
    <x v="1861"/>
    <x v="1861"/>
    <x v="0"/>
    <x v="1866"/>
    <n v="3000329"/>
    <x v="16"/>
    <n v="0"/>
  </r>
  <r>
    <x v="1868"/>
    <x v="6"/>
    <x v="2"/>
    <x v="2"/>
    <x v="37"/>
    <n v="55"/>
    <x v="2"/>
    <x v="0"/>
    <x v="1862"/>
    <x v="1862"/>
    <x v="2"/>
    <x v="1867"/>
    <n v="3712026"/>
    <x v="24"/>
    <n v="0"/>
  </r>
  <r>
    <x v="1869"/>
    <x v="0"/>
    <x v="23"/>
    <x v="23"/>
    <x v="45"/>
    <n v="38"/>
    <x v="3"/>
    <x v="0"/>
    <x v="1863"/>
    <x v="1863"/>
    <x v="2"/>
    <x v="1868"/>
    <n v="1519863"/>
    <x v="0"/>
    <n v="0"/>
  </r>
  <r>
    <x v="1870"/>
    <x v="0"/>
    <x v="3"/>
    <x v="3"/>
    <x v="43"/>
    <n v="48"/>
    <x v="1"/>
    <x v="1"/>
    <x v="1864"/>
    <x v="1864"/>
    <x v="2"/>
    <x v="1869"/>
    <n v="7123587"/>
    <x v="3"/>
    <n v="0"/>
  </r>
  <r>
    <x v="1871"/>
    <x v="1"/>
    <x v="22"/>
    <x v="22"/>
    <x v="32"/>
    <n v="51"/>
    <x v="0"/>
    <x v="1"/>
    <x v="1865"/>
    <x v="1865"/>
    <x v="1"/>
    <x v="1870"/>
    <n v="2470288"/>
    <x v="25"/>
    <n v="0"/>
  </r>
  <r>
    <x v="1872"/>
    <x v="2"/>
    <x v="11"/>
    <x v="11"/>
    <x v="46"/>
    <n v="27"/>
    <x v="3"/>
    <x v="0"/>
    <x v="1866"/>
    <x v="1866"/>
    <x v="2"/>
    <x v="1871"/>
    <n v="9298385"/>
    <x v="2"/>
    <n v="0"/>
  </r>
  <r>
    <x v="1873"/>
    <x v="6"/>
    <x v="22"/>
    <x v="22"/>
    <x v="23"/>
    <n v="32"/>
    <x v="1"/>
    <x v="1"/>
    <x v="1867"/>
    <x v="1867"/>
    <x v="1"/>
    <x v="1872"/>
    <n v="254902"/>
    <x v="21"/>
    <n v="0"/>
  </r>
  <r>
    <x v="1874"/>
    <x v="5"/>
    <x v="15"/>
    <x v="15"/>
    <x v="19"/>
    <n v="52"/>
    <x v="1"/>
    <x v="0"/>
    <x v="1868"/>
    <x v="1868"/>
    <x v="1"/>
    <x v="1873"/>
    <n v="2928599"/>
    <x v="15"/>
    <n v="0"/>
  </r>
  <r>
    <x v="1875"/>
    <x v="6"/>
    <x v="7"/>
    <x v="7"/>
    <x v="36"/>
    <n v="28"/>
    <x v="3"/>
    <x v="1"/>
    <x v="1869"/>
    <x v="1869"/>
    <x v="0"/>
    <x v="1874"/>
    <n v="3321692"/>
    <x v="26"/>
    <n v="0"/>
  </r>
  <r>
    <x v="1876"/>
    <x v="3"/>
    <x v="19"/>
    <x v="19"/>
    <x v="31"/>
    <n v="50"/>
    <x v="3"/>
    <x v="1"/>
    <x v="1870"/>
    <x v="1870"/>
    <x v="0"/>
    <x v="1875"/>
    <n v="7801112"/>
    <x v="4"/>
    <n v="0"/>
  </r>
  <r>
    <x v="1877"/>
    <x v="2"/>
    <x v="15"/>
    <x v="15"/>
    <x v="8"/>
    <n v="57"/>
    <x v="3"/>
    <x v="0"/>
    <x v="1871"/>
    <x v="1871"/>
    <x v="1"/>
    <x v="1876"/>
    <n v="4562262"/>
    <x v="6"/>
    <n v="0"/>
  </r>
  <r>
    <x v="1878"/>
    <x v="5"/>
    <x v="21"/>
    <x v="21"/>
    <x v="3"/>
    <n v="41"/>
    <x v="0"/>
    <x v="0"/>
    <x v="1872"/>
    <x v="1872"/>
    <x v="0"/>
    <x v="1877"/>
    <n v="8283679"/>
    <x v="20"/>
    <n v="0"/>
  </r>
  <r>
    <x v="1879"/>
    <x v="5"/>
    <x v="10"/>
    <x v="10"/>
    <x v="11"/>
    <n v="47"/>
    <x v="0"/>
    <x v="1"/>
    <x v="1873"/>
    <x v="1873"/>
    <x v="0"/>
    <x v="1878"/>
    <n v="795611"/>
    <x v="12"/>
    <n v="0"/>
  </r>
  <r>
    <x v="1880"/>
    <x v="4"/>
    <x v="16"/>
    <x v="16"/>
    <x v="31"/>
    <n v="50"/>
    <x v="1"/>
    <x v="1"/>
    <x v="1874"/>
    <x v="1874"/>
    <x v="2"/>
    <x v="1879"/>
    <n v="9330159"/>
    <x v="19"/>
    <n v="0"/>
  </r>
  <r>
    <x v="1881"/>
    <x v="1"/>
    <x v="22"/>
    <x v="22"/>
    <x v="19"/>
    <n v="52"/>
    <x v="1"/>
    <x v="1"/>
    <x v="1875"/>
    <x v="1875"/>
    <x v="0"/>
    <x v="1880"/>
    <n v="7687739"/>
    <x v="25"/>
    <n v="0"/>
  </r>
  <r>
    <x v="1882"/>
    <x v="4"/>
    <x v="22"/>
    <x v="22"/>
    <x v="15"/>
    <n v="30"/>
    <x v="2"/>
    <x v="1"/>
    <x v="1876"/>
    <x v="1876"/>
    <x v="1"/>
    <x v="1881"/>
    <n v="993156"/>
    <x v="17"/>
    <n v="0"/>
  </r>
  <r>
    <x v="1883"/>
    <x v="5"/>
    <x v="14"/>
    <x v="14"/>
    <x v="29"/>
    <n v="13"/>
    <x v="0"/>
    <x v="1"/>
    <x v="1877"/>
    <x v="1877"/>
    <x v="0"/>
    <x v="1882"/>
    <n v="8454172"/>
    <x v="16"/>
    <n v="0"/>
  </r>
  <r>
    <x v="1884"/>
    <x v="2"/>
    <x v="9"/>
    <x v="9"/>
    <x v="15"/>
    <n v="30"/>
    <x v="1"/>
    <x v="0"/>
    <x v="1878"/>
    <x v="1878"/>
    <x v="2"/>
    <x v="1883"/>
    <n v="941169"/>
    <x v="6"/>
    <n v="0"/>
  </r>
  <r>
    <x v="1885"/>
    <x v="6"/>
    <x v="20"/>
    <x v="20"/>
    <x v="1"/>
    <n v="44"/>
    <x v="3"/>
    <x v="1"/>
    <x v="1879"/>
    <x v="1879"/>
    <x v="1"/>
    <x v="1884"/>
    <n v="9940047"/>
    <x v="18"/>
    <n v="0"/>
  </r>
  <r>
    <x v="1886"/>
    <x v="6"/>
    <x v="8"/>
    <x v="8"/>
    <x v="17"/>
    <n v="33"/>
    <x v="3"/>
    <x v="1"/>
    <x v="1880"/>
    <x v="1880"/>
    <x v="0"/>
    <x v="1885"/>
    <n v="1690042"/>
    <x v="21"/>
    <n v="0"/>
  </r>
  <r>
    <x v="1887"/>
    <x v="2"/>
    <x v="20"/>
    <x v="20"/>
    <x v="11"/>
    <n v="47"/>
    <x v="0"/>
    <x v="0"/>
    <x v="1881"/>
    <x v="1881"/>
    <x v="1"/>
    <x v="1886"/>
    <n v="6326096"/>
    <x v="2"/>
    <n v="0"/>
  </r>
  <r>
    <x v="1888"/>
    <x v="5"/>
    <x v="18"/>
    <x v="18"/>
    <x v="36"/>
    <n v="28"/>
    <x v="3"/>
    <x v="0"/>
    <x v="1882"/>
    <x v="1882"/>
    <x v="0"/>
    <x v="1887"/>
    <n v="2394857"/>
    <x v="16"/>
    <n v="0"/>
  </r>
  <r>
    <x v="1889"/>
    <x v="0"/>
    <x v="21"/>
    <x v="21"/>
    <x v="26"/>
    <n v="42"/>
    <x v="2"/>
    <x v="0"/>
    <x v="1883"/>
    <x v="1883"/>
    <x v="2"/>
    <x v="1888"/>
    <n v="2993842"/>
    <x v="9"/>
    <n v="0"/>
  </r>
  <r>
    <x v="1890"/>
    <x v="6"/>
    <x v="15"/>
    <x v="15"/>
    <x v="20"/>
    <n v="19"/>
    <x v="1"/>
    <x v="1"/>
    <x v="1884"/>
    <x v="1884"/>
    <x v="0"/>
    <x v="1889"/>
    <n v="7583051"/>
    <x v="21"/>
    <n v="0"/>
  </r>
  <r>
    <x v="1891"/>
    <x v="0"/>
    <x v="13"/>
    <x v="13"/>
    <x v="11"/>
    <n v="47"/>
    <x v="1"/>
    <x v="0"/>
    <x v="1885"/>
    <x v="1885"/>
    <x v="1"/>
    <x v="1890"/>
    <n v="9787843"/>
    <x v="3"/>
    <n v="0"/>
  </r>
  <r>
    <x v="1892"/>
    <x v="6"/>
    <x v="15"/>
    <x v="15"/>
    <x v="33"/>
    <n v="37"/>
    <x v="1"/>
    <x v="0"/>
    <x v="1886"/>
    <x v="1886"/>
    <x v="1"/>
    <x v="1891"/>
    <n v="6151127"/>
    <x v="26"/>
    <n v="0"/>
  </r>
  <r>
    <x v="1893"/>
    <x v="6"/>
    <x v="15"/>
    <x v="15"/>
    <x v="13"/>
    <n v="20"/>
    <x v="0"/>
    <x v="0"/>
    <x v="1887"/>
    <x v="1887"/>
    <x v="1"/>
    <x v="1892"/>
    <n v="8580552"/>
    <x v="26"/>
    <n v="0"/>
  </r>
  <r>
    <x v="1894"/>
    <x v="1"/>
    <x v="10"/>
    <x v="10"/>
    <x v="41"/>
    <n v="25"/>
    <x v="3"/>
    <x v="0"/>
    <x v="1888"/>
    <x v="1888"/>
    <x v="0"/>
    <x v="1893"/>
    <n v="584396"/>
    <x v="14"/>
    <n v="0"/>
  </r>
  <r>
    <x v="1895"/>
    <x v="1"/>
    <x v="22"/>
    <x v="22"/>
    <x v="11"/>
    <n v="47"/>
    <x v="2"/>
    <x v="1"/>
    <x v="1889"/>
    <x v="1889"/>
    <x v="0"/>
    <x v="1894"/>
    <n v="848001"/>
    <x v="14"/>
    <n v="0"/>
  </r>
  <r>
    <x v="1896"/>
    <x v="3"/>
    <x v="8"/>
    <x v="8"/>
    <x v="48"/>
    <n v="34"/>
    <x v="0"/>
    <x v="1"/>
    <x v="1890"/>
    <x v="1890"/>
    <x v="0"/>
    <x v="1895"/>
    <n v="6168881"/>
    <x v="27"/>
    <n v="0"/>
  </r>
  <r>
    <x v="1897"/>
    <x v="4"/>
    <x v="17"/>
    <x v="17"/>
    <x v="28"/>
    <n v="21"/>
    <x v="1"/>
    <x v="1"/>
    <x v="1891"/>
    <x v="1891"/>
    <x v="2"/>
    <x v="1896"/>
    <n v="4195339"/>
    <x v="7"/>
    <n v="0"/>
  </r>
  <r>
    <x v="1898"/>
    <x v="2"/>
    <x v="11"/>
    <x v="11"/>
    <x v="18"/>
    <n v="58"/>
    <x v="2"/>
    <x v="0"/>
    <x v="1892"/>
    <x v="1892"/>
    <x v="2"/>
    <x v="1897"/>
    <n v="8952699"/>
    <x v="5"/>
    <n v="0"/>
  </r>
  <r>
    <x v="1899"/>
    <x v="2"/>
    <x v="21"/>
    <x v="21"/>
    <x v="25"/>
    <n v="46"/>
    <x v="1"/>
    <x v="0"/>
    <x v="1893"/>
    <x v="1893"/>
    <x v="2"/>
    <x v="1898"/>
    <n v="3368828"/>
    <x v="6"/>
    <n v="0"/>
  </r>
  <r>
    <x v="1900"/>
    <x v="2"/>
    <x v="7"/>
    <x v="7"/>
    <x v="18"/>
    <n v="58"/>
    <x v="1"/>
    <x v="0"/>
    <x v="1894"/>
    <x v="1894"/>
    <x v="1"/>
    <x v="1899"/>
    <n v="4604485"/>
    <x v="6"/>
    <n v="0"/>
  </r>
  <r>
    <x v="1901"/>
    <x v="3"/>
    <x v="23"/>
    <x v="23"/>
    <x v="40"/>
    <n v="31"/>
    <x v="0"/>
    <x v="0"/>
    <x v="1895"/>
    <x v="1895"/>
    <x v="1"/>
    <x v="1900"/>
    <n v="5515137"/>
    <x v="27"/>
    <n v="0"/>
  </r>
  <r>
    <x v="1902"/>
    <x v="1"/>
    <x v="14"/>
    <x v="14"/>
    <x v="48"/>
    <n v="34"/>
    <x v="1"/>
    <x v="0"/>
    <x v="1896"/>
    <x v="1896"/>
    <x v="1"/>
    <x v="1901"/>
    <n v="3093869"/>
    <x v="11"/>
    <n v="0"/>
  </r>
  <r>
    <x v="1903"/>
    <x v="5"/>
    <x v="3"/>
    <x v="3"/>
    <x v="37"/>
    <n v="55"/>
    <x v="2"/>
    <x v="0"/>
    <x v="1897"/>
    <x v="1897"/>
    <x v="1"/>
    <x v="1902"/>
    <n v="9130701"/>
    <x v="16"/>
    <n v="0"/>
  </r>
  <r>
    <x v="1904"/>
    <x v="0"/>
    <x v="3"/>
    <x v="3"/>
    <x v="34"/>
    <n v="36"/>
    <x v="1"/>
    <x v="1"/>
    <x v="1898"/>
    <x v="1898"/>
    <x v="1"/>
    <x v="1903"/>
    <n v="4913069"/>
    <x v="0"/>
    <n v="0"/>
  </r>
  <r>
    <x v="1905"/>
    <x v="0"/>
    <x v="6"/>
    <x v="6"/>
    <x v="2"/>
    <n v="45"/>
    <x v="3"/>
    <x v="1"/>
    <x v="1899"/>
    <x v="1899"/>
    <x v="0"/>
    <x v="1904"/>
    <n v="4529478"/>
    <x v="3"/>
    <n v="0"/>
  </r>
  <r>
    <x v="1906"/>
    <x v="5"/>
    <x v="17"/>
    <x v="17"/>
    <x v="0"/>
    <n v="23"/>
    <x v="1"/>
    <x v="0"/>
    <x v="1900"/>
    <x v="1900"/>
    <x v="1"/>
    <x v="1905"/>
    <n v="8572654"/>
    <x v="20"/>
    <n v="0"/>
  </r>
  <r>
    <x v="1907"/>
    <x v="3"/>
    <x v="20"/>
    <x v="20"/>
    <x v="23"/>
    <n v="32"/>
    <x v="0"/>
    <x v="1"/>
    <x v="1901"/>
    <x v="1901"/>
    <x v="0"/>
    <x v="1906"/>
    <n v="3463795"/>
    <x v="8"/>
    <n v="0"/>
  </r>
  <r>
    <x v="1908"/>
    <x v="5"/>
    <x v="20"/>
    <x v="20"/>
    <x v="44"/>
    <n v="16"/>
    <x v="2"/>
    <x v="0"/>
    <x v="1902"/>
    <x v="1902"/>
    <x v="2"/>
    <x v="1907"/>
    <n v="8265921"/>
    <x v="12"/>
    <n v="0"/>
  </r>
  <r>
    <x v="1909"/>
    <x v="2"/>
    <x v="18"/>
    <x v="18"/>
    <x v="13"/>
    <n v="20"/>
    <x v="0"/>
    <x v="0"/>
    <x v="1903"/>
    <x v="1903"/>
    <x v="2"/>
    <x v="1908"/>
    <n v="1661592"/>
    <x v="13"/>
    <n v="0"/>
  </r>
  <r>
    <x v="1910"/>
    <x v="4"/>
    <x v="21"/>
    <x v="21"/>
    <x v="22"/>
    <n v="10"/>
    <x v="3"/>
    <x v="1"/>
    <x v="1904"/>
    <x v="1904"/>
    <x v="2"/>
    <x v="1909"/>
    <n v="2236491"/>
    <x v="17"/>
    <n v="0"/>
  </r>
  <r>
    <x v="1911"/>
    <x v="6"/>
    <x v="6"/>
    <x v="6"/>
    <x v="50"/>
    <n v="12"/>
    <x v="1"/>
    <x v="0"/>
    <x v="1905"/>
    <x v="1905"/>
    <x v="2"/>
    <x v="1910"/>
    <n v="9532996"/>
    <x v="21"/>
    <n v="0"/>
  </r>
  <r>
    <x v="1912"/>
    <x v="0"/>
    <x v="9"/>
    <x v="9"/>
    <x v="21"/>
    <n v="59"/>
    <x v="0"/>
    <x v="1"/>
    <x v="1906"/>
    <x v="1906"/>
    <x v="2"/>
    <x v="1911"/>
    <n v="8503251"/>
    <x v="9"/>
    <n v="0"/>
  </r>
  <r>
    <x v="1913"/>
    <x v="1"/>
    <x v="23"/>
    <x v="23"/>
    <x v="27"/>
    <n v="22"/>
    <x v="0"/>
    <x v="0"/>
    <x v="1907"/>
    <x v="1907"/>
    <x v="1"/>
    <x v="1912"/>
    <n v="418504"/>
    <x v="1"/>
    <n v="0"/>
  </r>
  <r>
    <x v="1914"/>
    <x v="1"/>
    <x v="15"/>
    <x v="15"/>
    <x v="38"/>
    <n v="43"/>
    <x v="0"/>
    <x v="0"/>
    <x v="1908"/>
    <x v="1908"/>
    <x v="1"/>
    <x v="1913"/>
    <n v="6565336"/>
    <x v="25"/>
    <n v="0"/>
  </r>
  <r>
    <x v="1915"/>
    <x v="3"/>
    <x v="0"/>
    <x v="0"/>
    <x v="19"/>
    <n v="52"/>
    <x v="0"/>
    <x v="1"/>
    <x v="1909"/>
    <x v="1909"/>
    <x v="1"/>
    <x v="1914"/>
    <n v="9458217"/>
    <x v="27"/>
    <n v="0"/>
  </r>
  <r>
    <x v="1916"/>
    <x v="1"/>
    <x v="20"/>
    <x v="20"/>
    <x v="45"/>
    <n v="38"/>
    <x v="3"/>
    <x v="0"/>
    <x v="1910"/>
    <x v="1910"/>
    <x v="2"/>
    <x v="1915"/>
    <n v="251266"/>
    <x v="11"/>
    <n v="0"/>
  </r>
  <r>
    <x v="1917"/>
    <x v="2"/>
    <x v="20"/>
    <x v="20"/>
    <x v="10"/>
    <n v="18"/>
    <x v="3"/>
    <x v="0"/>
    <x v="1911"/>
    <x v="1911"/>
    <x v="2"/>
    <x v="1916"/>
    <n v="1060599"/>
    <x v="2"/>
    <n v="0"/>
  </r>
  <r>
    <x v="1918"/>
    <x v="0"/>
    <x v="4"/>
    <x v="4"/>
    <x v="25"/>
    <n v="46"/>
    <x v="1"/>
    <x v="0"/>
    <x v="1912"/>
    <x v="1912"/>
    <x v="0"/>
    <x v="1917"/>
    <n v="5605947"/>
    <x v="0"/>
    <n v="0"/>
  </r>
  <r>
    <x v="1919"/>
    <x v="5"/>
    <x v="6"/>
    <x v="6"/>
    <x v="6"/>
    <n v="40"/>
    <x v="1"/>
    <x v="1"/>
    <x v="1913"/>
    <x v="1913"/>
    <x v="1"/>
    <x v="1918"/>
    <n v="185467"/>
    <x v="16"/>
    <n v="0"/>
  </r>
  <r>
    <x v="1920"/>
    <x v="2"/>
    <x v="3"/>
    <x v="3"/>
    <x v="11"/>
    <n v="47"/>
    <x v="2"/>
    <x v="0"/>
    <x v="1914"/>
    <x v="1914"/>
    <x v="2"/>
    <x v="1919"/>
    <n v="2279531"/>
    <x v="13"/>
    <n v="0"/>
  </r>
  <r>
    <x v="1921"/>
    <x v="3"/>
    <x v="12"/>
    <x v="12"/>
    <x v="43"/>
    <n v="48"/>
    <x v="3"/>
    <x v="0"/>
    <x v="1915"/>
    <x v="1915"/>
    <x v="2"/>
    <x v="1920"/>
    <n v="8969622"/>
    <x v="27"/>
    <n v="0"/>
  </r>
  <r>
    <x v="1922"/>
    <x v="2"/>
    <x v="6"/>
    <x v="6"/>
    <x v="21"/>
    <n v="59"/>
    <x v="0"/>
    <x v="0"/>
    <x v="1916"/>
    <x v="1916"/>
    <x v="2"/>
    <x v="1921"/>
    <n v="570333"/>
    <x v="6"/>
    <n v="0"/>
  </r>
  <r>
    <x v="1923"/>
    <x v="5"/>
    <x v="4"/>
    <x v="4"/>
    <x v="14"/>
    <n v="39"/>
    <x v="0"/>
    <x v="1"/>
    <x v="1917"/>
    <x v="1917"/>
    <x v="0"/>
    <x v="1922"/>
    <n v="825979"/>
    <x v="15"/>
    <n v="0"/>
  </r>
  <r>
    <x v="1924"/>
    <x v="4"/>
    <x v="2"/>
    <x v="2"/>
    <x v="46"/>
    <n v="27"/>
    <x v="2"/>
    <x v="1"/>
    <x v="1918"/>
    <x v="1918"/>
    <x v="2"/>
    <x v="1923"/>
    <n v="5411032"/>
    <x v="22"/>
    <n v="0"/>
  </r>
  <r>
    <x v="1925"/>
    <x v="3"/>
    <x v="15"/>
    <x v="15"/>
    <x v="26"/>
    <n v="42"/>
    <x v="0"/>
    <x v="1"/>
    <x v="1919"/>
    <x v="1919"/>
    <x v="0"/>
    <x v="1924"/>
    <n v="5813297"/>
    <x v="10"/>
    <n v="0"/>
  </r>
  <r>
    <x v="1926"/>
    <x v="4"/>
    <x v="19"/>
    <x v="19"/>
    <x v="29"/>
    <n v="13"/>
    <x v="2"/>
    <x v="1"/>
    <x v="1920"/>
    <x v="1920"/>
    <x v="0"/>
    <x v="1925"/>
    <n v="6881796"/>
    <x v="17"/>
    <n v="0"/>
  </r>
  <r>
    <x v="1927"/>
    <x v="6"/>
    <x v="14"/>
    <x v="14"/>
    <x v="37"/>
    <n v="55"/>
    <x v="1"/>
    <x v="1"/>
    <x v="1921"/>
    <x v="1921"/>
    <x v="1"/>
    <x v="1926"/>
    <n v="4598727"/>
    <x v="21"/>
    <n v="0"/>
  </r>
  <r>
    <x v="1928"/>
    <x v="4"/>
    <x v="8"/>
    <x v="8"/>
    <x v="44"/>
    <n v="16"/>
    <x v="3"/>
    <x v="0"/>
    <x v="1922"/>
    <x v="1922"/>
    <x v="2"/>
    <x v="1927"/>
    <n v="1598313"/>
    <x v="22"/>
    <n v="0"/>
  </r>
  <r>
    <x v="1929"/>
    <x v="6"/>
    <x v="10"/>
    <x v="10"/>
    <x v="4"/>
    <n v="26"/>
    <x v="2"/>
    <x v="1"/>
    <x v="1923"/>
    <x v="1923"/>
    <x v="0"/>
    <x v="1928"/>
    <n v="1476792"/>
    <x v="26"/>
    <n v="0"/>
  </r>
  <r>
    <x v="1930"/>
    <x v="6"/>
    <x v="20"/>
    <x v="20"/>
    <x v="32"/>
    <n v="51"/>
    <x v="0"/>
    <x v="1"/>
    <x v="1924"/>
    <x v="1924"/>
    <x v="2"/>
    <x v="1929"/>
    <n v="7666441"/>
    <x v="21"/>
    <n v="0"/>
  </r>
  <r>
    <x v="1931"/>
    <x v="4"/>
    <x v="0"/>
    <x v="0"/>
    <x v="6"/>
    <n v="40"/>
    <x v="2"/>
    <x v="0"/>
    <x v="1925"/>
    <x v="1925"/>
    <x v="1"/>
    <x v="1930"/>
    <n v="2599834"/>
    <x v="17"/>
    <n v="0"/>
  </r>
  <r>
    <x v="1932"/>
    <x v="3"/>
    <x v="21"/>
    <x v="21"/>
    <x v="15"/>
    <n v="30"/>
    <x v="1"/>
    <x v="1"/>
    <x v="1926"/>
    <x v="1926"/>
    <x v="1"/>
    <x v="1931"/>
    <n v="766966"/>
    <x v="10"/>
    <n v="0"/>
  </r>
  <r>
    <x v="1933"/>
    <x v="5"/>
    <x v="2"/>
    <x v="2"/>
    <x v="48"/>
    <n v="34"/>
    <x v="0"/>
    <x v="0"/>
    <x v="1927"/>
    <x v="1927"/>
    <x v="0"/>
    <x v="1932"/>
    <n v="9806332"/>
    <x v="20"/>
    <n v="0"/>
  </r>
  <r>
    <x v="1934"/>
    <x v="2"/>
    <x v="4"/>
    <x v="4"/>
    <x v="7"/>
    <n v="53"/>
    <x v="1"/>
    <x v="1"/>
    <x v="1928"/>
    <x v="1928"/>
    <x v="1"/>
    <x v="1933"/>
    <n v="9813719"/>
    <x v="5"/>
    <n v="0"/>
  </r>
  <r>
    <x v="1935"/>
    <x v="2"/>
    <x v="23"/>
    <x v="23"/>
    <x v="46"/>
    <n v="27"/>
    <x v="1"/>
    <x v="0"/>
    <x v="1929"/>
    <x v="1929"/>
    <x v="1"/>
    <x v="1934"/>
    <n v="4092343"/>
    <x v="13"/>
    <n v="0"/>
  </r>
  <r>
    <x v="1936"/>
    <x v="5"/>
    <x v="23"/>
    <x v="23"/>
    <x v="7"/>
    <n v="53"/>
    <x v="2"/>
    <x v="0"/>
    <x v="1930"/>
    <x v="1930"/>
    <x v="1"/>
    <x v="1935"/>
    <n v="742477"/>
    <x v="15"/>
    <n v="0"/>
  </r>
  <r>
    <x v="1937"/>
    <x v="0"/>
    <x v="12"/>
    <x v="12"/>
    <x v="30"/>
    <n v="14"/>
    <x v="1"/>
    <x v="1"/>
    <x v="1931"/>
    <x v="1931"/>
    <x v="2"/>
    <x v="1936"/>
    <n v="7409014"/>
    <x v="23"/>
    <n v="0"/>
  </r>
  <r>
    <x v="1938"/>
    <x v="0"/>
    <x v="14"/>
    <x v="14"/>
    <x v="39"/>
    <n v="49"/>
    <x v="0"/>
    <x v="1"/>
    <x v="1932"/>
    <x v="1932"/>
    <x v="2"/>
    <x v="1937"/>
    <n v="8394615"/>
    <x v="0"/>
    <n v="0"/>
  </r>
  <r>
    <x v="1939"/>
    <x v="6"/>
    <x v="0"/>
    <x v="0"/>
    <x v="19"/>
    <n v="52"/>
    <x v="1"/>
    <x v="0"/>
    <x v="1933"/>
    <x v="1933"/>
    <x v="0"/>
    <x v="1938"/>
    <n v="168763"/>
    <x v="18"/>
    <n v="0"/>
  </r>
  <r>
    <x v="1940"/>
    <x v="6"/>
    <x v="3"/>
    <x v="3"/>
    <x v="20"/>
    <n v="19"/>
    <x v="1"/>
    <x v="0"/>
    <x v="1934"/>
    <x v="1934"/>
    <x v="0"/>
    <x v="1939"/>
    <n v="1786857"/>
    <x v="21"/>
    <n v="0"/>
  </r>
  <r>
    <x v="1941"/>
    <x v="3"/>
    <x v="20"/>
    <x v="20"/>
    <x v="23"/>
    <n v="32"/>
    <x v="2"/>
    <x v="0"/>
    <x v="1935"/>
    <x v="1935"/>
    <x v="1"/>
    <x v="1940"/>
    <n v="8311128"/>
    <x v="4"/>
    <n v="0"/>
  </r>
  <r>
    <x v="1942"/>
    <x v="1"/>
    <x v="5"/>
    <x v="5"/>
    <x v="10"/>
    <n v="18"/>
    <x v="1"/>
    <x v="0"/>
    <x v="1936"/>
    <x v="1936"/>
    <x v="1"/>
    <x v="1941"/>
    <n v="925812"/>
    <x v="1"/>
    <n v="0"/>
  </r>
  <r>
    <x v="1943"/>
    <x v="4"/>
    <x v="8"/>
    <x v="8"/>
    <x v="2"/>
    <n v="45"/>
    <x v="3"/>
    <x v="0"/>
    <x v="1937"/>
    <x v="1937"/>
    <x v="0"/>
    <x v="1942"/>
    <n v="8012171"/>
    <x v="22"/>
    <n v="0"/>
  </r>
  <r>
    <x v="1944"/>
    <x v="6"/>
    <x v="9"/>
    <x v="9"/>
    <x v="33"/>
    <n v="37"/>
    <x v="2"/>
    <x v="0"/>
    <x v="1938"/>
    <x v="1938"/>
    <x v="1"/>
    <x v="1943"/>
    <n v="2407077"/>
    <x v="24"/>
    <n v="0"/>
  </r>
  <r>
    <x v="1945"/>
    <x v="2"/>
    <x v="21"/>
    <x v="21"/>
    <x v="26"/>
    <n v="42"/>
    <x v="2"/>
    <x v="0"/>
    <x v="1939"/>
    <x v="1939"/>
    <x v="0"/>
    <x v="1944"/>
    <n v="4409452"/>
    <x v="13"/>
    <n v="0"/>
  </r>
  <r>
    <x v="1946"/>
    <x v="3"/>
    <x v="14"/>
    <x v="14"/>
    <x v="13"/>
    <n v="20"/>
    <x v="0"/>
    <x v="1"/>
    <x v="1940"/>
    <x v="1940"/>
    <x v="2"/>
    <x v="1945"/>
    <n v="6208003"/>
    <x v="10"/>
    <n v="0"/>
  </r>
  <r>
    <x v="1947"/>
    <x v="4"/>
    <x v="18"/>
    <x v="18"/>
    <x v="28"/>
    <n v="21"/>
    <x v="0"/>
    <x v="0"/>
    <x v="1941"/>
    <x v="1941"/>
    <x v="1"/>
    <x v="1946"/>
    <n v="2022788"/>
    <x v="22"/>
    <n v="0"/>
  </r>
  <r>
    <x v="1948"/>
    <x v="3"/>
    <x v="5"/>
    <x v="5"/>
    <x v="50"/>
    <n v="12"/>
    <x v="0"/>
    <x v="1"/>
    <x v="1942"/>
    <x v="1942"/>
    <x v="1"/>
    <x v="1947"/>
    <n v="2500724"/>
    <x v="8"/>
    <n v="0"/>
  </r>
  <r>
    <x v="1949"/>
    <x v="4"/>
    <x v="13"/>
    <x v="13"/>
    <x v="4"/>
    <n v="26"/>
    <x v="0"/>
    <x v="1"/>
    <x v="1943"/>
    <x v="1943"/>
    <x v="1"/>
    <x v="1948"/>
    <n v="3187418"/>
    <x v="7"/>
    <n v="0"/>
  </r>
  <r>
    <x v="1950"/>
    <x v="4"/>
    <x v="16"/>
    <x v="16"/>
    <x v="45"/>
    <n v="38"/>
    <x v="3"/>
    <x v="0"/>
    <x v="1944"/>
    <x v="1944"/>
    <x v="2"/>
    <x v="1949"/>
    <n v="5340376"/>
    <x v="17"/>
    <n v="0"/>
  </r>
  <r>
    <x v="1951"/>
    <x v="5"/>
    <x v="12"/>
    <x v="12"/>
    <x v="7"/>
    <n v="53"/>
    <x v="2"/>
    <x v="0"/>
    <x v="1945"/>
    <x v="1945"/>
    <x v="2"/>
    <x v="1950"/>
    <n v="5352646"/>
    <x v="12"/>
    <n v="0"/>
  </r>
  <r>
    <x v="1952"/>
    <x v="6"/>
    <x v="0"/>
    <x v="0"/>
    <x v="38"/>
    <n v="43"/>
    <x v="1"/>
    <x v="1"/>
    <x v="1946"/>
    <x v="1946"/>
    <x v="1"/>
    <x v="1951"/>
    <n v="8235798"/>
    <x v="18"/>
    <n v="0"/>
  </r>
  <r>
    <x v="1953"/>
    <x v="3"/>
    <x v="17"/>
    <x v="17"/>
    <x v="23"/>
    <n v="32"/>
    <x v="0"/>
    <x v="0"/>
    <x v="1947"/>
    <x v="1947"/>
    <x v="0"/>
    <x v="1952"/>
    <n v="7653597"/>
    <x v="4"/>
    <n v="0"/>
  </r>
  <r>
    <x v="1954"/>
    <x v="3"/>
    <x v="3"/>
    <x v="3"/>
    <x v="18"/>
    <n v="58"/>
    <x v="0"/>
    <x v="0"/>
    <x v="1948"/>
    <x v="1948"/>
    <x v="2"/>
    <x v="1953"/>
    <n v="9180489"/>
    <x v="27"/>
    <n v="0"/>
  </r>
  <r>
    <x v="1955"/>
    <x v="5"/>
    <x v="20"/>
    <x v="20"/>
    <x v="25"/>
    <n v="46"/>
    <x v="0"/>
    <x v="1"/>
    <x v="1949"/>
    <x v="1949"/>
    <x v="1"/>
    <x v="1954"/>
    <n v="8412566"/>
    <x v="20"/>
    <n v="0"/>
  </r>
  <r>
    <x v="1956"/>
    <x v="2"/>
    <x v="6"/>
    <x v="6"/>
    <x v="8"/>
    <n v="57"/>
    <x v="1"/>
    <x v="1"/>
    <x v="1950"/>
    <x v="1950"/>
    <x v="1"/>
    <x v="1955"/>
    <n v="2911837"/>
    <x v="13"/>
    <n v="0"/>
  </r>
  <r>
    <x v="1957"/>
    <x v="2"/>
    <x v="4"/>
    <x v="4"/>
    <x v="34"/>
    <n v="36"/>
    <x v="0"/>
    <x v="1"/>
    <x v="1951"/>
    <x v="1951"/>
    <x v="2"/>
    <x v="1956"/>
    <n v="3647319"/>
    <x v="6"/>
    <n v="0"/>
  </r>
  <r>
    <x v="1958"/>
    <x v="0"/>
    <x v="12"/>
    <x v="12"/>
    <x v="0"/>
    <n v="23"/>
    <x v="1"/>
    <x v="0"/>
    <x v="1952"/>
    <x v="1952"/>
    <x v="0"/>
    <x v="1957"/>
    <n v="5254021"/>
    <x v="9"/>
    <n v="0"/>
  </r>
  <r>
    <x v="1959"/>
    <x v="6"/>
    <x v="22"/>
    <x v="22"/>
    <x v="29"/>
    <n v="13"/>
    <x v="2"/>
    <x v="0"/>
    <x v="1953"/>
    <x v="1953"/>
    <x v="1"/>
    <x v="1958"/>
    <n v="635576"/>
    <x v="26"/>
    <n v="0"/>
  </r>
  <r>
    <x v="1960"/>
    <x v="6"/>
    <x v="10"/>
    <x v="10"/>
    <x v="25"/>
    <n v="46"/>
    <x v="2"/>
    <x v="1"/>
    <x v="1954"/>
    <x v="1954"/>
    <x v="0"/>
    <x v="1959"/>
    <n v="9087069"/>
    <x v="21"/>
    <n v="0"/>
  </r>
  <r>
    <x v="1961"/>
    <x v="1"/>
    <x v="19"/>
    <x v="19"/>
    <x v="44"/>
    <n v="16"/>
    <x v="2"/>
    <x v="0"/>
    <x v="1955"/>
    <x v="1955"/>
    <x v="0"/>
    <x v="1960"/>
    <n v="92127"/>
    <x v="1"/>
    <n v="0"/>
  </r>
  <r>
    <x v="1962"/>
    <x v="5"/>
    <x v="14"/>
    <x v="14"/>
    <x v="41"/>
    <n v="25"/>
    <x v="3"/>
    <x v="1"/>
    <x v="1956"/>
    <x v="1956"/>
    <x v="2"/>
    <x v="1961"/>
    <n v="3563192"/>
    <x v="12"/>
    <n v="0"/>
  </r>
  <r>
    <x v="1963"/>
    <x v="2"/>
    <x v="11"/>
    <x v="11"/>
    <x v="33"/>
    <n v="37"/>
    <x v="1"/>
    <x v="0"/>
    <x v="1957"/>
    <x v="1957"/>
    <x v="1"/>
    <x v="1962"/>
    <n v="5907161"/>
    <x v="13"/>
    <n v="0"/>
  </r>
  <r>
    <x v="1964"/>
    <x v="4"/>
    <x v="6"/>
    <x v="6"/>
    <x v="45"/>
    <n v="38"/>
    <x v="0"/>
    <x v="1"/>
    <x v="1958"/>
    <x v="1958"/>
    <x v="1"/>
    <x v="1963"/>
    <n v="5419493"/>
    <x v="7"/>
    <n v="0"/>
  </r>
  <r>
    <x v="1965"/>
    <x v="3"/>
    <x v="18"/>
    <x v="18"/>
    <x v="6"/>
    <n v="40"/>
    <x v="0"/>
    <x v="0"/>
    <x v="1959"/>
    <x v="1959"/>
    <x v="0"/>
    <x v="1964"/>
    <n v="6717369"/>
    <x v="10"/>
    <n v="0"/>
  </r>
  <r>
    <x v="1966"/>
    <x v="6"/>
    <x v="13"/>
    <x v="13"/>
    <x v="10"/>
    <n v="18"/>
    <x v="0"/>
    <x v="1"/>
    <x v="1960"/>
    <x v="1960"/>
    <x v="2"/>
    <x v="1965"/>
    <n v="5511442"/>
    <x v="18"/>
    <n v="0"/>
  </r>
  <r>
    <x v="1967"/>
    <x v="3"/>
    <x v="11"/>
    <x v="11"/>
    <x v="35"/>
    <n v="29"/>
    <x v="0"/>
    <x v="0"/>
    <x v="1961"/>
    <x v="1961"/>
    <x v="2"/>
    <x v="1966"/>
    <n v="2675514"/>
    <x v="8"/>
    <n v="0"/>
  </r>
  <r>
    <x v="1968"/>
    <x v="3"/>
    <x v="5"/>
    <x v="5"/>
    <x v="3"/>
    <n v="41"/>
    <x v="3"/>
    <x v="0"/>
    <x v="1962"/>
    <x v="1962"/>
    <x v="2"/>
    <x v="1967"/>
    <n v="2410243"/>
    <x v="10"/>
    <n v="0"/>
  </r>
  <r>
    <x v="1969"/>
    <x v="1"/>
    <x v="3"/>
    <x v="3"/>
    <x v="18"/>
    <n v="58"/>
    <x v="0"/>
    <x v="1"/>
    <x v="1963"/>
    <x v="1963"/>
    <x v="0"/>
    <x v="1968"/>
    <n v="9118847"/>
    <x v="11"/>
    <n v="0"/>
  </r>
  <r>
    <x v="1970"/>
    <x v="2"/>
    <x v="16"/>
    <x v="16"/>
    <x v="25"/>
    <n v="46"/>
    <x v="3"/>
    <x v="0"/>
    <x v="1964"/>
    <x v="1964"/>
    <x v="0"/>
    <x v="1969"/>
    <n v="3007684"/>
    <x v="5"/>
    <n v="0"/>
  </r>
  <r>
    <x v="1971"/>
    <x v="6"/>
    <x v="16"/>
    <x v="16"/>
    <x v="24"/>
    <n v="56"/>
    <x v="1"/>
    <x v="0"/>
    <x v="1965"/>
    <x v="1965"/>
    <x v="1"/>
    <x v="1970"/>
    <n v="3169284"/>
    <x v="21"/>
    <n v="0"/>
  </r>
  <r>
    <x v="1972"/>
    <x v="3"/>
    <x v="9"/>
    <x v="9"/>
    <x v="43"/>
    <n v="48"/>
    <x v="2"/>
    <x v="1"/>
    <x v="1966"/>
    <x v="1966"/>
    <x v="2"/>
    <x v="1971"/>
    <n v="4423053"/>
    <x v="27"/>
    <n v="0"/>
  </r>
  <r>
    <x v="1973"/>
    <x v="6"/>
    <x v="6"/>
    <x v="6"/>
    <x v="6"/>
    <n v="40"/>
    <x v="0"/>
    <x v="0"/>
    <x v="1967"/>
    <x v="1967"/>
    <x v="0"/>
    <x v="1972"/>
    <n v="1824664"/>
    <x v="24"/>
    <n v="0"/>
  </r>
  <r>
    <x v="1974"/>
    <x v="4"/>
    <x v="21"/>
    <x v="21"/>
    <x v="13"/>
    <n v="20"/>
    <x v="2"/>
    <x v="0"/>
    <x v="1968"/>
    <x v="1968"/>
    <x v="2"/>
    <x v="1973"/>
    <n v="5319092"/>
    <x v="22"/>
    <n v="0"/>
  </r>
  <r>
    <x v="1975"/>
    <x v="1"/>
    <x v="15"/>
    <x v="15"/>
    <x v="38"/>
    <n v="43"/>
    <x v="1"/>
    <x v="0"/>
    <x v="1969"/>
    <x v="1969"/>
    <x v="0"/>
    <x v="1974"/>
    <n v="6817802"/>
    <x v="11"/>
    <n v="0"/>
  </r>
  <r>
    <x v="1976"/>
    <x v="4"/>
    <x v="11"/>
    <x v="11"/>
    <x v="3"/>
    <n v="41"/>
    <x v="1"/>
    <x v="1"/>
    <x v="1970"/>
    <x v="1970"/>
    <x v="1"/>
    <x v="1975"/>
    <n v="7967005"/>
    <x v="17"/>
    <n v="0"/>
  </r>
  <r>
    <x v="1977"/>
    <x v="6"/>
    <x v="21"/>
    <x v="21"/>
    <x v="6"/>
    <n v="40"/>
    <x v="0"/>
    <x v="1"/>
    <x v="1971"/>
    <x v="1971"/>
    <x v="2"/>
    <x v="1976"/>
    <n v="7258815"/>
    <x v="21"/>
    <n v="0"/>
  </r>
  <r>
    <x v="1978"/>
    <x v="0"/>
    <x v="12"/>
    <x v="12"/>
    <x v="48"/>
    <n v="34"/>
    <x v="1"/>
    <x v="1"/>
    <x v="1972"/>
    <x v="1972"/>
    <x v="0"/>
    <x v="1977"/>
    <n v="1902542"/>
    <x v="23"/>
    <n v="0"/>
  </r>
  <r>
    <x v="1979"/>
    <x v="6"/>
    <x v="1"/>
    <x v="1"/>
    <x v="34"/>
    <n v="36"/>
    <x v="2"/>
    <x v="1"/>
    <x v="1973"/>
    <x v="1973"/>
    <x v="2"/>
    <x v="1978"/>
    <n v="4832638"/>
    <x v="26"/>
    <n v="0"/>
  </r>
  <r>
    <x v="1980"/>
    <x v="2"/>
    <x v="22"/>
    <x v="22"/>
    <x v="46"/>
    <n v="27"/>
    <x v="0"/>
    <x v="1"/>
    <x v="1974"/>
    <x v="1974"/>
    <x v="0"/>
    <x v="1979"/>
    <n v="866569"/>
    <x v="13"/>
    <n v="0"/>
  </r>
  <r>
    <x v="1981"/>
    <x v="3"/>
    <x v="9"/>
    <x v="9"/>
    <x v="34"/>
    <n v="36"/>
    <x v="3"/>
    <x v="0"/>
    <x v="1975"/>
    <x v="1975"/>
    <x v="0"/>
    <x v="1980"/>
    <n v="669081"/>
    <x v="10"/>
    <n v="0"/>
  </r>
  <r>
    <x v="1982"/>
    <x v="3"/>
    <x v="17"/>
    <x v="17"/>
    <x v="13"/>
    <n v="20"/>
    <x v="0"/>
    <x v="0"/>
    <x v="1976"/>
    <x v="1976"/>
    <x v="0"/>
    <x v="1981"/>
    <n v="4681239"/>
    <x v="4"/>
    <n v="0"/>
  </r>
  <r>
    <x v="1983"/>
    <x v="4"/>
    <x v="18"/>
    <x v="18"/>
    <x v="31"/>
    <n v="50"/>
    <x v="2"/>
    <x v="1"/>
    <x v="1977"/>
    <x v="1977"/>
    <x v="2"/>
    <x v="1982"/>
    <n v="2903125"/>
    <x v="19"/>
    <n v="0"/>
  </r>
  <r>
    <x v="1984"/>
    <x v="1"/>
    <x v="13"/>
    <x v="13"/>
    <x v="20"/>
    <n v="19"/>
    <x v="0"/>
    <x v="0"/>
    <x v="1978"/>
    <x v="1978"/>
    <x v="0"/>
    <x v="1983"/>
    <n v="6991928"/>
    <x v="25"/>
    <n v="0"/>
  </r>
  <r>
    <x v="1985"/>
    <x v="0"/>
    <x v="8"/>
    <x v="8"/>
    <x v="30"/>
    <n v="14"/>
    <x v="0"/>
    <x v="0"/>
    <x v="1979"/>
    <x v="1979"/>
    <x v="1"/>
    <x v="1984"/>
    <n v="7380287"/>
    <x v="0"/>
    <n v="0"/>
  </r>
  <r>
    <x v="1986"/>
    <x v="5"/>
    <x v="17"/>
    <x v="17"/>
    <x v="23"/>
    <n v="32"/>
    <x v="2"/>
    <x v="0"/>
    <x v="1980"/>
    <x v="1980"/>
    <x v="2"/>
    <x v="1985"/>
    <n v="9006335"/>
    <x v="20"/>
    <n v="0"/>
  </r>
  <r>
    <x v="1987"/>
    <x v="3"/>
    <x v="15"/>
    <x v="15"/>
    <x v="38"/>
    <n v="43"/>
    <x v="0"/>
    <x v="0"/>
    <x v="1981"/>
    <x v="1981"/>
    <x v="1"/>
    <x v="1986"/>
    <n v="7726484"/>
    <x v="10"/>
    <n v="0"/>
  </r>
  <r>
    <x v="1988"/>
    <x v="2"/>
    <x v="20"/>
    <x v="20"/>
    <x v="23"/>
    <n v="32"/>
    <x v="0"/>
    <x v="1"/>
    <x v="1982"/>
    <x v="1982"/>
    <x v="1"/>
    <x v="1987"/>
    <n v="958319"/>
    <x v="2"/>
    <n v="0"/>
  </r>
  <r>
    <x v="1989"/>
    <x v="4"/>
    <x v="21"/>
    <x v="21"/>
    <x v="5"/>
    <n v="24"/>
    <x v="2"/>
    <x v="1"/>
    <x v="1983"/>
    <x v="1983"/>
    <x v="2"/>
    <x v="1988"/>
    <n v="4030419"/>
    <x v="17"/>
    <n v="0"/>
  </r>
  <r>
    <x v="1990"/>
    <x v="4"/>
    <x v="17"/>
    <x v="17"/>
    <x v="45"/>
    <n v="38"/>
    <x v="1"/>
    <x v="0"/>
    <x v="1984"/>
    <x v="1984"/>
    <x v="0"/>
    <x v="1989"/>
    <n v="3093722"/>
    <x v="19"/>
    <n v="0"/>
  </r>
  <r>
    <x v="1991"/>
    <x v="5"/>
    <x v="23"/>
    <x v="23"/>
    <x v="46"/>
    <n v="27"/>
    <x v="2"/>
    <x v="0"/>
    <x v="1985"/>
    <x v="1985"/>
    <x v="1"/>
    <x v="1990"/>
    <n v="4168258"/>
    <x v="16"/>
    <n v="0"/>
  </r>
  <r>
    <x v="1992"/>
    <x v="2"/>
    <x v="22"/>
    <x v="22"/>
    <x v="8"/>
    <n v="57"/>
    <x v="0"/>
    <x v="1"/>
    <x v="1986"/>
    <x v="1986"/>
    <x v="2"/>
    <x v="1991"/>
    <n v="2020719"/>
    <x v="6"/>
    <n v="0"/>
  </r>
  <r>
    <x v="1993"/>
    <x v="1"/>
    <x v="10"/>
    <x v="10"/>
    <x v="24"/>
    <n v="56"/>
    <x v="3"/>
    <x v="0"/>
    <x v="1987"/>
    <x v="1987"/>
    <x v="0"/>
    <x v="1992"/>
    <n v="1428189"/>
    <x v="25"/>
    <n v="0"/>
  </r>
  <r>
    <x v="1994"/>
    <x v="2"/>
    <x v="10"/>
    <x v="10"/>
    <x v="42"/>
    <n v="35"/>
    <x v="3"/>
    <x v="0"/>
    <x v="1988"/>
    <x v="1988"/>
    <x v="2"/>
    <x v="1993"/>
    <n v="5449353"/>
    <x v="5"/>
    <n v="0"/>
  </r>
  <r>
    <x v="1995"/>
    <x v="1"/>
    <x v="15"/>
    <x v="15"/>
    <x v="4"/>
    <n v="26"/>
    <x v="2"/>
    <x v="0"/>
    <x v="1989"/>
    <x v="1989"/>
    <x v="2"/>
    <x v="1994"/>
    <n v="7343622"/>
    <x v="11"/>
    <n v="0"/>
  </r>
  <r>
    <x v="1996"/>
    <x v="2"/>
    <x v="12"/>
    <x v="12"/>
    <x v="11"/>
    <n v="47"/>
    <x v="3"/>
    <x v="1"/>
    <x v="1990"/>
    <x v="1990"/>
    <x v="2"/>
    <x v="1995"/>
    <n v="7168154"/>
    <x v="2"/>
    <n v="0"/>
  </r>
  <r>
    <x v="1997"/>
    <x v="2"/>
    <x v="13"/>
    <x v="13"/>
    <x v="50"/>
    <n v="12"/>
    <x v="0"/>
    <x v="1"/>
    <x v="1991"/>
    <x v="1991"/>
    <x v="0"/>
    <x v="1996"/>
    <n v="4783971"/>
    <x v="6"/>
    <n v="0"/>
  </r>
  <r>
    <x v="1998"/>
    <x v="6"/>
    <x v="3"/>
    <x v="3"/>
    <x v="48"/>
    <n v="34"/>
    <x v="0"/>
    <x v="0"/>
    <x v="1992"/>
    <x v="1992"/>
    <x v="1"/>
    <x v="1997"/>
    <n v="546165"/>
    <x v="24"/>
    <n v="0"/>
  </r>
  <r>
    <x v="1999"/>
    <x v="4"/>
    <x v="21"/>
    <x v="21"/>
    <x v="46"/>
    <n v="27"/>
    <x v="2"/>
    <x v="0"/>
    <x v="1993"/>
    <x v="1993"/>
    <x v="1"/>
    <x v="1998"/>
    <n v="5405123"/>
    <x v="19"/>
    <n v="0"/>
  </r>
  <r>
    <x v="2000"/>
    <x v="2"/>
    <x v="17"/>
    <x v="17"/>
    <x v="24"/>
    <n v="56"/>
    <x v="0"/>
    <x v="0"/>
    <x v="1994"/>
    <x v="1994"/>
    <x v="2"/>
    <x v="1999"/>
    <n v="7069919"/>
    <x v="6"/>
    <n v="0"/>
  </r>
  <r>
    <x v="2001"/>
    <x v="5"/>
    <x v="22"/>
    <x v="22"/>
    <x v="16"/>
    <n v="11"/>
    <x v="1"/>
    <x v="0"/>
    <x v="1995"/>
    <x v="1995"/>
    <x v="2"/>
    <x v="2000"/>
    <n v="955289"/>
    <x v="12"/>
    <n v="0"/>
  </r>
  <r>
    <x v="2002"/>
    <x v="2"/>
    <x v="13"/>
    <x v="13"/>
    <x v="45"/>
    <n v="38"/>
    <x v="0"/>
    <x v="0"/>
    <x v="1996"/>
    <x v="1996"/>
    <x v="0"/>
    <x v="2001"/>
    <n v="7244013"/>
    <x v="2"/>
    <n v="0"/>
  </r>
  <r>
    <x v="2003"/>
    <x v="3"/>
    <x v="19"/>
    <x v="19"/>
    <x v="11"/>
    <n v="47"/>
    <x v="2"/>
    <x v="0"/>
    <x v="1997"/>
    <x v="1997"/>
    <x v="2"/>
    <x v="2002"/>
    <n v="6030909"/>
    <x v="4"/>
    <n v="0"/>
  </r>
  <r>
    <x v="2004"/>
    <x v="4"/>
    <x v="8"/>
    <x v="8"/>
    <x v="48"/>
    <n v="34"/>
    <x v="1"/>
    <x v="1"/>
    <x v="1998"/>
    <x v="1998"/>
    <x v="2"/>
    <x v="2003"/>
    <n v="2382033"/>
    <x v="19"/>
    <n v="0"/>
  </r>
  <r>
    <x v="2005"/>
    <x v="3"/>
    <x v="5"/>
    <x v="5"/>
    <x v="30"/>
    <n v="14"/>
    <x v="1"/>
    <x v="1"/>
    <x v="1999"/>
    <x v="1999"/>
    <x v="2"/>
    <x v="2004"/>
    <n v="966059"/>
    <x v="4"/>
    <n v="0"/>
  </r>
  <r>
    <x v="2006"/>
    <x v="4"/>
    <x v="7"/>
    <x v="7"/>
    <x v="21"/>
    <n v="59"/>
    <x v="3"/>
    <x v="0"/>
    <x v="2000"/>
    <x v="2000"/>
    <x v="1"/>
    <x v="2005"/>
    <n v="1531014"/>
    <x v="17"/>
    <n v="0"/>
  </r>
  <r>
    <x v="2007"/>
    <x v="3"/>
    <x v="9"/>
    <x v="9"/>
    <x v="34"/>
    <n v="36"/>
    <x v="0"/>
    <x v="1"/>
    <x v="2001"/>
    <x v="2001"/>
    <x v="2"/>
    <x v="2006"/>
    <n v="5484568"/>
    <x v="10"/>
    <n v="0"/>
  </r>
  <r>
    <x v="2008"/>
    <x v="2"/>
    <x v="12"/>
    <x v="12"/>
    <x v="3"/>
    <n v="41"/>
    <x v="2"/>
    <x v="0"/>
    <x v="2002"/>
    <x v="2002"/>
    <x v="1"/>
    <x v="2007"/>
    <n v="7704881"/>
    <x v="2"/>
    <n v="0"/>
  </r>
  <r>
    <x v="2009"/>
    <x v="2"/>
    <x v="20"/>
    <x v="20"/>
    <x v="27"/>
    <n v="22"/>
    <x v="3"/>
    <x v="0"/>
    <x v="2003"/>
    <x v="2003"/>
    <x v="0"/>
    <x v="2008"/>
    <n v="3679244"/>
    <x v="13"/>
    <n v="0"/>
  </r>
  <r>
    <x v="2010"/>
    <x v="6"/>
    <x v="22"/>
    <x v="22"/>
    <x v="48"/>
    <n v="34"/>
    <x v="3"/>
    <x v="1"/>
    <x v="2004"/>
    <x v="2004"/>
    <x v="0"/>
    <x v="2009"/>
    <n v="4101677"/>
    <x v="24"/>
    <n v="0"/>
  </r>
  <r>
    <x v="2011"/>
    <x v="5"/>
    <x v="0"/>
    <x v="0"/>
    <x v="40"/>
    <n v="31"/>
    <x v="0"/>
    <x v="1"/>
    <x v="2005"/>
    <x v="2005"/>
    <x v="1"/>
    <x v="2010"/>
    <n v="9374391"/>
    <x v="16"/>
    <n v="0"/>
  </r>
  <r>
    <x v="2012"/>
    <x v="3"/>
    <x v="3"/>
    <x v="3"/>
    <x v="30"/>
    <n v="14"/>
    <x v="0"/>
    <x v="0"/>
    <x v="2006"/>
    <x v="2006"/>
    <x v="1"/>
    <x v="2011"/>
    <n v="2523624"/>
    <x v="27"/>
    <n v="0"/>
  </r>
  <r>
    <x v="2013"/>
    <x v="1"/>
    <x v="11"/>
    <x v="11"/>
    <x v="9"/>
    <n v="15"/>
    <x v="2"/>
    <x v="0"/>
    <x v="2007"/>
    <x v="2007"/>
    <x v="1"/>
    <x v="2012"/>
    <n v="148562"/>
    <x v="1"/>
    <n v="0"/>
  </r>
  <r>
    <x v="2014"/>
    <x v="6"/>
    <x v="4"/>
    <x v="4"/>
    <x v="19"/>
    <n v="52"/>
    <x v="3"/>
    <x v="1"/>
    <x v="2008"/>
    <x v="2008"/>
    <x v="1"/>
    <x v="2013"/>
    <n v="3762396"/>
    <x v="26"/>
    <n v="0"/>
  </r>
  <r>
    <x v="2015"/>
    <x v="3"/>
    <x v="4"/>
    <x v="4"/>
    <x v="27"/>
    <n v="22"/>
    <x v="2"/>
    <x v="1"/>
    <x v="2009"/>
    <x v="2009"/>
    <x v="2"/>
    <x v="2014"/>
    <n v="758626"/>
    <x v="4"/>
    <n v="0"/>
  </r>
  <r>
    <x v="2016"/>
    <x v="3"/>
    <x v="15"/>
    <x v="15"/>
    <x v="13"/>
    <n v="20"/>
    <x v="3"/>
    <x v="0"/>
    <x v="2010"/>
    <x v="2010"/>
    <x v="1"/>
    <x v="2015"/>
    <n v="6447734"/>
    <x v="4"/>
    <n v="0"/>
  </r>
  <r>
    <x v="2017"/>
    <x v="6"/>
    <x v="1"/>
    <x v="1"/>
    <x v="42"/>
    <n v="35"/>
    <x v="3"/>
    <x v="0"/>
    <x v="2011"/>
    <x v="2011"/>
    <x v="1"/>
    <x v="2016"/>
    <n v="4450057"/>
    <x v="24"/>
    <n v="0"/>
  </r>
  <r>
    <x v="2018"/>
    <x v="2"/>
    <x v="9"/>
    <x v="9"/>
    <x v="43"/>
    <n v="48"/>
    <x v="3"/>
    <x v="0"/>
    <x v="2012"/>
    <x v="2012"/>
    <x v="1"/>
    <x v="2017"/>
    <n v="9665149"/>
    <x v="6"/>
    <n v="0"/>
  </r>
  <r>
    <x v="2019"/>
    <x v="3"/>
    <x v="15"/>
    <x v="15"/>
    <x v="29"/>
    <n v="13"/>
    <x v="0"/>
    <x v="1"/>
    <x v="2013"/>
    <x v="2013"/>
    <x v="2"/>
    <x v="2018"/>
    <n v="7482466"/>
    <x v="8"/>
    <n v="0"/>
  </r>
  <r>
    <x v="2020"/>
    <x v="2"/>
    <x v="6"/>
    <x v="6"/>
    <x v="14"/>
    <n v="39"/>
    <x v="3"/>
    <x v="0"/>
    <x v="2014"/>
    <x v="2014"/>
    <x v="2"/>
    <x v="2019"/>
    <n v="1087684"/>
    <x v="2"/>
    <n v="0"/>
  </r>
  <r>
    <x v="2021"/>
    <x v="6"/>
    <x v="17"/>
    <x v="17"/>
    <x v="44"/>
    <n v="16"/>
    <x v="3"/>
    <x v="1"/>
    <x v="2015"/>
    <x v="2015"/>
    <x v="2"/>
    <x v="2020"/>
    <n v="7573999"/>
    <x v="18"/>
    <n v="0"/>
  </r>
  <r>
    <x v="2022"/>
    <x v="2"/>
    <x v="17"/>
    <x v="17"/>
    <x v="50"/>
    <n v="12"/>
    <x v="3"/>
    <x v="0"/>
    <x v="2016"/>
    <x v="2016"/>
    <x v="0"/>
    <x v="2021"/>
    <n v="728366"/>
    <x v="2"/>
    <n v="0"/>
  </r>
  <r>
    <x v="2023"/>
    <x v="4"/>
    <x v="21"/>
    <x v="21"/>
    <x v="29"/>
    <n v="13"/>
    <x v="1"/>
    <x v="1"/>
    <x v="2017"/>
    <x v="2017"/>
    <x v="2"/>
    <x v="2022"/>
    <n v="6678072"/>
    <x v="19"/>
    <n v="0"/>
  </r>
  <r>
    <x v="2024"/>
    <x v="1"/>
    <x v="12"/>
    <x v="12"/>
    <x v="19"/>
    <n v="52"/>
    <x v="0"/>
    <x v="1"/>
    <x v="2018"/>
    <x v="2018"/>
    <x v="1"/>
    <x v="2023"/>
    <n v="2499587"/>
    <x v="1"/>
    <n v="0"/>
  </r>
  <r>
    <x v="2025"/>
    <x v="0"/>
    <x v="9"/>
    <x v="9"/>
    <x v="44"/>
    <n v="16"/>
    <x v="1"/>
    <x v="1"/>
    <x v="2019"/>
    <x v="2019"/>
    <x v="2"/>
    <x v="2024"/>
    <n v="7116201"/>
    <x v="23"/>
    <n v="0"/>
  </r>
  <r>
    <x v="2026"/>
    <x v="3"/>
    <x v="9"/>
    <x v="9"/>
    <x v="50"/>
    <n v="12"/>
    <x v="0"/>
    <x v="1"/>
    <x v="2020"/>
    <x v="2020"/>
    <x v="2"/>
    <x v="2025"/>
    <n v="3442906"/>
    <x v="27"/>
    <n v="0"/>
  </r>
  <r>
    <x v="2027"/>
    <x v="5"/>
    <x v="18"/>
    <x v="18"/>
    <x v="23"/>
    <n v="32"/>
    <x v="2"/>
    <x v="0"/>
    <x v="2021"/>
    <x v="2021"/>
    <x v="1"/>
    <x v="2026"/>
    <n v="879356"/>
    <x v="20"/>
    <n v="0"/>
  </r>
  <r>
    <x v="2028"/>
    <x v="1"/>
    <x v="0"/>
    <x v="0"/>
    <x v="19"/>
    <n v="52"/>
    <x v="1"/>
    <x v="1"/>
    <x v="2022"/>
    <x v="2022"/>
    <x v="2"/>
    <x v="2027"/>
    <n v="3700681"/>
    <x v="11"/>
    <n v="0"/>
  </r>
  <r>
    <x v="2029"/>
    <x v="0"/>
    <x v="12"/>
    <x v="12"/>
    <x v="0"/>
    <n v="23"/>
    <x v="2"/>
    <x v="1"/>
    <x v="2023"/>
    <x v="2023"/>
    <x v="0"/>
    <x v="2028"/>
    <n v="6387111"/>
    <x v="23"/>
    <n v="0"/>
  </r>
  <r>
    <x v="2030"/>
    <x v="2"/>
    <x v="5"/>
    <x v="5"/>
    <x v="40"/>
    <n v="31"/>
    <x v="3"/>
    <x v="1"/>
    <x v="2024"/>
    <x v="2024"/>
    <x v="2"/>
    <x v="2029"/>
    <n v="3216312"/>
    <x v="2"/>
    <n v="0"/>
  </r>
  <r>
    <x v="2031"/>
    <x v="3"/>
    <x v="14"/>
    <x v="14"/>
    <x v="50"/>
    <n v="12"/>
    <x v="2"/>
    <x v="0"/>
    <x v="2025"/>
    <x v="2025"/>
    <x v="0"/>
    <x v="2030"/>
    <n v="9213605"/>
    <x v="10"/>
    <n v="0"/>
  </r>
  <r>
    <x v="2032"/>
    <x v="2"/>
    <x v="8"/>
    <x v="8"/>
    <x v="23"/>
    <n v="32"/>
    <x v="2"/>
    <x v="0"/>
    <x v="2026"/>
    <x v="2026"/>
    <x v="0"/>
    <x v="2031"/>
    <n v="7919462"/>
    <x v="6"/>
    <n v="0"/>
  </r>
  <r>
    <x v="2033"/>
    <x v="4"/>
    <x v="20"/>
    <x v="20"/>
    <x v="14"/>
    <n v="39"/>
    <x v="2"/>
    <x v="0"/>
    <x v="2027"/>
    <x v="2027"/>
    <x v="0"/>
    <x v="2032"/>
    <n v="2811377"/>
    <x v="22"/>
    <n v="0"/>
  </r>
  <r>
    <x v="2034"/>
    <x v="6"/>
    <x v="12"/>
    <x v="12"/>
    <x v="14"/>
    <n v="39"/>
    <x v="2"/>
    <x v="0"/>
    <x v="2028"/>
    <x v="2028"/>
    <x v="1"/>
    <x v="2033"/>
    <n v="9513569"/>
    <x v="26"/>
    <n v="0"/>
  </r>
  <r>
    <x v="2035"/>
    <x v="3"/>
    <x v="22"/>
    <x v="22"/>
    <x v="46"/>
    <n v="27"/>
    <x v="0"/>
    <x v="0"/>
    <x v="2029"/>
    <x v="2029"/>
    <x v="2"/>
    <x v="2034"/>
    <n v="3892997"/>
    <x v="27"/>
    <n v="0"/>
  </r>
  <r>
    <x v="2036"/>
    <x v="0"/>
    <x v="2"/>
    <x v="2"/>
    <x v="4"/>
    <n v="26"/>
    <x v="1"/>
    <x v="0"/>
    <x v="2030"/>
    <x v="2030"/>
    <x v="0"/>
    <x v="2035"/>
    <n v="6692717"/>
    <x v="0"/>
    <n v="0"/>
  </r>
  <r>
    <x v="2037"/>
    <x v="0"/>
    <x v="7"/>
    <x v="7"/>
    <x v="9"/>
    <n v="15"/>
    <x v="0"/>
    <x v="1"/>
    <x v="2031"/>
    <x v="2031"/>
    <x v="0"/>
    <x v="2036"/>
    <n v="7557106"/>
    <x v="3"/>
    <n v="0"/>
  </r>
  <r>
    <x v="2038"/>
    <x v="4"/>
    <x v="0"/>
    <x v="0"/>
    <x v="36"/>
    <n v="28"/>
    <x v="0"/>
    <x v="1"/>
    <x v="2032"/>
    <x v="2032"/>
    <x v="2"/>
    <x v="2037"/>
    <n v="717571"/>
    <x v="22"/>
    <n v="0"/>
  </r>
  <r>
    <x v="2039"/>
    <x v="4"/>
    <x v="7"/>
    <x v="7"/>
    <x v="9"/>
    <n v="15"/>
    <x v="0"/>
    <x v="1"/>
    <x v="2033"/>
    <x v="2033"/>
    <x v="1"/>
    <x v="2038"/>
    <n v="961019"/>
    <x v="22"/>
    <n v="0"/>
  </r>
  <r>
    <x v="2040"/>
    <x v="3"/>
    <x v="19"/>
    <x v="19"/>
    <x v="43"/>
    <n v="48"/>
    <x v="2"/>
    <x v="0"/>
    <x v="1229"/>
    <x v="1229"/>
    <x v="1"/>
    <x v="2039"/>
    <n v="3772192"/>
    <x v="8"/>
    <n v="0"/>
  </r>
  <r>
    <x v="2041"/>
    <x v="2"/>
    <x v="5"/>
    <x v="5"/>
    <x v="18"/>
    <n v="58"/>
    <x v="0"/>
    <x v="1"/>
    <x v="2034"/>
    <x v="2034"/>
    <x v="0"/>
    <x v="2040"/>
    <n v="2302899"/>
    <x v="5"/>
    <n v="0"/>
  </r>
  <r>
    <x v="2042"/>
    <x v="5"/>
    <x v="5"/>
    <x v="5"/>
    <x v="21"/>
    <n v="59"/>
    <x v="1"/>
    <x v="1"/>
    <x v="2035"/>
    <x v="2035"/>
    <x v="1"/>
    <x v="2041"/>
    <n v="8581724"/>
    <x v="16"/>
    <n v="0"/>
  </r>
  <r>
    <x v="2043"/>
    <x v="0"/>
    <x v="22"/>
    <x v="22"/>
    <x v="7"/>
    <n v="53"/>
    <x v="0"/>
    <x v="0"/>
    <x v="2036"/>
    <x v="2036"/>
    <x v="2"/>
    <x v="2042"/>
    <n v="7177543"/>
    <x v="3"/>
    <n v="0"/>
  </r>
  <r>
    <x v="2044"/>
    <x v="0"/>
    <x v="9"/>
    <x v="9"/>
    <x v="6"/>
    <n v="40"/>
    <x v="3"/>
    <x v="1"/>
    <x v="2037"/>
    <x v="2037"/>
    <x v="1"/>
    <x v="2043"/>
    <n v="1324061"/>
    <x v="23"/>
    <n v="0"/>
  </r>
  <r>
    <x v="2045"/>
    <x v="4"/>
    <x v="8"/>
    <x v="8"/>
    <x v="2"/>
    <n v="45"/>
    <x v="2"/>
    <x v="0"/>
    <x v="2038"/>
    <x v="2038"/>
    <x v="2"/>
    <x v="2044"/>
    <n v="1611924"/>
    <x v="7"/>
    <n v="0"/>
  </r>
  <r>
    <x v="2046"/>
    <x v="1"/>
    <x v="20"/>
    <x v="20"/>
    <x v="5"/>
    <n v="24"/>
    <x v="3"/>
    <x v="1"/>
    <x v="2039"/>
    <x v="2039"/>
    <x v="0"/>
    <x v="2045"/>
    <n v="7294323"/>
    <x v="11"/>
    <n v="0"/>
  </r>
  <r>
    <x v="2047"/>
    <x v="4"/>
    <x v="18"/>
    <x v="18"/>
    <x v="26"/>
    <n v="42"/>
    <x v="1"/>
    <x v="0"/>
    <x v="2040"/>
    <x v="2040"/>
    <x v="2"/>
    <x v="2046"/>
    <n v="1210441"/>
    <x v="17"/>
    <n v="0"/>
  </r>
  <r>
    <x v="2048"/>
    <x v="5"/>
    <x v="7"/>
    <x v="7"/>
    <x v="17"/>
    <n v="33"/>
    <x v="1"/>
    <x v="0"/>
    <x v="2041"/>
    <x v="2041"/>
    <x v="0"/>
    <x v="2047"/>
    <n v="9213167"/>
    <x v="16"/>
    <n v="0"/>
  </r>
  <r>
    <x v="2049"/>
    <x v="2"/>
    <x v="14"/>
    <x v="14"/>
    <x v="48"/>
    <n v="34"/>
    <x v="1"/>
    <x v="0"/>
    <x v="2042"/>
    <x v="2042"/>
    <x v="2"/>
    <x v="2048"/>
    <n v="7544631"/>
    <x v="6"/>
    <n v="0"/>
  </r>
  <r>
    <x v="2050"/>
    <x v="2"/>
    <x v="10"/>
    <x v="10"/>
    <x v="43"/>
    <n v="48"/>
    <x v="1"/>
    <x v="1"/>
    <x v="2043"/>
    <x v="2043"/>
    <x v="2"/>
    <x v="2049"/>
    <n v="3687176"/>
    <x v="13"/>
    <n v="0"/>
  </r>
  <r>
    <x v="2051"/>
    <x v="1"/>
    <x v="12"/>
    <x v="12"/>
    <x v="5"/>
    <n v="24"/>
    <x v="0"/>
    <x v="1"/>
    <x v="2044"/>
    <x v="2044"/>
    <x v="1"/>
    <x v="2050"/>
    <n v="3947918"/>
    <x v="11"/>
    <n v="0"/>
  </r>
  <r>
    <x v="2052"/>
    <x v="0"/>
    <x v="6"/>
    <x v="6"/>
    <x v="4"/>
    <n v="26"/>
    <x v="2"/>
    <x v="0"/>
    <x v="2045"/>
    <x v="2045"/>
    <x v="2"/>
    <x v="2051"/>
    <n v="5311713"/>
    <x v="9"/>
    <n v="0"/>
  </r>
  <r>
    <x v="2053"/>
    <x v="4"/>
    <x v="2"/>
    <x v="2"/>
    <x v="24"/>
    <n v="56"/>
    <x v="1"/>
    <x v="0"/>
    <x v="2046"/>
    <x v="2046"/>
    <x v="0"/>
    <x v="2052"/>
    <n v="3929209"/>
    <x v="7"/>
    <n v="0"/>
  </r>
  <r>
    <x v="2054"/>
    <x v="2"/>
    <x v="19"/>
    <x v="19"/>
    <x v="29"/>
    <n v="13"/>
    <x v="3"/>
    <x v="1"/>
    <x v="2047"/>
    <x v="2047"/>
    <x v="2"/>
    <x v="2053"/>
    <n v="7942951"/>
    <x v="5"/>
    <n v="0"/>
  </r>
  <r>
    <x v="2055"/>
    <x v="5"/>
    <x v="14"/>
    <x v="14"/>
    <x v="48"/>
    <n v="34"/>
    <x v="1"/>
    <x v="1"/>
    <x v="2048"/>
    <x v="2048"/>
    <x v="0"/>
    <x v="2054"/>
    <n v="9760001"/>
    <x v="15"/>
    <n v="0"/>
  </r>
  <r>
    <x v="2056"/>
    <x v="3"/>
    <x v="14"/>
    <x v="14"/>
    <x v="24"/>
    <n v="56"/>
    <x v="2"/>
    <x v="0"/>
    <x v="2049"/>
    <x v="2049"/>
    <x v="0"/>
    <x v="2055"/>
    <n v="6052954"/>
    <x v="8"/>
    <n v="0"/>
  </r>
  <r>
    <x v="2057"/>
    <x v="6"/>
    <x v="20"/>
    <x v="20"/>
    <x v="3"/>
    <n v="41"/>
    <x v="3"/>
    <x v="1"/>
    <x v="2050"/>
    <x v="2050"/>
    <x v="2"/>
    <x v="2056"/>
    <n v="4737355"/>
    <x v="26"/>
    <n v="0"/>
  </r>
  <r>
    <x v="2058"/>
    <x v="6"/>
    <x v="7"/>
    <x v="7"/>
    <x v="33"/>
    <n v="37"/>
    <x v="3"/>
    <x v="1"/>
    <x v="2051"/>
    <x v="2051"/>
    <x v="1"/>
    <x v="2057"/>
    <n v="2616354"/>
    <x v="24"/>
    <n v="0"/>
  </r>
  <r>
    <x v="2059"/>
    <x v="6"/>
    <x v="2"/>
    <x v="2"/>
    <x v="27"/>
    <n v="22"/>
    <x v="3"/>
    <x v="1"/>
    <x v="2052"/>
    <x v="2052"/>
    <x v="2"/>
    <x v="2058"/>
    <n v="6707617"/>
    <x v="26"/>
    <n v="0"/>
  </r>
  <r>
    <x v="2060"/>
    <x v="0"/>
    <x v="4"/>
    <x v="4"/>
    <x v="46"/>
    <n v="27"/>
    <x v="0"/>
    <x v="0"/>
    <x v="2053"/>
    <x v="2053"/>
    <x v="2"/>
    <x v="2059"/>
    <n v="701298"/>
    <x v="0"/>
    <n v="0"/>
  </r>
  <r>
    <x v="2061"/>
    <x v="4"/>
    <x v="2"/>
    <x v="2"/>
    <x v="7"/>
    <n v="53"/>
    <x v="1"/>
    <x v="0"/>
    <x v="2054"/>
    <x v="2054"/>
    <x v="1"/>
    <x v="2060"/>
    <n v="7009311"/>
    <x v="22"/>
    <n v="0"/>
  </r>
  <r>
    <x v="2062"/>
    <x v="1"/>
    <x v="15"/>
    <x v="15"/>
    <x v="45"/>
    <n v="38"/>
    <x v="0"/>
    <x v="1"/>
    <x v="2055"/>
    <x v="2055"/>
    <x v="0"/>
    <x v="2061"/>
    <n v="756358"/>
    <x v="1"/>
    <n v="0"/>
  </r>
  <r>
    <x v="2063"/>
    <x v="2"/>
    <x v="23"/>
    <x v="23"/>
    <x v="34"/>
    <n v="36"/>
    <x v="3"/>
    <x v="0"/>
    <x v="2056"/>
    <x v="2056"/>
    <x v="2"/>
    <x v="2062"/>
    <n v="904166"/>
    <x v="13"/>
    <n v="0"/>
  </r>
  <r>
    <x v="2064"/>
    <x v="3"/>
    <x v="14"/>
    <x v="14"/>
    <x v="9"/>
    <n v="15"/>
    <x v="0"/>
    <x v="1"/>
    <x v="2057"/>
    <x v="2057"/>
    <x v="1"/>
    <x v="2063"/>
    <n v="3712012"/>
    <x v="27"/>
    <n v="0"/>
  </r>
  <r>
    <x v="2065"/>
    <x v="5"/>
    <x v="17"/>
    <x v="17"/>
    <x v="16"/>
    <n v="11"/>
    <x v="0"/>
    <x v="1"/>
    <x v="2058"/>
    <x v="2058"/>
    <x v="1"/>
    <x v="2064"/>
    <n v="7569575"/>
    <x v="12"/>
    <n v="0"/>
  </r>
  <r>
    <x v="2066"/>
    <x v="3"/>
    <x v="3"/>
    <x v="3"/>
    <x v="18"/>
    <n v="58"/>
    <x v="0"/>
    <x v="0"/>
    <x v="2059"/>
    <x v="2059"/>
    <x v="0"/>
    <x v="2065"/>
    <n v="7718166"/>
    <x v="27"/>
    <n v="0"/>
  </r>
  <r>
    <x v="2067"/>
    <x v="5"/>
    <x v="15"/>
    <x v="15"/>
    <x v="35"/>
    <n v="29"/>
    <x v="1"/>
    <x v="0"/>
    <x v="2060"/>
    <x v="2060"/>
    <x v="1"/>
    <x v="2066"/>
    <n v="6680272"/>
    <x v="16"/>
    <n v="0"/>
  </r>
  <r>
    <x v="2068"/>
    <x v="0"/>
    <x v="9"/>
    <x v="9"/>
    <x v="6"/>
    <n v="40"/>
    <x v="3"/>
    <x v="0"/>
    <x v="2061"/>
    <x v="2061"/>
    <x v="0"/>
    <x v="2067"/>
    <n v="4251232"/>
    <x v="23"/>
    <n v="0"/>
  </r>
  <r>
    <x v="2069"/>
    <x v="4"/>
    <x v="3"/>
    <x v="3"/>
    <x v="30"/>
    <n v="14"/>
    <x v="3"/>
    <x v="1"/>
    <x v="2062"/>
    <x v="2062"/>
    <x v="2"/>
    <x v="2068"/>
    <n v="627965"/>
    <x v="22"/>
    <n v="0"/>
  </r>
  <r>
    <x v="2070"/>
    <x v="6"/>
    <x v="18"/>
    <x v="18"/>
    <x v="1"/>
    <n v="44"/>
    <x v="1"/>
    <x v="1"/>
    <x v="2063"/>
    <x v="2063"/>
    <x v="1"/>
    <x v="2069"/>
    <n v="881888"/>
    <x v="21"/>
    <n v="0"/>
  </r>
  <r>
    <x v="2071"/>
    <x v="4"/>
    <x v="0"/>
    <x v="0"/>
    <x v="8"/>
    <n v="57"/>
    <x v="0"/>
    <x v="0"/>
    <x v="2064"/>
    <x v="2064"/>
    <x v="2"/>
    <x v="2070"/>
    <n v="773801"/>
    <x v="22"/>
    <n v="0"/>
  </r>
  <r>
    <x v="2072"/>
    <x v="0"/>
    <x v="16"/>
    <x v="16"/>
    <x v="14"/>
    <n v="39"/>
    <x v="0"/>
    <x v="0"/>
    <x v="2065"/>
    <x v="2065"/>
    <x v="1"/>
    <x v="2071"/>
    <n v="1446092"/>
    <x v="9"/>
    <n v="0"/>
  </r>
  <r>
    <x v="2073"/>
    <x v="1"/>
    <x v="9"/>
    <x v="9"/>
    <x v="44"/>
    <n v="16"/>
    <x v="2"/>
    <x v="0"/>
    <x v="2066"/>
    <x v="2066"/>
    <x v="1"/>
    <x v="2072"/>
    <n v="4269134"/>
    <x v="1"/>
    <n v="0"/>
  </r>
  <r>
    <x v="2074"/>
    <x v="1"/>
    <x v="15"/>
    <x v="15"/>
    <x v="14"/>
    <n v="39"/>
    <x v="2"/>
    <x v="1"/>
    <x v="2067"/>
    <x v="2067"/>
    <x v="2"/>
    <x v="2073"/>
    <n v="1484378"/>
    <x v="25"/>
    <n v="0"/>
  </r>
  <r>
    <x v="2075"/>
    <x v="0"/>
    <x v="7"/>
    <x v="7"/>
    <x v="43"/>
    <n v="48"/>
    <x v="2"/>
    <x v="1"/>
    <x v="2068"/>
    <x v="2068"/>
    <x v="1"/>
    <x v="2074"/>
    <n v="8452207"/>
    <x v="9"/>
    <n v="0"/>
  </r>
  <r>
    <x v="2076"/>
    <x v="5"/>
    <x v="9"/>
    <x v="9"/>
    <x v="15"/>
    <n v="30"/>
    <x v="1"/>
    <x v="1"/>
    <x v="2069"/>
    <x v="2069"/>
    <x v="2"/>
    <x v="2075"/>
    <n v="5727873"/>
    <x v="16"/>
    <n v="0"/>
  </r>
  <r>
    <x v="2077"/>
    <x v="2"/>
    <x v="3"/>
    <x v="3"/>
    <x v="12"/>
    <n v="54"/>
    <x v="3"/>
    <x v="0"/>
    <x v="2070"/>
    <x v="2070"/>
    <x v="2"/>
    <x v="2076"/>
    <n v="7064074"/>
    <x v="2"/>
    <n v="0"/>
  </r>
  <r>
    <x v="2078"/>
    <x v="2"/>
    <x v="14"/>
    <x v="14"/>
    <x v="26"/>
    <n v="42"/>
    <x v="2"/>
    <x v="0"/>
    <x v="2071"/>
    <x v="2071"/>
    <x v="0"/>
    <x v="2077"/>
    <n v="6984531"/>
    <x v="6"/>
    <n v="0"/>
  </r>
  <r>
    <x v="2079"/>
    <x v="5"/>
    <x v="22"/>
    <x v="22"/>
    <x v="37"/>
    <n v="55"/>
    <x v="3"/>
    <x v="1"/>
    <x v="2072"/>
    <x v="2072"/>
    <x v="2"/>
    <x v="2078"/>
    <n v="8495259"/>
    <x v="15"/>
    <n v="0"/>
  </r>
  <r>
    <x v="2080"/>
    <x v="1"/>
    <x v="16"/>
    <x v="16"/>
    <x v="3"/>
    <n v="41"/>
    <x v="3"/>
    <x v="0"/>
    <x v="2073"/>
    <x v="2073"/>
    <x v="0"/>
    <x v="2079"/>
    <n v="1759409"/>
    <x v="25"/>
    <n v="0"/>
  </r>
  <r>
    <x v="2081"/>
    <x v="1"/>
    <x v="21"/>
    <x v="21"/>
    <x v="47"/>
    <n v="17"/>
    <x v="3"/>
    <x v="0"/>
    <x v="2074"/>
    <x v="2074"/>
    <x v="2"/>
    <x v="2080"/>
    <n v="6767417"/>
    <x v="14"/>
    <n v="0"/>
  </r>
  <r>
    <x v="2082"/>
    <x v="1"/>
    <x v="23"/>
    <x v="23"/>
    <x v="41"/>
    <n v="25"/>
    <x v="1"/>
    <x v="0"/>
    <x v="2075"/>
    <x v="2075"/>
    <x v="1"/>
    <x v="2081"/>
    <n v="5963774"/>
    <x v="1"/>
    <n v="0"/>
  </r>
  <r>
    <x v="2083"/>
    <x v="4"/>
    <x v="16"/>
    <x v="16"/>
    <x v="13"/>
    <n v="20"/>
    <x v="1"/>
    <x v="0"/>
    <x v="2076"/>
    <x v="2076"/>
    <x v="2"/>
    <x v="2082"/>
    <n v="793523"/>
    <x v="19"/>
    <n v="0"/>
  </r>
  <r>
    <x v="2084"/>
    <x v="1"/>
    <x v="8"/>
    <x v="8"/>
    <x v="37"/>
    <n v="55"/>
    <x v="1"/>
    <x v="1"/>
    <x v="2077"/>
    <x v="2077"/>
    <x v="1"/>
    <x v="2083"/>
    <n v="2413518"/>
    <x v="25"/>
    <n v="0"/>
  </r>
  <r>
    <x v="2085"/>
    <x v="3"/>
    <x v="3"/>
    <x v="3"/>
    <x v="43"/>
    <n v="48"/>
    <x v="1"/>
    <x v="0"/>
    <x v="2078"/>
    <x v="2078"/>
    <x v="0"/>
    <x v="2084"/>
    <n v="304193"/>
    <x v="8"/>
    <n v="0"/>
  </r>
  <r>
    <x v="2086"/>
    <x v="6"/>
    <x v="9"/>
    <x v="9"/>
    <x v="1"/>
    <n v="44"/>
    <x v="2"/>
    <x v="1"/>
    <x v="2079"/>
    <x v="2079"/>
    <x v="1"/>
    <x v="2085"/>
    <n v="1189286"/>
    <x v="26"/>
    <n v="0"/>
  </r>
  <r>
    <x v="2087"/>
    <x v="1"/>
    <x v="19"/>
    <x v="19"/>
    <x v="41"/>
    <n v="25"/>
    <x v="0"/>
    <x v="1"/>
    <x v="2080"/>
    <x v="2080"/>
    <x v="2"/>
    <x v="2086"/>
    <n v="3869838"/>
    <x v="14"/>
    <n v="0"/>
  </r>
  <r>
    <x v="2088"/>
    <x v="5"/>
    <x v="7"/>
    <x v="7"/>
    <x v="20"/>
    <n v="19"/>
    <x v="0"/>
    <x v="0"/>
    <x v="2081"/>
    <x v="2081"/>
    <x v="1"/>
    <x v="2087"/>
    <n v="758424"/>
    <x v="12"/>
    <n v="0"/>
  </r>
  <r>
    <x v="2089"/>
    <x v="6"/>
    <x v="1"/>
    <x v="1"/>
    <x v="43"/>
    <n v="48"/>
    <x v="0"/>
    <x v="1"/>
    <x v="2082"/>
    <x v="2082"/>
    <x v="0"/>
    <x v="2088"/>
    <n v="5755243"/>
    <x v="18"/>
    <n v="0"/>
  </r>
  <r>
    <x v="2090"/>
    <x v="4"/>
    <x v="13"/>
    <x v="13"/>
    <x v="48"/>
    <n v="34"/>
    <x v="2"/>
    <x v="1"/>
    <x v="2083"/>
    <x v="2083"/>
    <x v="1"/>
    <x v="2089"/>
    <n v="2509259"/>
    <x v="19"/>
    <n v="0"/>
  </r>
  <r>
    <x v="2091"/>
    <x v="5"/>
    <x v="13"/>
    <x v="13"/>
    <x v="28"/>
    <n v="21"/>
    <x v="0"/>
    <x v="0"/>
    <x v="2084"/>
    <x v="2084"/>
    <x v="1"/>
    <x v="2090"/>
    <n v="322653"/>
    <x v="16"/>
    <n v="0"/>
  </r>
  <r>
    <x v="2092"/>
    <x v="6"/>
    <x v="14"/>
    <x v="14"/>
    <x v="3"/>
    <n v="41"/>
    <x v="2"/>
    <x v="1"/>
    <x v="2085"/>
    <x v="2085"/>
    <x v="2"/>
    <x v="2091"/>
    <n v="914948"/>
    <x v="18"/>
    <n v="0"/>
  </r>
  <r>
    <x v="2093"/>
    <x v="5"/>
    <x v="20"/>
    <x v="20"/>
    <x v="50"/>
    <n v="12"/>
    <x v="2"/>
    <x v="1"/>
    <x v="2086"/>
    <x v="2086"/>
    <x v="2"/>
    <x v="2092"/>
    <n v="527676"/>
    <x v="16"/>
    <n v="0"/>
  </r>
  <r>
    <x v="2094"/>
    <x v="4"/>
    <x v="7"/>
    <x v="7"/>
    <x v="4"/>
    <n v="26"/>
    <x v="2"/>
    <x v="1"/>
    <x v="2087"/>
    <x v="2087"/>
    <x v="1"/>
    <x v="2093"/>
    <n v="3055632"/>
    <x v="17"/>
    <n v="0"/>
  </r>
  <r>
    <x v="2095"/>
    <x v="3"/>
    <x v="14"/>
    <x v="14"/>
    <x v="17"/>
    <n v="33"/>
    <x v="0"/>
    <x v="1"/>
    <x v="2088"/>
    <x v="2088"/>
    <x v="0"/>
    <x v="2094"/>
    <n v="6185387"/>
    <x v="4"/>
    <n v="0"/>
  </r>
  <r>
    <x v="2096"/>
    <x v="4"/>
    <x v="21"/>
    <x v="21"/>
    <x v="47"/>
    <n v="17"/>
    <x v="3"/>
    <x v="1"/>
    <x v="2089"/>
    <x v="2089"/>
    <x v="1"/>
    <x v="2095"/>
    <n v="2415879"/>
    <x v="19"/>
    <n v="0"/>
  </r>
  <r>
    <x v="2097"/>
    <x v="4"/>
    <x v="3"/>
    <x v="3"/>
    <x v="21"/>
    <n v="59"/>
    <x v="0"/>
    <x v="1"/>
    <x v="2090"/>
    <x v="2090"/>
    <x v="0"/>
    <x v="2096"/>
    <n v="1206759"/>
    <x v="7"/>
    <n v="0"/>
  </r>
  <r>
    <x v="2098"/>
    <x v="5"/>
    <x v="1"/>
    <x v="1"/>
    <x v="13"/>
    <n v="20"/>
    <x v="0"/>
    <x v="1"/>
    <x v="2091"/>
    <x v="2091"/>
    <x v="0"/>
    <x v="2097"/>
    <n v="69861"/>
    <x v="12"/>
    <n v="0"/>
  </r>
  <r>
    <x v="2099"/>
    <x v="0"/>
    <x v="10"/>
    <x v="10"/>
    <x v="47"/>
    <n v="17"/>
    <x v="1"/>
    <x v="1"/>
    <x v="2092"/>
    <x v="2092"/>
    <x v="0"/>
    <x v="2098"/>
    <n v="9539526"/>
    <x v="9"/>
    <n v="0"/>
  </r>
  <r>
    <x v="2100"/>
    <x v="2"/>
    <x v="0"/>
    <x v="0"/>
    <x v="13"/>
    <n v="20"/>
    <x v="2"/>
    <x v="0"/>
    <x v="2093"/>
    <x v="2093"/>
    <x v="1"/>
    <x v="2099"/>
    <n v="7383803"/>
    <x v="6"/>
    <n v="0"/>
  </r>
  <r>
    <x v="2101"/>
    <x v="1"/>
    <x v="9"/>
    <x v="9"/>
    <x v="43"/>
    <n v="48"/>
    <x v="3"/>
    <x v="0"/>
    <x v="2094"/>
    <x v="2094"/>
    <x v="0"/>
    <x v="2100"/>
    <n v="8099507"/>
    <x v="14"/>
    <n v="0"/>
  </r>
  <r>
    <x v="2102"/>
    <x v="1"/>
    <x v="9"/>
    <x v="9"/>
    <x v="40"/>
    <n v="31"/>
    <x v="1"/>
    <x v="0"/>
    <x v="1149"/>
    <x v="1149"/>
    <x v="1"/>
    <x v="2101"/>
    <n v="9818718"/>
    <x v="11"/>
    <n v="0"/>
  </r>
  <r>
    <x v="2103"/>
    <x v="3"/>
    <x v="6"/>
    <x v="6"/>
    <x v="45"/>
    <n v="38"/>
    <x v="3"/>
    <x v="1"/>
    <x v="2095"/>
    <x v="2095"/>
    <x v="0"/>
    <x v="2102"/>
    <n v="9350473"/>
    <x v="8"/>
    <n v="0"/>
  </r>
  <r>
    <x v="2104"/>
    <x v="3"/>
    <x v="16"/>
    <x v="16"/>
    <x v="16"/>
    <n v="11"/>
    <x v="3"/>
    <x v="1"/>
    <x v="2096"/>
    <x v="2096"/>
    <x v="0"/>
    <x v="2103"/>
    <n v="7500675"/>
    <x v="8"/>
    <n v="0"/>
  </r>
  <r>
    <x v="2105"/>
    <x v="1"/>
    <x v="10"/>
    <x v="10"/>
    <x v="50"/>
    <n v="12"/>
    <x v="2"/>
    <x v="1"/>
    <x v="2097"/>
    <x v="2097"/>
    <x v="1"/>
    <x v="2104"/>
    <n v="7092877"/>
    <x v="1"/>
    <n v="0"/>
  </r>
  <r>
    <x v="2106"/>
    <x v="2"/>
    <x v="10"/>
    <x v="10"/>
    <x v="23"/>
    <n v="32"/>
    <x v="0"/>
    <x v="0"/>
    <x v="2098"/>
    <x v="2098"/>
    <x v="2"/>
    <x v="2105"/>
    <n v="3700075"/>
    <x v="5"/>
    <n v="0"/>
  </r>
  <r>
    <x v="2107"/>
    <x v="1"/>
    <x v="13"/>
    <x v="13"/>
    <x v="32"/>
    <n v="51"/>
    <x v="2"/>
    <x v="0"/>
    <x v="2099"/>
    <x v="2099"/>
    <x v="2"/>
    <x v="2106"/>
    <n v="1488164"/>
    <x v="11"/>
    <n v="0"/>
  </r>
  <r>
    <x v="2108"/>
    <x v="0"/>
    <x v="17"/>
    <x v="17"/>
    <x v="12"/>
    <n v="54"/>
    <x v="2"/>
    <x v="0"/>
    <x v="2100"/>
    <x v="2100"/>
    <x v="1"/>
    <x v="2107"/>
    <n v="5950364"/>
    <x v="3"/>
    <n v="0"/>
  </r>
  <r>
    <x v="2109"/>
    <x v="2"/>
    <x v="15"/>
    <x v="15"/>
    <x v="30"/>
    <n v="14"/>
    <x v="1"/>
    <x v="1"/>
    <x v="2101"/>
    <x v="2101"/>
    <x v="1"/>
    <x v="2108"/>
    <n v="5974406"/>
    <x v="6"/>
    <n v="0"/>
  </r>
  <r>
    <x v="2110"/>
    <x v="3"/>
    <x v="4"/>
    <x v="4"/>
    <x v="33"/>
    <n v="37"/>
    <x v="2"/>
    <x v="0"/>
    <x v="2102"/>
    <x v="2102"/>
    <x v="2"/>
    <x v="2109"/>
    <n v="9546254"/>
    <x v="8"/>
    <n v="0"/>
  </r>
  <r>
    <x v="2111"/>
    <x v="6"/>
    <x v="17"/>
    <x v="17"/>
    <x v="24"/>
    <n v="56"/>
    <x v="0"/>
    <x v="0"/>
    <x v="2103"/>
    <x v="2103"/>
    <x v="2"/>
    <x v="2110"/>
    <n v="4704423"/>
    <x v="24"/>
    <n v="0"/>
  </r>
  <r>
    <x v="2112"/>
    <x v="5"/>
    <x v="21"/>
    <x v="21"/>
    <x v="35"/>
    <n v="29"/>
    <x v="3"/>
    <x v="1"/>
    <x v="2104"/>
    <x v="2104"/>
    <x v="2"/>
    <x v="2111"/>
    <n v="7062672"/>
    <x v="15"/>
    <n v="0"/>
  </r>
  <r>
    <x v="2113"/>
    <x v="0"/>
    <x v="12"/>
    <x v="12"/>
    <x v="32"/>
    <n v="51"/>
    <x v="2"/>
    <x v="0"/>
    <x v="2105"/>
    <x v="2105"/>
    <x v="1"/>
    <x v="2112"/>
    <n v="5962221"/>
    <x v="0"/>
    <n v="0"/>
  </r>
  <r>
    <x v="2114"/>
    <x v="0"/>
    <x v="18"/>
    <x v="18"/>
    <x v="47"/>
    <n v="17"/>
    <x v="3"/>
    <x v="1"/>
    <x v="2106"/>
    <x v="2106"/>
    <x v="0"/>
    <x v="2113"/>
    <n v="2179222"/>
    <x v="9"/>
    <n v="0"/>
  </r>
  <r>
    <x v="2115"/>
    <x v="3"/>
    <x v="9"/>
    <x v="9"/>
    <x v="8"/>
    <n v="57"/>
    <x v="2"/>
    <x v="0"/>
    <x v="2107"/>
    <x v="2107"/>
    <x v="1"/>
    <x v="2114"/>
    <n v="6124611"/>
    <x v="8"/>
    <n v="0"/>
  </r>
  <r>
    <x v="2116"/>
    <x v="3"/>
    <x v="11"/>
    <x v="11"/>
    <x v="43"/>
    <n v="48"/>
    <x v="3"/>
    <x v="1"/>
    <x v="2108"/>
    <x v="2108"/>
    <x v="2"/>
    <x v="2115"/>
    <n v="5631109"/>
    <x v="27"/>
    <n v="0"/>
  </r>
  <r>
    <x v="2117"/>
    <x v="4"/>
    <x v="0"/>
    <x v="0"/>
    <x v="8"/>
    <n v="57"/>
    <x v="2"/>
    <x v="1"/>
    <x v="2109"/>
    <x v="2109"/>
    <x v="0"/>
    <x v="2116"/>
    <n v="5192107"/>
    <x v="17"/>
    <n v="0"/>
  </r>
  <r>
    <x v="2118"/>
    <x v="0"/>
    <x v="5"/>
    <x v="5"/>
    <x v="1"/>
    <n v="44"/>
    <x v="1"/>
    <x v="1"/>
    <x v="2110"/>
    <x v="2110"/>
    <x v="1"/>
    <x v="2117"/>
    <n v="5377518"/>
    <x v="0"/>
    <n v="0"/>
  </r>
  <r>
    <x v="2119"/>
    <x v="4"/>
    <x v="8"/>
    <x v="8"/>
    <x v="36"/>
    <n v="28"/>
    <x v="3"/>
    <x v="1"/>
    <x v="2111"/>
    <x v="2111"/>
    <x v="2"/>
    <x v="2118"/>
    <n v="2057886"/>
    <x v="19"/>
    <n v="0"/>
  </r>
  <r>
    <x v="2120"/>
    <x v="4"/>
    <x v="7"/>
    <x v="7"/>
    <x v="8"/>
    <n v="57"/>
    <x v="2"/>
    <x v="1"/>
    <x v="2112"/>
    <x v="2112"/>
    <x v="1"/>
    <x v="2119"/>
    <n v="4903038"/>
    <x v="7"/>
    <n v="0"/>
  </r>
  <r>
    <x v="2121"/>
    <x v="5"/>
    <x v="20"/>
    <x v="20"/>
    <x v="5"/>
    <n v="24"/>
    <x v="2"/>
    <x v="0"/>
    <x v="2113"/>
    <x v="2113"/>
    <x v="0"/>
    <x v="2120"/>
    <n v="6253706"/>
    <x v="15"/>
    <n v="0"/>
  </r>
  <r>
    <x v="2122"/>
    <x v="4"/>
    <x v="20"/>
    <x v="20"/>
    <x v="46"/>
    <n v="27"/>
    <x v="1"/>
    <x v="1"/>
    <x v="2114"/>
    <x v="2114"/>
    <x v="2"/>
    <x v="2121"/>
    <n v="5149767"/>
    <x v="22"/>
    <n v="0"/>
  </r>
  <r>
    <x v="2123"/>
    <x v="2"/>
    <x v="3"/>
    <x v="3"/>
    <x v="2"/>
    <n v="45"/>
    <x v="1"/>
    <x v="1"/>
    <x v="2115"/>
    <x v="2115"/>
    <x v="1"/>
    <x v="2122"/>
    <n v="5142519"/>
    <x v="6"/>
    <n v="0"/>
  </r>
  <r>
    <x v="2124"/>
    <x v="1"/>
    <x v="22"/>
    <x v="22"/>
    <x v="43"/>
    <n v="48"/>
    <x v="1"/>
    <x v="1"/>
    <x v="2116"/>
    <x v="2116"/>
    <x v="0"/>
    <x v="2123"/>
    <n v="1236418"/>
    <x v="11"/>
    <n v="0"/>
  </r>
  <r>
    <x v="2125"/>
    <x v="6"/>
    <x v="19"/>
    <x v="19"/>
    <x v="24"/>
    <n v="56"/>
    <x v="3"/>
    <x v="1"/>
    <x v="2117"/>
    <x v="2117"/>
    <x v="0"/>
    <x v="2124"/>
    <n v="2312354"/>
    <x v="26"/>
    <n v="0"/>
  </r>
  <r>
    <x v="2126"/>
    <x v="3"/>
    <x v="4"/>
    <x v="4"/>
    <x v="13"/>
    <n v="20"/>
    <x v="3"/>
    <x v="0"/>
    <x v="2118"/>
    <x v="2118"/>
    <x v="1"/>
    <x v="2125"/>
    <n v="3549241"/>
    <x v="10"/>
    <n v="0"/>
  </r>
  <r>
    <x v="2127"/>
    <x v="2"/>
    <x v="21"/>
    <x v="21"/>
    <x v="31"/>
    <n v="50"/>
    <x v="1"/>
    <x v="1"/>
    <x v="2119"/>
    <x v="2119"/>
    <x v="0"/>
    <x v="2126"/>
    <n v="4483796"/>
    <x v="2"/>
    <n v="0"/>
  </r>
  <r>
    <x v="2128"/>
    <x v="6"/>
    <x v="19"/>
    <x v="19"/>
    <x v="11"/>
    <n v="47"/>
    <x v="0"/>
    <x v="0"/>
    <x v="2120"/>
    <x v="2120"/>
    <x v="2"/>
    <x v="2127"/>
    <n v="6142406"/>
    <x v="21"/>
    <n v="0"/>
  </r>
  <r>
    <x v="2129"/>
    <x v="0"/>
    <x v="4"/>
    <x v="4"/>
    <x v="29"/>
    <n v="13"/>
    <x v="0"/>
    <x v="1"/>
    <x v="2121"/>
    <x v="2121"/>
    <x v="0"/>
    <x v="2128"/>
    <n v="8701778"/>
    <x v="23"/>
    <n v="0"/>
  </r>
  <r>
    <x v="2130"/>
    <x v="0"/>
    <x v="9"/>
    <x v="9"/>
    <x v="35"/>
    <n v="29"/>
    <x v="2"/>
    <x v="1"/>
    <x v="2122"/>
    <x v="2122"/>
    <x v="1"/>
    <x v="2129"/>
    <n v="2012065"/>
    <x v="3"/>
    <n v="0"/>
  </r>
  <r>
    <x v="2131"/>
    <x v="0"/>
    <x v="6"/>
    <x v="6"/>
    <x v="5"/>
    <n v="24"/>
    <x v="0"/>
    <x v="0"/>
    <x v="2123"/>
    <x v="2123"/>
    <x v="2"/>
    <x v="2130"/>
    <n v="643336"/>
    <x v="0"/>
    <n v="0"/>
  </r>
  <r>
    <x v="2132"/>
    <x v="2"/>
    <x v="8"/>
    <x v="8"/>
    <x v="41"/>
    <n v="25"/>
    <x v="2"/>
    <x v="0"/>
    <x v="2124"/>
    <x v="2124"/>
    <x v="0"/>
    <x v="2131"/>
    <n v="4767753"/>
    <x v="2"/>
    <n v="0"/>
  </r>
  <r>
    <x v="2133"/>
    <x v="2"/>
    <x v="4"/>
    <x v="4"/>
    <x v="21"/>
    <n v="59"/>
    <x v="3"/>
    <x v="0"/>
    <x v="2125"/>
    <x v="2125"/>
    <x v="0"/>
    <x v="2132"/>
    <n v="4604978"/>
    <x v="2"/>
    <n v="0"/>
  </r>
  <r>
    <x v="2134"/>
    <x v="3"/>
    <x v="17"/>
    <x v="17"/>
    <x v="26"/>
    <n v="42"/>
    <x v="3"/>
    <x v="1"/>
    <x v="2126"/>
    <x v="2126"/>
    <x v="2"/>
    <x v="2133"/>
    <n v="5743062"/>
    <x v="10"/>
    <n v="0"/>
  </r>
  <r>
    <x v="2135"/>
    <x v="1"/>
    <x v="10"/>
    <x v="10"/>
    <x v="25"/>
    <n v="46"/>
    <x v="0"/>
    <x v="0"/>
    <x v="2127"/>
    <x v="2127"/>
    <x v="2"/>
    <x v="2134"/>
    <n v="8415607"/>
    <x v="14"/>
    <n v="0"/>
  </r>
  <r>
    <x v="2136"/>
    <x v="4"/>
    <x v="13"/>
    <x v="13"/>
    <x v="21"/>
    <n v="59"/>
    <x v="3"/>
    <x v="1"/>
    <x v="2128"/>
    <x v="2128"/>
    <x v="0"/>
    <x v="2135"/>
    <n v="8122425"/>
    <x v="17"/>
    <n v="0"/>
  </r>
  <r>
    <x v="2137"/>
    <x v="0"/>
    <x v="17"/>
    <x v="17"/>
    <x v="35"/>
    <n v="29"/>
    <x v="1"/>
    <x v="0"/>
    <x v="2129"/>
    <x v="2129"/>
    <x v="2"/>
    <x v="2136"/>
    <n v="1450411"/>
    <x v="3"/>
    <n v="0"/>
  </r>
  <r>
    <x v="2138"/>
    <x v="5"/>
    <x v="16"/>
    <x v="16"/>
    <x v="31"/>
    <n v="50"/>
    <x v="1"/>
    <x v="0"/>
    <x v="2130"/>
    <x v="2130"/>
    <x v="1"/>
    <x v="2137"/>
    <n v="9372956"/>
    <x v="16"/>
    <n v="0"/>
  </r>
  <r>
    <x v="2139"/>
    <x v="1"/>
    <x v="20"/>
    <x v="20"/>
    <x v="23"/>
    <n v="32"/>
    <x v="0"/>
    <x v="1"/>
    <x v="2131"/>
    <x v="2131"/>
    <x v="0"/>
    <x v="2138"/>
    <n v="1548937"/>
    <x v="1"/>
    <n v="0"/>
  </r>
  <r>
    <x v="2140"/>
    <x v="5"/>
    <x v="19"/>
    <x v="19"/>
    <x v="7"/>
    <n v="53"/>
    <x v="0"/>
    <x v="0"/>
    <x v="2132"/>
    <x v="2132"/>
    <x v="1"/>
    <x v="2139"/>
    <n v="652842"/>
    <x v="12"/>
    <n v="0"/>
  </r>
  <r>
    <x v="2141"/>
    <x v="3"/>
    <x v="23"/>
    <x v="23"/>
    <x v="20"/>
    <n v="19"/>
    <x v="2"/>
    <x v="0"/>
    <x v="2133"/>
    <x v="2133"/>
    <x v="0"/>
    <x v="2140"/>
    <n v="688786"/>
    <x v="4"/>
    <n v="0"/>
  </r>
  <r>
    <x v="2142"/>
    <x v="3"/>
    <x v="3"/>
    <x v="3"/>
    <x v="8"/>
    <n v="57"/>
    <x v="3"/>
    <x v="1"/>
    <x v="2134"/>
    <x v="2134"/>
    <x v="1"/>
    <x v="2141"/>
    <n v="6958836"/>
    <x v="10"/>
    <n v="0"/>
  </r>
  <r>
    <x v="2143"/>
    <x v="3"/>
    <x v="15"/>
    <x v="15"/>
    <x v="28"/>
    <n v="21"/>
    <x v="2"/>
    <x v="1"/>
    <x v="2135"/>
    <x v="2135"/>
    <x v="1"/>
    <x v="2142"/>
    <n v="3020836"/>
    <x v="10"/>
    <n v="0"/>
  </r>
  <r>
    <x v="2144"/>
    <x v="6"/>
    <x v="15"/>
    <x v="15"/>
    <x v="4"/>
    <n v="26"/>
    <x v="2"/>
    <x v="1"/>
    <x v="2136"/>
    <x v="2136"/>
    <x v="2"/>
    <x v="2143"/>
    <n v="3638278"/>
    <x v="26"/>
    <n v="0"/>
  </r>
  <r>
    <x v="2145"/>
    <x v="5"/>
    <x v="4"/>
    <x v="4"/>
    <x v="43"/>
    <n v="48"/>
    <x v="1"/>
    <x v="0"/>
    <x v="2137"/>
    <x v="2137"/>
    <x v="0"/>
    <x v="2144"/>
    <n v="571243"/>
    <x v="16"/>
    <n v="0"/>
  </r>
  <r>
    <x v="2146"/>
    <x v="1"/>
    <x v="21"/>
    <x v="21"/>
    <x v="15"/>
    <n v="30"/>
    <x v="1"/>
    <x v="0"/>
    <x v="2138"/>
    <x v="2138"/>
    <x v="2"/>
    <x v="2145"/>
    <n v="2396081"/>
    <x v="1"/>
    <n v="0"/>
  </r>
  <r>
    <x v="2147"/>
    <x v="1"/>
    <x v="22"/>
    <x v="22"/>
    <x v="6"/>
    <n v="40"/>
    <x v="1"/>
    <x v="0"/>
    <x v="2139"/>
    <x v="2139"/>
    <x v="2"/>
    <x v="2146"/>
    <n v="692949"/>
    <x v="11"/>
    <n v="0"/>
  </r>
  <r>
    <x v="2148"/>
    <x v="2"/>
    <x v="20"/>
    <x v="20"/>
    <x v="23"/>
    <n v="32"/>
    <x v="1"/>
    <x v="0"/>
    <x v="2140"/>
    <x v="2140"/>
    <x v="0"/>
    <x v="2147"/>
    <n v="5840372"/>
    <x v="2"/>
    <n v="0"/>
  </r>
  <r>
    <x v="2149"/>
    <x v="2"/>
    <x v="8"/>
    <x v="8"/>
    <x v="11"/>
    <n v="47"/>
    <x v="2"/>
    <x v="0"/>
    <x v="2141"/>
    <x v="2141"/>
    <x v="1"/>
    <x v="2148"/>
    <n v="4920146"/>
    <x v="13"/>
    <n v="0"/>
  </r>
  <r>
    <x v="2150"/>
    <x v="0"/>
    <x v="13"/>
    <x v="13"/>
    <x v="28"/>
    <n v="21"/>
    <x v="1"/>
    <x v="1"/>
    <x v="2142"/>
    <x v="2142"/>
    <x v="0"/>
    <x v="2149"/>
    <n v="6738946"/>
    <x v="0"/>
    <n v="0"/>
  </r>
  <r>
    <x v="2151"/>
    <x v="2"/>
    <x v="10"/>
    <x v="10"/>
    <x v="29"/>
    <n v="13"/>
    <x v="3"/>
    <x v="0"/>
    <x v="2143"/>
    <x v="2143"/>
    <x v="0"/>
    <x v="2150"/>
    <n v="1893655"/>
    <x v="13"/>
    <n v="0"/>
  </r>
  <r>
    <x v="2152"/>
    <x v="3"/>
    <x v="1"/>
    <x v="1"/>
    <x v="41"/>
    <n v="25"/>
    <x v="1"/>
    <x v="1"/>
    <x v="2144"/>
    <x v="2144"/>
    <x v="0"/>
    <x v="2151"/>
    <n v="8488786"/>
    <x v="27"/>
    <n v="0"/>
  </r>
  <r>
    <x v="2153"/>
    <x v="1"/>
    <x v="18"/>
    <x v="18"/>
    <x v="48"/>
    <n v="34"/>
    <x v="1"/>
    <x v="0"/>
    <x v="2145"/>
    <x v="2145"/>
    <x v="2"/>
    <x v="2152"/>
    <n v="1889104"/>
    <x v="14"/>
    <n v="0"/>
  </r>
  <r>
    <x v="2154"/>
    <x v="5"/>
    <x v="11"/>
    <x v="11"/>
    <x v="10"/>
    <n v="18"/>
    <x v="1"/>
    <x v="1"/>
    <x v="2146"/>
    <x v="2146"/>
    <x v="0"/>
    <x v="2153"/>
    <n v="8967764"/>
    <x v="12"/>
    <n v="0"/>
  </r>
  <r>
    <x v="2155"/>
    <x v="3"/>
    <x v="0"/>
    <x v="0"/>
    <x v="36"/>
    <n v="28"/>
    <x v="0"/>
    <x v="0"/>
    <x v="2147"/>
    <x v="2147"/>
    <x v="0"/>
    <x v="2154"/>
    <n v="4770451"/>
    <x v="27"/>
    <n v="0"/>
  </r>
  <r>
    <x v="2156"/>
    <x v="6"/>
    <x v="23"/>
    <x v="23"/>
    <x v="15"/>
    <n v="30"/>
    <x v="3"/>
    <x v="0"/>
    <x v="2148"/>
    <x v="2148"/>
    <x v="0"/>
    <x v="2155"/>
    <n v="572315"/>
    <x v="24"/>
    <n v="0"/>
  </r>
  <r>
    <x v="2157"/>
    <x v="2"/>
    <x v="5"/>
    <x v="5"/>
    <x v="29"/>
    <n v="13"/>
    <x v="3"/>
    <x v="1"/>
    <x v="2149"/>
    <x v="2149"/>
    <x v="1"/>
    <x v="2156"/>
    <n v="9017523"/>
    <x v="13"/>
    <n v="0"/>
  </r>
  <r>
    <x v="2158"/>
    <x v="3"/>
    <x v="5"/>
    <x v="5"/>
    <x v="14"/>
    <n v="39"/>
    <x v="2"/>
    <x v="0"/>
    <x v="2150"/>
    <x v="2150"/>
    <x v="1"/>
    <x v="2157"/>
    <n v="3349174"/>
    <x v="8"/>
    <n v="0"/>
  </r>
  <r>
    <x v="2159"/>
    <x v="3"/>
    <x v="6"/>
    <x v="6"/>
    <x v="12"/>
    <n v="54"/>
    <x v="2"/>
    <x v="1"/>
    <x v="2151"/>
    <x v="2151"/>
    <x v="1"/>
    <x v="2158"/>
    <n v="2227356"/>
    <x v="8"/>
    <n v="0"/>
  </r>
  <r>
    <x v="2160"/>
    <x v="6"/>
    <x v="23"/>
    <x v="23"/>
    <x v="10"/>
    <n v="18"/>
    <x v="1"/>
    <x v="0"/>
    <x v="2152"/>
    <x v="2152"/>
    <x v="1"/>
    <x v="2159"/>
    <n v="473464"/>
    <x v="21"/>
    <n v="0"/>
  </r>
  <r>
    <x v="2161"/>
    <x v="4"/>
    <x v="23"/>
    <x v="23"/>
    <x v="6"/>
    <n v="40"/>
    <x v="0"/>
    <x v="0"/>
    <x v="2153"/>
    <x v="2153"/>
    <x v="2"/>
    <x v="2160"/>
    <n v="2821489"/>
    <x v="17"/>
    <n v="0"/>
  </r>
  <r>
    <x v="2162"/>
    <x v="1"/>
    <x v="0"/>
    <x v="0"/>
    <x v="38"/>
    <n v="43"/>
    <x v="2"/>
    <x v="1"/>
    <x v="2154"/>
    <x v="2154"/>
    <x v="2"/>
    <x v="2161"/>
    <n v="5514517"/>
    <x v="1"/>
    <n v="0"/>
  </r>
  <r>
    <x v="2163"/>
    <x v="5"/>
    <x v="11"/>
    <x v="11"/>
    <x v="40"/>
    <n v="31"/>
    <x v="2"/>
    <x v="0"/>
    <x v="2155"/>
    <x v="2155"/>
    <x v="0"/>
    <x v="2162"/>
    <n v="311495"/>
    <x v="20"/>
    <n v="0"/>
  </r>
  <r>
    <x v="2164"/>
    <x v="0"/>
    <x v="2"/>
    <x v="2"/>
    <x v="2"/>
    <n v="45"/>
    <x v="1"/>
    <x v="1"/>
    <x v="2156"/>
    <x v="2156"/>
    <x v="2"/>
    <x v="2163"/>
    <n v="8712651"/>
    <x v="0"/>
    <n v="0"/>
  </r>
  <r>
    <x v="2165"/>
    <x v="4"/>
    <x v="0"/>
    <x v="0"/>
    <x v="40"/>
    <n v="31"/>
    <x v="1"/>
    <x v="0"/>
    <x v="2157"/>
    <x v="2157"/>
    <x v="1"/>
    <x v="2164"/>
    <n v="6269584"/>
    <x v="7"/>
    <n v="0"/>
  </r>
  <r>
    <x v="2166"/>
    <x v="2"/>
    <x v="7"/>
    <x v="7"/>
    <x v="42"/>
    <n v="35"/>
    <x v="2"/>
    <x v="0"/>
    <x v="2158"/>
    <x v="2158"/>
    <x v="0"/>
    <x v="2165"/>
    <n v="502286"/>
    <x v="13"/>
    <n v="0"/>
  </r>
  <r>
    <x v="2167"/>
    <x v="3"/>
    <x v="15"/>
    <x v="15"/>
    <x v="22"/>
    <n v="10"/>
    <x v="2"/>
    <x v="0"/>
    <x v="2159"/>
    <x v="2159"/>
    <x v="0"/>
    <x v="2166"/>
    <n v="815200"/>
    <x v="10"/>
    <n v="0"/>
  </r>
  <r>
    <x v="2168"/>
    <x v="6"/>
    <x v="5"/>
    <x v="5"/>
    <x v="2"/>
    <n v="45"/>
    <x v="3"/>
    <x v="0"/>
    <x v="2160"/>
    <x v="2160"/>
    <x v="1"/>
    <x v="2167"/>
    <n v="3637017"/>
    <x v="24"/>
    <n v="0"/>
  </r>
  <r>
    <x v="2169"/>
    <x v="6"/>
    <x v="5"/>
    <x v="5"/>
    <x v="38"/>
    <n v="43"/>
    <x v="0"/>
    <x v="0"/>
    <x v="2161"/>
    <x v="2161"/>
    <x v="1"/>
    <x v="2168"/>
    <n v="3541976"/>
    <x v="18"/>
    <n v="0"/>
  </r>
  <r>
    <x v="2170"/>
    <x v="1"/>
    <x v="6"/>
    <x v="6"/>
    <x v="50"/>
    <n v="12"/>
    <x v="3"/>
    <x v="0"/>
    <x v="2162"/>
    <x v="2162"/>
    <x v="1"/>
    <x v="2169"/>
    <n v="4139097"/>
    <x v="1"/>
    <n v="0"/>
  </r>
  <r>
    <x v="2171"/>
    <x v="4"/>
    <x v="7"/>
    <x v="7"/>
    <x v="36"/>
    <n v="28"/>
    <x v="2"/>
    <x v="0"/>
    <x v="2163"/>
    <x v="2163"/>
    <x v="2"/>
    <x v="2170"/>
    <n v="6487494"/>
    <x v="22"/>
    <n v="0"/>
  </r>
  <r>
    <x v="2172"/>
    <x v="0"/>
    <x v="21"/>
    <x v="21"/>
    <x v="21"/>
    <n v="59"/>
    <x v="3"/>
    <x v="1"/>
    <x v="2164"/>
    <x v="2164"/>
    <x v="0"/>
    <x v="2171"/>
    <n v="4699577"/>
    <x v="23"/>
    <n v="0"/>
  </r>
  <r>
    <x v="2173"/>
    <x v="1"/>
    <x v="18"/>
    <x v="18"/>
    <x v="40"/>
    <n v="31"/>
    <x v="3"/>
    <x v="0"/>
    <x v="2165"/>
    <x v="2165"/>
    <x v="1"/>
    <x v="2172"/>
    <n v="6472038"/>
    <x v="25"/>
    <n v="0"/>
  </r>
  <r>
    <x v="2174"/>
    <x v="3"/>
    <x v="7"/>
    <x v="7"/>
    <x v="42"/>
    <n v="35"/>
    <x v="2"/>
    <x v="0"/>
    <x v="2166"/>
    <x v="2166"/>
    <x v="0"/>
    <x v="2173"/>
    <n v="1894417"/>
    <x v="10"/>
    <n v="0"/>
  </r>
  <r>
    <x v="2175"/>
    <x v="1"/>
    <x v="18"/>
    <x v="18"/>
    <x v="37"/>
    <n v="55"/>
    <x v="1"/>
    <x v="0"/>
    <x v="2167"/>
    <x v="2167"/>
    <x v="0"/>
    <x v="2174"/>
    <n v="9716562"/>
    <x v="1"/>
    <n v="0"/>
  </r>
  <r>
    <x v="2176"/>
    <x v="5"/>
    <x v="15"/>
    <x v="15"/>
    <x v="25"/>
    <n v="46"/>
    <x v="2"/>
    <x v="1"/>
    <x v="2168"/>
    <x v="2168"/>
    <x v="2"/>
    <x v="2175"/>
    <n v="743126"/>
    <x v="20"/>
    <n v="0"/>
  </r>
  <r>
    <x v="2177"/>
    <x v="6"/>
    <x v="5"/>
    <x v="5"/>
    <x v="14"/>
    <n v="39"/>
    <x v="1"/>
    <x v="1"/>
    <x v="2169"/>
    <x v="2169"/>
    <x v="0"/>
    <x v="2176"/>
    <n v="2876968"/>
    <x v="24"/>
    <n v="0"/>
  </r>
  <r>
    <x v="2178"/>
    <x v="6"/>
    <x v="5"/>
    <x v="5"/>
    <x v="31"/>
    <n v="50"/>
    <x v="2"/>
    <x v="0"/>
    <x v="2170"/>
    <x v="2170"/>
    <x v="1"/>
    <x v="2177"/>
    <n v="7379614"/>
    <x v="18"/>
    <n v="0"/>
  </r>
  <r>
    <x v="2179"/>
    <x v="2"/>
    <x v="13"/>
    <x v="13"/>
    <x v="7"/>
    <n v="53"/>
    <x v="2"/>
    <x v="0"/>
    <x v="2171"/>
    <x v="2171"/>
    <x v="1"/>
    <x v="2178"/>
    <n v="5962742"/>
    <x v="6"/>
    <n v="0"/>
  </r>
  <r>
    <x v="2180"/>
    <x v="2"/>
    <x v="4"/>
    <x v="4"/>
    <x v="17"/>
    <n v="33"/>
    <x v="2"/>
    <x v="0"/>
    <x v="2172"/>
    <x v="2172"/>
    <x v="0"/>
    <x v="2179"/>
    <n v="1537295"/>
    <x v="13"/>
    <n v="0"/>
  </r>
  <r>
    <x v="2181"/>
    <x v="0"/>
    <x v="9"/>
    <x v="9"/>
    <x v="48"/>
    <n v="34"/>
    <x v="0"/>
    <x v="1"/>
    <x v="2173"/>
    <x v="2173"/>
    <x v="0"/>
    <x v="2180"/>
    <n v="2192866"/>
    <x v="9"/>
    <n v="0"/>
  </r>
  <r>
    <x v="2182"/>
    <x v="3"/>
    <x v="22"/>
    <x v="22"/>
    <x v="35"/>
    <n v="29"/>
    <x v="1"/>
    <x v="0"/>
    <x v="2174"/>
    <x v="2174"/>
    <x v="2"/>
    <x v="2181"/>
    <n v="892427"/>
    <x v="10"/>
    <n v="0"/>
  </r>
  <r>
    <x v="2183"/>
    <x v="5"/>
    <x v="22"/>
    <x v="22"/>
    <x v="18"/>
    <n v="58"/>
    <x v="0"/>
    <x v="1"/>
    <x v="2175"/>
    <x v="2175"/>
    <x v="1"/>
    <x v="2182"/>
    <n v="8187762"/>
    <x v="20"/>
    <n v="0"/>
  </r>
  <r>
    <x v="2184"/>
    <x v="4"/>
    <x v="19"/>
    <x v="19"/>
    <x v="2"/>
    <n v="45"/>
    <x v="2"/>
    <x v="0"/>
    <x v="2176"/>
    <x v="2176"/>
    <x v="1"/>
    <x v="2183"/>
    <n v="5741195"/>
    <x v="17"/>
    <n v="0"/>
  </r>
  <r>
    <x v="2185"/>
    <x v="1"/>
    <x v="18"/>
    <x v="18"/>
    <x v="30"/>
    <n v="14"/>
    <x v="3"/>
    <x v="1"/>
    <x v="2177"/>
    <x v="2177"/>
    <x v="0"/>
    <x v="2184"/>
    <n v="3509112"/>
    <x v="11"/>
    <n v="0"/>
  </r>
  <r>
    <x v="2186"/>
    <x v="0"/>
    <x v="0"/>
    <x v="0"/>
    <x v="7"/>
    <n v="53"/>
    <x v="0"/>
    <x v="1"/>
    <x v="2178"/>
    <x v="2178"/>
    <x v="0"/>
    <x v="2185"/>
    <n v="1700277"/>
    <x v="0"/>
    <n v="0"/>
  </r>
  <r>
    <x v="2187"/>
    <x v="3"/>
    <x v="20"/>
    <x v="20"/>
    <x v="48"/>
    <n v="34"/>
    <x v="1"/>
    <x v="0"/>
    <x v="2179"/>
    <x v="2179"/>
    <x v="0"/>
    <x v="2186"/>
    <n v="5098436"/>
    <x v="10"/>
    <n v="0"/>
  </r>
  <r>
    <x v="2188"/>
    <x v="2"/>
    <x v="10"/>
    <x v="10"/>
    <x v="29"/>
    <n v="13"/>
    <x v="2"/>
    <x v="0"/>
    <x v="2180"/>
    <x v="2180"/>
    <x v="1"/>
    <x v="2187"/>
    <n v="5489983"/>
    <x v="2"/>
    <n v="0"/>
  </r>
  <r>
    <x v="2189"/>
    <x v="1"/>
    <x v="8"/>
    <x v="8"/>
    <x v="33"/>
    <n v="37"/>
    <x v="0"/>
    <x v="0"/>
    <x v="2181"/>
    <x v="2181"/>
    <x v="0"/>
    <x v="2188"/>
    <n v="7168511"/>
    <x v="25"/>
    <n v="0"/>
  </r>
  <r>
    <x v="2190"/>
    <x v="2"/>
    <x v="15"/>
    <x v="15"/>
    <x v="40"/>
    <n v="31"/>
    <x v="3"/>
    <x v="0"/>
    <x v="2182"/>
    <x v="2182"/>
    <x v="2"/>
    <x v="2189"/>
    <n v="9714403"/>
    <x v="6"/>
    <n v="0"/>
  </r>
  <r>
    <x v="2191"/>
    <x v="1"/>
    <x v="22"/>
    <x v="22"/>
    <x v="12"/>
    <n v="54"/>
    <x v="0"/>
    <x v="0"/>
    <x v="2183"/>
    <x v="2183"/>
    <x v="2"/>
    <x v="2190"/>
    <n v="4631983"/>
    <x v="14"/>
    <n v="0"/>
  </r>
  <r>
    <x v="2192"/>
    <x v="4"/>
    <x v="21"/>
    <x v="21"/>
    <x v="13"/>
    <n v="20"/>
    <x v="1"/>
    <x v="0"/>
    <x v="2184"/>
    <x v="2184"/>
    <x v="0"/>
    <x v="2191"/>
    <n v="4357325"/>
    <x v="19"/>
    <n v="0"/>
  </r>
  <r>
    <x v="2193"/>
    <x v="3"/>
    <x v="19"/>
    <x v="19"/>
    <x v="32"/>
    <n v="51"/>
    <x v="0"/>
    <x v="0"/>
    <x v="2185"/>
    <x v="2185"/>
    <x v="2"/>
    <x v="2192"/>
    <n v="4014335"/>
    <x v="27"/>
    <n v="0"/>
  </r>
  <r>
    <x v="2194"/>
    <x v="1"/>
    <x v="9"/>
    <x v="9"/>
    <x v="45"/>
    <n v="38"/>
    <x v="3"/>
    <x v="1"/>
    <x v="2186"/>
    <x v="2186"/>
    <x v="2"/>
    <x v="2193"/>
    <n v="8355777"/>
    <x v="11"/>
    <n v="0"/>
  </r>
  <r>
    <x v="2195"/>
    <x v="5"/>
    <x v="8"/>
    <x v="8"/>
    <x v="29"/>
    <n v="13"/>
    <x v="3"/>
    <x v="0"/>
    <x v="2187"/>
    <x v="2187"/>
    <x v="2"/>
    <x v="2194"/>
    <n v="1985014"/>
    <x v="15"/>
    <n v="0"/>
  </r>
  <r>
    <x v="2196"/>
    <x v="0"/>
    <x v="1"/>
    <x v="1"/>
    <x v="21"/>
    <n v="59"/>
    <x v="1"/>
    <x v="0"/>
    <x v="2188"/>
    <x v="2188"/>
    <x v="2"/>
    <x v="2195"/>
    <n v="3766223"/>
    <x v="3"/>
    <n v="0"/>
  </r>
  <r>
    <x v="2197"/>
    <x v="6"/>
    <x v="6"/>
    <x v="6"/>
    <x v="34"/>
    <n v="36"/>
    <x v="3"/>
    <x v="1"/>
    <x v="2189"/>
    <x v="2189"/>
    <x v="2"/>
    <x v="2196"/>
    <n v="7387223"/>
    <x v="21"/>
    <n v="0"/>
  </r>
  <r>
    <x v="2198"/>
    <x v="5"/>
    <x v="23"/>
    <x v="23"/>
    <x v="41"/>
    <n v="25"/>
    <x v="2"/>
    <x v="0"/>
    <x v="2190"/>
    <x v="2190"/>
    <x v="1"/>
    <x v="2197"/>
    <n v="649102"/>
    <x v="12"/>
    <n v="0"/>
  </r>
  <r>
    <x v="2199"/>
    <x v="5"/>
    <x v="3"/>
    <x v="3"/>
    <x v="17"/>
    <n v="33"/>
    <x v="3"/>
    <x v="0"/>
    <x v="2191"/>
    <x v="2191"/>
    <x v="0"/>
    <x v="2198"/>
    <n v="3249117"/>
    <x v="15"/>
    <n v="0"/>
  </r>
  <r>
    <x v="2200"/>
    <x v="0"/>
    <x v="1"/>
    <x v="1"/>
    <x v="7"/>
    <n v="53"/>
    <x v="2"/>
    <x v="0"/>
    <x v="2192"/>
    <x v="2192"/>
    <x v="2"/>
    <x v="2199"/>
    <n v="6593748"/>
    <x v="0"/>
    <n v="0"/>
  </r>
  <r>
    <x v="2201"/>
    <x v="6"/>
    <x v="1"/>
    <x v="1"/>
    <x v="41"/>
    <n v="25"/>
    <x v="0"/>
    <x v="0"/>
    <x v="2193"/>
    <x v="2193"/>
    <x v="0"/>
    <x v="2200"/>
    <n v="2266545"/>
    <x v="21"/>
    <n v="0"/>
  </r>
  <r>
    <x v="2202"/>
    <x v="5"/>
    <x v="15"/>
    <x v="15"/>
    <x v="13"/>
    <n v="20"/>
    <x v="2"/>
    <x v="1"/>
    <x v="2194"/>
    <x v="2194"/>
    <x v="2"/>
    <x v="2201"/>
    <n v="337575"/>
    <x v="20"/>
    <n v="0"/>
  </r>
  <r>
    <x v="2203"/>
    <x v="1"/>
    <x v="11"/>
    <x v="11"/>
    <x v="44"/>
    <n v="16"/>
    <x v="2"/>
    <x v="1"/>
    <x v="2195"/>
    <x v="2195"/>
    <x v="1"/>
    <x v="2202"/>
    <n v="5117428"/>
    <x v="11"/>
    <n v="0"/>
  </r>
  <r>
    <x v="2204"/>
    <x v="1"/>
    <x v="12"/>
    <x v="12"/>
    <x v="41"/>
    <n v="25"/>
    <x v="0"/>
    <x v="0"/>
    <x v="2196"/>
    <x v="2196"/>
    <x v="1"/>
    <x v="2203"/>
    <n v="4509224"/>
    <x v="14"/>
    <n v="0"/>
  </r>
  <r>
    <x v="2205"/>
    <x v="1"/>
    <x v="13"/>
    <x v="13"/>
    <x v="39"/>
    <n v="49"/>
    <x v="3"/>
    <x v="0"/>
    <x v="2197"/>
    <x v="2197"/>
    <x v="2"/>
    <x v="2204"/>
    <n v="1507258"/>
    <x v="1"/>
    <n v="0"/>
  </r>
  <r>
    <x v="2206"/>
    <x v="6"/>
    <x v="11"/>
    <x v="11"/>
    <x v="48"/>
    <n v="34"/>
    <x v="2"/>
    <x v="1"/>
    <x v="2198"/>
    <x v="2198"/>
    <x v="2"/>
    <x v="2205"/>
    <n v="9413236"/>
    <x v="26"/>
    <n v="0"/>
  </r>
  <r>
    <x v="2207"/>
    <x v="5"/>
    <x v="17"/>
    <x v="17"/>
    <x v="28"/>
    <n v="21"/>
    <x v="3"/>
    <x v="0"/>
    <x v="2199"/>
    <x v="2199"/>
    <x v="2"/>
    <x v="2206"/>
    <n v="920781"/>
    <x v="15"/>
    <n v="0"/>
  </r>
  <r>
    <x v="2208"/>
    <x v="6"/>
    <x v="19"/>
    <x v="19"/>
    <x v="10"/>
    <n v="18"/>
    <x v="0"/>
    <x v="1"/>
    <x v="2200"/>
    <x v="2200"/>
    <x v="1"/>
    <x v="2207"/>
    <n v="7622556"/>
    <x v="24"/>
    <n v="0"/>
  </r>
  <r>
    <x v="2209"/>
    <x v="1"/>
    <x v="6"/>
    <x v="6"/>
    <x v="46"/>
    <n v="27"/>
    <x v="1"/>
    <x v="1"/>
    <x v="2201"/>
    <x v="2201"/>
    <x v="1"/>
    <x v="2208"/>
    <n v="1178516"/>
    <x v="11"/>
    <n v="0"/>
  </r>
  <r>
    <x v="2210"/>
    <x v="0"/>
    <x v="2"/>
    <x v="2"/>
    <x v="8"/>
    <n v="57"/>
    <x v="3"/>
    <x v="1"/>
    <x v="2202"/>
    <x v="2202"/>
    <x v="0"/>
    <x v="2209"/>
    <n v="493931"/>
    <x v="0"/>
    <n v="0"/>
  </r>
  <r>
    <x v="2211"/>
    <x v="5"/>
    <x v="21"/>
    <x v="21"/>
    <x v="46"/>
    <n v="27"/>
    <x v="3"/>
    <x v="0"/>
    <x v="2203"/>
    <x v="2203"/>
    <x v="1"/>
    <x v="2210"/>
    <n v="2166407"/>
    <x v="15"/>
    <n v="0"/>
  </r>
  <r>
    <x v="2212"/>
    <x v="5"/>
    <x v="13"/>
    <x v="13"/>
    <x v="21"/>
    <n v="59"/>
    <x v="1"/>
    <x v="0"/>
    <x v="2204"/>
    <x v="2204"/>
    <x v="2"/>
    <x v="2211"/>
    <n v="1840429"/>
    <x v="12"/>
    <n v="0"/>
  </r>
  <r>
    <x v="2213"/>
    <x v="2"/>
    <x v="4"/>
    <x v="4"/>
    <x v="48"/>
    <n v="34"/>
    <x v="1"/>
    <x v="0"/>
    <x v="2205"/>
    <x v="2205"/>
    <x v="0"/>
    <x v="2212"/>
    <n v="1696031"/>
    <x v="6"/>
    <n v="0"/>
  </r>
  <r>
    <x v="2214"/>
    <x v="2"/>
    <x v="5"/>
    <x v="5"/>
    <x v="20"/>
    <n v="19"/>
    <x v="0"/>
    <x v="1"/>
    <x v="2206"/>
    <x v="2206"/>
    <x v="1"/>
    <x v="2213"/>
    <n v="4801473"/>
    <x v="13"/>
    <n v="0"/>
  </r>
  <r>
    <x v="2215"/>
    <x v="4"/>
    <x v="12"/>
    <x v="12"/>
    <x v="37"/>
    <n v="55"/>
    <x v="3"/>
    <x v="0"/>
    <x v="2207"/>
    <x v="2207"/>
    <x v="1"/>
    <x v="2214"/>
    <n v="5397107"/>
    <x v="19"/>
    <n v="0"/>
  </r>
  <r>
    <x v="2216"/>
    <x v="3"/>
    <x v="7"/>
    <x v="7"/>
    <x v="17"/>
    <n v="33"/>
    <x v="3"/>
    <x v="0"/>
    <x v="2208"/>
    <x v="2208"/>
    <x v="2"/>
    <x v="2215"/>
    <n v="1767153"/>
    <x v="8"/>
    <n v="0"/>
  </r>
  <r>
    <x v="2217"/>
    <x v="2"/>
    <x v="5"/>
    <x v="5"/>
    <x v="2"/>
    <n v="45"/>
    <x v="0"/>
    <x v="1"/>
    <x v="2209"/>
    <x v="2209"/>
    <x v="0"/>
    <x v="2216"/>
    <n v="9804259"/>
    <x v="5"/>
    <n v="0"/>
  </r>
  <r>
    <x v="2218"/>
    <x v="6"/>
    <x v="15"/>
    <x v="15"/>
    <x v="21"/>
    <n v="59"/>
    <x v="3"/>
    <x v="0"/>
    <x v="2210"/>
    <x v="2210"/>
    <x v="1"/>
    <x v="2217"/>
    <n v="2948776"/>
    <x v="21"/>
    <n v="0"/>
  </r>
  <r>
    <x v="2219"/>
    <x v="2"/>
    <x v="17"/>
    <x v="17"/>
    <x v="29"/>
    <n v="13"/>
    <x v="2"/>
    <x v="0"/>
    <x v="2211"/>
    <x v="2211"/>
    <x v="1"/>
    <x v="2218"/>
    <n v="4858993"/>
    <x v="13"/>
    <n v="0"/>
  </r>
  <r>
    <x v="2220"/>
    <x v="4"/>
    <x v="22"/>
    <x v="22"/>
    <x v="9"/>
    <n v="15"/>
    <x v="2"/>
    <x v="0"/>
    <x v="2212"/>
    <x v="2212"/>
    <x v="2"/>
    <x v="2219"/>
    <n v="2554561"/>
    <x v="17"/>
    <n v="0"/>
  </r>
  <r>
    <x v="2221"/>
    <x v="5"/>
    <x v="16"/>
    <x v="16"/>
    <x v="25"/>
    <n v="46"/>
    <x v="2"/>
    <x v="1"/>
    <x v="2213"/>
    <x v="2213"/>
    <x v="0"/>
    <x v="2220"/>
    <n v="5192265"/>
    <x v="12"/>
    <n v="0"/>
  </r>
  <r>
    <x v="2222"/>
    <x v="4"/>
    <x v="1"/>
    <x v="1"/>
    <x v="5"/>
    <n v="24"/>
    <x v="3"/>
    <x v="0"/>
    <x v="1551"/>
    <x v="1551"/>
    <x v="0"/>
    <x v="2221"/>
    <n v="7682158"/>
    <x v="7"/>
    <n v="0"/>
  </r>
  <r>
    <x v="2223"/>
    <x v="5"/>
    <x v="16"/>
    <x v="16"/>
    <x v="20"/>
    <n v="19"/>
    <x v="2"/>
    <x v="1"/>
    <x v="2214"/>
    <x v="2214"/>
    <x v="0"/>
    <x v="2222"/>
    <n v="5450469"/>
    <x v="16"/>
    <n v="0"/>
  </r>
  <r>
    <x v="2224"/>
    <x v="0"/>
    <x v="11"/>
    <x v="11"/>
    <x v="50"/>
    <n v="12"/>
    <x v="2"/>
    <x v="1"/>
    <x v="2215"/>
    <x v="2215"/>
    <x v="0"/>
    <x v="2223"/>
    <n v="3213664"/>
    <x v="0"/>
    <n v="0"/>
  </r>
  <r>
    <x v="2225"/>
    <x v="0"/>
    <x v="2"/>
    <x v="2"/>
    <x v="16"/>
    <n v="11"/>
    <x v="0"/>
    <x v="1"/>
    <x v="2216"/>
    <x v="2216"/>
    <x v="2"/>
    <x v="2224"/>
    <n v="2859768"/>
    <x v="9"/>
    <n v="0"/>
  </r>
  <r>
    <x v="2226"/>
    <x v="5"/>
    <x v="2"/>
    <x v="2"/>
    <x v="39"/>
    <n v="49"/>
    <x v="0"/>
    <x v="0"/>
    <x v="2217"/>
    <x v="2217"/>
    <x v="1"/>
    <x v="2225"/>
    <n v="7709877"/>
    <x v="15"/>
    <n v="0"/>
  </r>
  <r>
    <x v="2227"/>
    <x v="3"/>
    <x v="21"/>
    <x v="21"/>
    <x v="47"/>
    <n v="17"/>
    <x v="1"/>
    <x v="0"/>
    <x v="2218"/>
    <x v="2218"/>
    <x v="1"/>
    <x v="2226"/>
    <n v="1623263"/>
    <x v="8"/>
    <n v="0"/>
  </r>
  <r>
    <x v="2228"/>
    <x v="2"/>
    <x v="12"/>
    <x v="12"/>
    <x v="17"/>
    <n v="33"/>
    <x v="1"/>
    <x v="0"/>
    <x v="2219"/>
    <x v="2219"/>
    <x v="0"/>
    <x v="2227"/>
    <n v="4014682"/>
    <x v="5"/>
    <n v="0"/>
  </r>
  <r>
    <x v="2229"/>
    <x v="6"/>
    <x v="23"/>
    <x v="23"/>
    <x v="6"/>
    <n v="40"/>
    <x v="1"/>
    <x v="1"/>
    <x v="2220"/>
    <x v="2220"/>
    <x v="0"/>
    <x v="2228"/>
    <n v="1939086"/>
    <x v="24"/>
    <n v="0"/>
  </r>
  <r>
    <x v="2230"/>
    <x v="6"/>
    <x v="19"/>
    <x v="19"/>
    <x v="40"/>
    <n v="31"/>
    <x v="1"/>
    <x v="1"/>
    <x v="2221"/>
    <x v="2221"/>
    <x v="0"/>
    <x v="2229"/>
    <n v="295077"/>
    <x v="18"/>
    <n v="0"/>
  </r>
  <r>
    <x v="2231"/>
    <x v="1"/>
    <x v="18"/>
    <x v="18"/>
    <x v="16"/>
    <n v="11"/>
    <x v="0"/>
    <x v="0"/>
    <x v="2222"/>
    <x v="2222"/>
    <x v="1"/>
    <x v="2230"/>
    <n v="1950491"/>
    <x v="14"/>
    <n v="0"/>
  </r>
  <r>
    <x v="2232"/>
    <x v="5"/>
    <x v="23"/>
    <x v="23"/>
    <x v="39"/>
    <n v="49"/>
    <x v="0"/>
    <x v="1"/>
    <x v="2223"/>
    <x v="2223"/>
    <x v="1"/>
    <x v="2231"/>
    <n v="8924339"/>
    <x v="16"/>
    <n v="0"/>
  </r>
  <r>
    <x v="2233"/>
    <x v="6"/>
    <x v="12"/>
    <x v="12"/>
    <x v="16"/>
    <n v="11"/>
    <x v="0"/>
    <x v="0"/>
    <x v="2224"/>
    <x v="2224"/>
    <x v="0"/>
    <x v="2232"/>
    <n v="745309"/>
    <x v="24"/>
    <n v="0"/>
  </r>
  <r>
    <x v="2234"/>
    <x v="3"/>
    <x v="8"/>
    <x v="8"/>
    <x v="43"/>
    <n v="48"/>
    <x v="2"/>
    <x v="0"/>
    <x v="2225"/>
    <x v="2225"/>
    <x v="2"/>
    <x v="2233"/>
    <n v="5828809"/>
    <x v="10"/>
    <n v="0"/>
  </r>
  <r>
    <x v="2235"/>
    <x v="5"/>
    <x v="17"/>
    <x v="17"/>
    <x v="37"/>
    <n v="55"/>
    <x v="2"/>
    <x v="0"/>
    <x v="2226"/>
    <x v="2226"/>
    <x v="1"/>
    <x v="2234"/>
    <n v="263204"/>
    <x v="12"/>
    <n v="0"/>
  </r>
  <r>
    <x v="2236"/>
    <x v="3"/>
    <x v="21"/>
    <x v="21"/>
    <x v="23"/>
    <n v="32"/>
    <x v="1"/>
    <x v="0"/>
    <x v="2227"/>
    <x v="2227"/>
    <x v="1"/>
    <x v="2235"/>
    <n v="5347155"/>
    <x v="10"/>
    <n v="0"/>
  </r>
  <r>
    <x v="2237"/>
    <x v="6"/>
    <x v="10"/>
    <x v="10"/>
    <x v="33"/>
    <n v="37"/>
    <x v="2"/>
    <x v="0"/>
    <x v="2228"/>
    <x v="2228"/>
    <x v="0"/>
    <x v="2236"/>
    <n v="5447915"/>
    <x v="26"/>
    <n v="0"/>
  </r>
  <r>
    <x v="2238"/>
    <x v="6"/>
    <x v="8"/>
    <x v="8"/>
    <x v="48"/>
    <n v="34"/>
    <x v="3"/>
    <x v="0"/>
    <x v="2229"/>
    <x v="2229"/>
    <x v="2"/>
    <x v="2237"/>
    <n v="6108835"/>
    <x v="21"/>
    <n v="0"/>
  </r>
  <r>
    <x v="2239"/>
    <x v="1"/>
    <x v="8"/>
    <x v="8"/>
    <x v="35"/>
    <n v="29"/>
    <x v="0"/>
    <x v="0"/>
    <x v="2230"/>
    <x v="2230"/>
    <x v="0"/>
    <x v="2238"/>
    <n v="1070809"/>
    <x v="25"/>
    <n v="0"/>
  </r>
  <r>
    <x v="2240"/>
    <x v="6"/>
    <x v="4"/>
    <x v="4"/>
    <x v="12"/>
    <n v="54"/>
    <x v="1"/>
    <x v="1"/>
    <x v="2231"/>
    <x v="2231"/>
    <x v="0"/>
    <x v="2239"/>
    <n v="9742569"/>
    <x v="24"/>
    <n v="0"/>
  </r>
  <r>
    <x v="2241"/>
    <x v="5"/>
    <x v="21"/>
    <x v="21"/>
    <x v="37"/>
    <n v="55"/>
    <x v="1"/>
    <x v="0"/>
    <x v="1659"/>
    <x v="1659"/>
    <x v="2"/>
    <x v="2240"/>
    <n v="492167"/>
    <x v="20"/>
    <n v="0"/>
  </r>
  <r>
    <x v="2242"/>
    <x v="0"/>
    <x v="23"/>
    <x v="23"/>
    <x v="46"/>
    <n v="27"/>
    <x v="3"/>
    <x v="1"/>
    <x v="2232"/>
    <x v="2232"/>
    <x v="2"/>
    <x v="2241"/>
    <n v="9302052"/>
    <x v="3"/>
    <n v="0"/>
  </r>
  <r>
    <x v="2243"/>
    <x v="5"/>
    <x v="10"/>
    <x v="10"/>
    <x v="3"/>
    <n v="41"/>
    <x v="2"/>
    <x v="1"/>
    <x v="2233"/>
    <x v="2233"/>
    <x v="2"/>
    <x v="2242"/>
    <n v="593177"/>
    <x v="16"/>
    <n v="0"/>
  </r>
  <r>
    <x v="2244"/>
    <x v="5"/>
    <x v="0"/>
    <x v="0"/>
    <x v="24"/>
    <n v="56"/>
    <x v="1"/>
    <x v="0"/>
    <x v="2234"/>
    <x v="2234"/>
    <x v="1"/>
    <x v="2243"/>
    <n v="2851805"/>
    <x v="16"/>
    <n v="0"/>
  </r>
  <r>
    <x v="2245"/>
    <x v="1"/>
    <x v="13"/>
    <x v="13"/>
    <x v="18"/>
    <n v="58"/>
    <x v="2"/>
    <x v="1"/>
    <x v="2235"/>
    <x v="2235"/>
    <x v="0"/>
    <x v="2244"/>
    <n v="1487958"/>
    <x v="25"/>
    <n v="0"/>
  </r>
  <r>
    <x v="2246"/>
    <x v="1"/>
    <x v="6"/>
    <x v="6"/>
    <x v="42"/>
    <n v="35"/>
    <x v="2"/>
    <x v="1"/>
    <x v="2236"/>
    <x v="2236"/>
    <x v="1"/>
    <x v="2245"/>
    <n v="7811354"/>
    <x v="25"/>
    <n v="0"/>
  </r>
  <r>
    <x v="2247"/>
    <x v="6"/>
    <x v="8"/>
    <x v="8"/>
    <x v="17"/>
    <n v="33"/>
    <x v="3"/>
    <x v="1"/>
    <x v="2237"/>
    <x v="2237"/>
    <x v="2"/>
    <x v="2246"/>
    <n v="3541188"/>
    <x v="26"/>
    <n v="0"/>
  </r>
  <r>
    <x v="2248"/>
    <x v="4"/>
    <x v="5"/>
    <x v="5"/>
    <x v="5"/>
    <n v="24"/>
    <x v="1"/>
    <x v="0"/>
    <x v="2238"/>
    <x v="2238"/>
    <x v="1"/>
    <x v="2247"/>
    <n v="8484679"/>
    <x v="22"/>
    <n v="0"/>
  </r>
  <r>
    <x v="2249"/>
    <x v="4"/>
    <x v="13"/>
    <x v="13"/>
    <x v="18"/>
    <n v="58"/>
    <x v="2"/>
    <x v="0"/>
    <x v="2239"/>
    <x v="2239"/>
    <x v="2"/>
    <x v="2248"/>
    <n v="8407661"/>
    <x v="7"/>
    <n v="0"/>
  </r>
  <r>
    <x v="2250"/>
    <x v="1"/>
    <x v="15"/>
    <x v="15"/>
    <x v="47"/>
    <n v="17"/>
    <x v="2"/>
    <x v="0"/>
    <x v="2240"/>
    <x v="2240"/>
    <x v="2"/>
    <x v="2249"/>
    <n v="6844051"/>
    <x v="1"/>
    <n v="0"/>
  </r>
  <r>
    <x v="2251"/>
    <x v="6"/>
    <x v="19"/>
    <x v="19"/>
    <x v="14"/>
    <n v="39"/>
    <x v="3"/>
    <x v="0"/>
    <x v="2241"/>
    <x v="2241"/>
    <x v="0"/>
    <x v="2250"/>
    <n v="6824927"/>
    <x v="18"/>
    <n v="0"/>
  </r>
  <r>
    <x v="2252"/>
    <x v="4"/>
    <x v="6"/>
    <x v="6"/>
    <x v="5"/>
    <n v="24"/>
    <x v="3"/>
    <x v="0"/>
    <x v="2242"/>
    <x v="2242"/>
    <x v="0"/>
    <x v="2251"/>
    <n v="7151517"/>
    <x v="17"/>
    <n v="0"/>
  </r>
  <r>
    <x v="2253"/>
    <x v="6"/>
    <x v="22"/>
    <x v="22"/>
    <x v="5"/>
    <n v="24"/>
    <x v="2"/>
    <x v="1"/>
    <x v="2243"/>
    <x v="2243"/>
    <x v="0"/>
    <x v="2252"/>
    <n v="6900756"/>
    <x v="21"/>
    <n v="0"/>
  </r>
  <r>
    <x v="2254"/>
    <x v="6"/>
    <x v="20"/>
    <x v="20"/>
    <x v="15"/>
    <n v="30"/>
    <x v="3"/>
    <x v="1"/>
    <x v="2244"/>
    <x v="2244"/>
    <x v="1"/>
    <x v="2253"/>
    <n v="4175629"/>
    <x v="26"/>
    <n v="0"/>
  </r>
  <r>
    <x v="2255"/>
    <x v="6"/>
    <x v="14"/>
    <x v="14"/>
    <x v="49"/>
    <n v="60"/>
    <x v="2"/>
    <x v="0"/>
    <x v="2245"/>
    <x v="2245"/>
    <x v="0"/>
    <x v="2254"/>
    <n v="6986863"/>
    <x v="21"/>
    <n v="0"/>
  </r>
  <r>
    <x v="2256"/>
    <x v="2"/>
    <x v="19"/>
    <x v="19"/>
    <x v="29"/>
    <n v="13"/>
    <x v="1"/>
    <x v="1"/>
    <x v="2246"/>
    <x v="2246"/>
    <x v="2"/>
    <x v="2255"/>
    <n v="9025366"/>
    <x v="5"/>
    <n v="0"/>
  </r>
  <r>
    <x v="2257"/>
    <x v="5"/>
    <x v="4"/>
    <x v="4"/>
    <x v="14"/>
    <n v="39"/>
    <x v="0"/>
    <x v="1"/>
    <x v="2247"/>
    <x v="2247"/>
    <x v="0"/>
    <x v="2256"/>
    <n v="3659448"/>
    <x v="12"/>
    <n v="0"/>
  </r>
  <r>
    <x v="2258"/>
    <x v="6"/>
    <x v="17"/>
    <x v="17"/>
    <x v="30"/>
    <n v="14"/>
    <x v="3"/>
    <x v="1"/>
    <x v="2248"/>
    <x v="2248"/>
    <x v="1"/>
    <x v="2257"/>
    <n v="9476446"/>
    <x v="18"/>
    <n v="0"/>
  </r>
  <r>
    <x v="2259"/>
    <x v="2"/>
    <x v="11"/>
    <x v="11"/>
    <x v="10"/>
    <n v="18"/>
    <x v="0"/>
    <x v="1"/>
    <x v="2249"/>
    <x v="2249"/>
    <x v="0"/>
    <x v="2258"/>
    <n v="629025"/>
    <x v="5"/>
    <n v="0"/>
  </r>
  <r>
    <x v="2260"/>
    <x v="1"/>
    <x v="11"/>
    <x v="11"/>
    <x v="23"/>
    <n v="32"/>
    <x v="2"/>
    <x v="0"/>
    <x v="2250"/>
    <x v="2250"/>
    <x v="0"/>
    <x v="2259"/>
    <n v="3816284"/>
    <x v="25"/>
    <n v="0"/>
  </r>
  <r>
    <x v="2261"/>
    <x v="4"/>
    <x v="14"/>
    <x v="14"/>
    <x v="34"/>
    <n v="36"/>
    <x v="2"/>
    <x v="0"/>
    <x v="2251"/>
    <x v="2251"/>
    <x v="0"/>
    <x v="2260"/>
    <n v="1754935"/>
    <x v="19"/>
    <n v="0"/>
  </r>
  <r>
    <x v="2262"/>
    <x v="5"/>
    <x v="6"/>
    <x v="6"/>
    <x v="0"/>
    <n v="23"/>
    <x v="2"/>
    <x v="0"/>
    <x v="2252"/>
    <x v="2252"/>
    <x v="1"/>
    <x v="2261"/>
    <n v="1702888"/>
    <x v="12"/>
    <n v="0"/>
  </r>
  <r>
    <x v="2263"/>
    <x v="0"/>
    <x v="5"/>
    <x v="5"/>
    <x v="4"/>
    <n v="26"/>
    <x v="0"/>
    <x v="1"/>
    <x v="2253"/>
    <x v="2253"/>
    <x v="2"/>
    <x v="2262"/>
    <n v="824658"/>
    <x v="23"/>
    <n v="0"/>
  </r>
  <r>
    <x v="2264"/>
    <x v="4"/>
    <x v="23"/>
    <x v="23"/>
    <x v="30"/>
    <n v="14"/>
    <x v="2"/>
    <x v="1"/>
    <x v="2254"/>
    <x v="2254"/>
    <x v="2"/>
    <x v="2263"/>
    <n v="9224499"/>
    <x v="19"/>
    <n v="0"/>
  </r>
  <r>
    <x v="2265"/>
    <x v="5"/>
    <x v="1"/>
    <x v="1"/>
    <x v="41"/>
    <n v="25"/>
    <x v="3"/>
    <x v="0"/>
    <x v="2255"/>
    <x v="2255"/>
    <x v="2"/>
    <x v="2264"/>
    <n v="7888703"/>
    <x v="16"/>
    <n v="0"/>
  </r>
  <r>
    <x v="2266"/>
    <x v="0"/>
    <x v="20"/>
    <x v="20"/>
    <x v="18"/>
    <n v="58"/>
    <x v="1"/>
    <x v="0"/>
    <x v="2256"/>
    <x v="2256"/>
    <x v="0"/>
    <x v="2265"/>
    <n v="9777849"/>
    <x v="3"/>
    <n v="0"/>
  </r>
  <r>
    <x v="2267"/>
    <x v="4"/>
    <x v="12"/>
    <x v="12"/>
    <x v="8"/>
    <n v="57"/>
    <x v="1"/>
    <x v="1"/>
    <x v="2257"/>
    <x v="2257"/>
    <x v="0"/>
    <x v="2266"/>
    <n v="2555125"/>
    <x v="7"/>
    <n v="0"/>
  </r>
  <r>
    <x v="2268"/>
    <x v="5"/>
    <x v="21"/>
    <x v="21"/>
    <x v="46"/>
    <n v="27"/>
    <x v="3"/>
    <x v="0"/>
    <x v="2258"/>
    <x v="2258"/>
    <x v="1"/>
    <x v="2267"/>
    <n v="1837599"/>
    <x v="16"/>
    <n v="0"/>
  </r>
  <r>
    <x v="2269"/>
    <x v="4"/>
    <x v="3"/>
    <x v="3"/>
    <x v="14"/>
    <n v="39"/>
    <x v="1"/>
    <x v="0"/>
    <x v="2259"/>
    <x v="2259"/>
    <x v="2"/>
    <x v="2268"/>
    <n v="5446686"/>
    <x v="19"/>
    <n v="0"/>
  </r>
  <r>
    <x v="2270"/>
    <x v="4"/>
    <x v="14"/>
    <x v="14"/>
    <x v="37"/>
    <n v="55"/>
    <x v="0"/>
    <x v="1"/>
    <x v="2260"/>
    <x v="2260"/>
    <x v="0"/>
    <x v="2269"/>
    <n v="8375857"/>
    <x v="22"/>
    <n v="0"/>
  </r>
  <r>
    <x v="2271"/>
    <x v="0"/>
    <x v="1"/>
    <x v="1"/>
    <x v="22"/>
    <n v="10"/>
    <x v="2"/>
    <x v="1"/>
    <x v="2261"/>
    <x v="2261"/>
    <x v="0"/>
    <x v="2270"/>
    <n v="878471"/>
    <x v="3"/>
    <n v="0"/>
  </r>
  <r>
    <x v="2272"/>
    <x v="4"/>
    <x v="21"/>
    <x v="21"/>
    <x v="32"/>
    <n v="51"/>
    <x v="2"/>
    <x v="0"/>
    <x v="2262"/>
    <x v="2262"/>
    <x v="0"/>
    <x v="2271"/>
    <n v="9957874"/>
    <x v="17"/>
    <n v="0"/>
  </r>
  <r>
    <x v="2273"/>
    <x v="4"/>
    <x v="12"/>
    <x v="12"/>
    <x v="8"/>
    <n v="57"/>
    <x v="2"/>
    <x v="1"/>
    <x v="2263"/>
    <x v="2263"/>
    <x v="1"/>
    <x v="2272"/>
    <n v="6221336"/>
    <x v="17"/>
    <n v="0"/>
  </r>
  <r>
    <x v="2274"/>
    <x v="0"/>
    <x v="22"/>
    <x v="22"/>
    <x v="9"/>
    <n v="15"/>
    <x v="0"/>
    <x v="0"/>
    <x v="2264"/>
    <x v="2264"/>
    <x v="2"/>
    <x v="2273"/>
    <n v="9799947"/>
    <x v="9"/>
    <n v="0"/>
  </r>
  <r>
    <x v="2275"/>
    <x v="1"/>
    <x v="19"/>
    <x v="19"/>
    <x v="10"/>
    <n v="18"/>
    <x v="0"/>
    <x v="1"/>
    <x v="2265"/>
    <x v="2265"/>
    <x v="1"/>
    <x v="2274"/>
    <n v="3968276"/>
    <x v="11"/>
    <n v="0"/>
  </r>
  <r>
    <x v="2276"/>
    <x v="6"/>
    <x v="15"/>
    <x v="15"/>
    <x v="18"/>
    <n v="58"/>
    <x v="0"/>
    <x v="1"/>
    <x v="2266"/>
    <x v="2266"/>
    <x v="2"/>
    <x v="2275"/>
    <n v="4851226"/>
    <x v="18"/>
    <n v="0"/>
  </r>
  <r>
    <x v="2277"/>
    <x v="3"/>
    <x v="13"/>
    <x v="13"/>
    <x v="33"/>
    <n v="37"/>
    <x v="3"/>
    <x v="0"/>
    <x v="2267"/>
    <x v="2267"/>
    <x v="2"/>
    <x v="2276"/>
    <n v="7647434"/>
    <x v="10"/>
    <n v="0"/>
  </r>
  <r>
    <x v="2278"/>
    <x v="2"/>
    <x v="7"/>
    <x v="7"/>
    <x v="16"/>
    <n v="11"/>
    <x v="0"/>
    <x v="1"/>
    <x v="2268"/>
    <x v="2268"/>
    <x v="0"/>
    <x v="2277"/>
    <n v="8030654"/>
    <x v="2"/>
    <n v="0"/>
  </r>
  <r>
    <x v="2279"/>
    <x v="3"/>
    <x v="19"/>
    <x v="19"/>
    <x v="0"/>
    <n v="23"/>
    <x v="1"/>
    <x v="0"/>
    <x v="2269"/>
    <x v="2269"/>
    <x v="0"/>
    <x v="2278"/>
    <n v="2713814"/>
    <x v="8"/>
    <n v="0"/>
  </r>
  <r>
    <x v="2280"/>
    <x v="3"/>
    <x v="16"/>
    <x v="16"/>
    <x v="23"/>
    <n v="32"/>
    <x v="3"/>
    <x v="1"/>
    <x v="2270"/>
    <x v="2270"/>
    <x v="0"/>
    <x v="2279"/>
    <n v="933311"/>
    <x v="4"/>
    <n v="0"/>
  </r>
  <r>
    <x v="2281"/>
    <x v="5"/>
    <x v="1"/>
    <x v="1"/>
    <x v="2"/>
    <n v="45"/>
    <x v="3"/>
    <x v="0"/>
    <x v="2271"/>
    <x v="2271"/>
    <x v="0"/>
    <x v="2280"/>
    <n v="874052"/>
    <x v="16"/>
    <n v="0"/>
  </r>
  <r>
    <x v="2282"/>
    <x v="6"/>
    <x v="2"/>
    <x v="2"/>
    <x v="11"/>
    <n v="47"/>
    <x v="3"/>
    <x v="1"/>
    <x v="2272"/>
    <x v="2272"/>
    <x v="0"/>
    <x v="2281"/>
    <n v="67295"/>
    <x v="26"/>
    <n v="0"/>
  </r>
  <r>
    <x v="2283"/>
    <x v="5"/>
    <x v="16"/>
    <x v="16"/>
    <x v="49"/>
    <n v="60"/>
    <x v="0"/>
    <x v="1"/>
    <x v="2273"/>
    <x v="2273"/>
    <x v="2"/>
    <x v="2282"/>
    <n v="1721397"/>
    <x v="12"/>
    <n v="0"/>
  </r>
  <r>
    <x v="2284"/>
    <x v="6"/>
    <x v="12"/>
    <x v="12"/>
    <x v="5"/>
    <n v="24"/>
    <x v="3"/>
    <x v="0"/>
    <x v="2274"/>
    <x v="2274"/>
    <x v="0"/>
    <x v="2283"/>
    <n v="5212923"/>
    <x v="21"/>
    <n v="0"/>
  </r>
  <r>
    <x v="2285"/>
    <x v="0"/>
    <x v="20"/>
    <x v="20"/>
    <x v="33"/>
    <n v="37"/>
    <x v="0"/>
    <x v="1"/>
    <x v="2275"/>
    <x v="2275"/>
    <x v="0"/>
    <x v="2284"/>
    <n v="4879077"/>
    <x v="23"/>
    <n v="0"/>
  </r>
  <r>
    <x v="2286"/>
    <x v="0"/>
    <x v="21"/>
    <x v="21"/>
    <x v="33"/>
    <n v="37"/>
    <x v="0"/>
    <x v="0"/>
    <x v="2276"/>
    <x v="2276"/>
    <x v="1"/>
    <x v="2285"/>
    <n v="7229713"/>
    <x v="0"/>
    <n v="0"/>
  </r>
  <r>
    <x v="2287"/>
    <x v="6"/>
    <x v="11"/>
    <x v="11"/>
    <x v="15"/>
    <n v="30"/>
    <x v="3"/>
    <x v="1"/>
    <x v="2277"/>
    <x v="2277"/>
    <x v="1"/>
    <x v="2286"/>
    <n v="1352258"/>
    <x v="18"/>
    <n v="0"/>
  </r>
  <r>
    <x v="2288"/>
    <x v="4"/>
    <x v="16"/>
    <x v="16"/>
    <x v="10"/>
    <n v="18"/>
    <x v="2"/>
    <x v="1"/>
    <x v="2278"/>
    <x v="2278"/>
    <x v="2"/>
    <x v="2287"/>
    <n v="6626125"/>
    <x v="7"/>
    <n v="0"/>
  </r>
  <r>
    <x v="2289"/>
    <x v="1"/>
    <x v="8"/>
    <x v="8"/>
    <x v="21"/>
    <n v="59"/>
    <x v="2"/>
    <x v="0"/>
    <x v="2279"/>
    <x v="2279"/>
    <x v="2"/>
    <x v="2288"/>
    <n v="6355514"/>
    <x v="25"/>
    <n v="0"/>
  </r>
  <r>
    <x v="2290"/>
    <x v="4"/>
    <x v="20"/>
    <x v="20"/>
    <x v="7"/>
    <n v="53"/>
    <x v="3"/>
    <x v="1"/>
    <x v="2280"/>
    <x v="2280"/>
    <x v="1"/>
    <x v="2289"/>
    <n v="2719386"/>
    <x v="17"/>
    <n v="0"/>
  </r>
  <r>
    <x v="2291"/>
    <x v="1"/>
    <x v="6"/>
    <x v="6"/>
    <x v="42"/>
    <n v="35"/>
    <x v="2"/>
    <x v="1"/>
    <x v="2281"/>
    <x v="2281"/>
    <x v="1"/>
    <x v="2290"/>
    <n v="5652743"/>
    <x v="11"/>
    <n v="0"/>
  </r>
  <r>
    <x v="2292"/>
    <x v="5"/>
    <x v="20"/>
    <x v="20"/>
    <x v="6"/>
    <n v="40"/>
    <x v="1"/>
    <x v="0"/>
    <x v="2282"/>
    <x v="2282"/>
    <x v="0"/>
    <x v="2291"/>
    <n v="2610968"/>
    <x v="16"/>
    <n v="0"/>
  </r>
  <r>
    <x v="2293"/>
    <x v="1"/>
    <x v="6"/>
    <x v="6"/>
    <x v="28"/>
    <n v="21"/>
    <x v="1"/>
    <x v="1"/>
    <x v="2283"/>
    <x v="2283"/>
    <x v="0"/>
    <x v="2292"/>
    <n v="1895769"/>
    <x v="11"/>
    <n v="0"/>
  </r>
  <r>
    <x v="2294"/>
    <x v="5"/>
    <x v="17"/>
    <x v="17"/>
    <x v="33"/>
    <n v="37"/>
    <x v="0"/>
    <x v="0"/>
    <x v="2284"/>
    <x v="2284"/>
    <x v="2"/>
    <x v="2293"/>
    <n v="5944782"/>
    <x v="12"/>
    <n v="0"/>
  </r>
  <r>
    <x v="2295"/>
    <x v="0"/>
    <x v="0"/>
    <x v="0"/>
    <x v="2"/>
    <n v="45"/>
    <x v="2"/>
    <x v="0"/>
    <x v="2285"/>
    <x v="2285"/>
    <x v="1"/>
    <x v="2294"/>
    <n v="9786006"/>
    <x v="3"/>
    <n v="0"/>
  </r>
  <r>
    <x v="2296"/>
    <x v="3"/>
    <x v="16"/>
    <x v="16"/>
    <x v="34"/>
    <n v="36"/>
    <x v="1"/>
    <x v="0"/>
    <x v="2286"/>
    <x v="2286"/>
    <x v="2"/>
    <x v="2295"/>
    <n v="2750867"/>
    <x v="4"/>
    <n v="0"/>
  </r>
  <r>
    <x v="2297"/>
    <x v="0"/>
    <x v="13"/>
    <x v="13"/>
    <x v="49"/>
    <n v="60"/>
    <x v="3"/>
    <x v="1"/>
    <x v="2287"/>
    <x v="2287"/>
    <x v="0"/>
    <x v="2296"/>
    <n v="3875693"/>
    <x v="9"/>
    <n v="0"/>
  </r>
  <r>
    <x v="2298"/>
    <x v="0"/>
    <x v="4"/>
    <x v="4"/>
    <x v="3"/>
    <n v="41"/>
    <x v="2"/>
    <x v="1"/>
    <x v="2288"/>
    <x v="2288"/>
    <x v="2"/>
    <x v="2297"/>
    <n v="2937446"/>
    <x v="9"/>
    <n v="0"/>
  </r>
  <r>
    <x v="2299"/>
    <x v="3"/>
    <x v="4"/>
    <x v="4"/>
    <x v="35"/>
    <n v="29"/>
    <x v="1"/>
    <x v="0"/>
    <x v="2289"/>
    <x v="2289"/>
    <x v="2"/>
    <x v="2298"/>
    <n v="3031368"/>
    <x v="8"/>
    <n v="0"/>
  </r>
  <r>
    <x v="2300"/>
    <x v="1"/>
    <x v="10"/>
    <x v="10"/>
    <x v="39"/>
    <n v="49"/>
    <x v="1"/>
    <x v="1"/>
    <x v="2290"/>
    <x v="2290"/>
    <x v="2"/>
    <x v="2299"/>
    <n v="4339825"/>
    <x v="11"/>
    <n v="0"/>
  </r>
  <r>
    <x v="2301"/>
    <x v="1"/>
    <x v="22"/>
    <x v="22"/>
    <x v="20"/>
    <n v="19"/>
    <x v="3"/>
    <x v="0"/>
    <x v="2291"/>
    <x v="2291"/>
    <x v="0"/>
    <x v="2300"/>
    <n v="7167627"/>
    <x v="25"/>
    <n v="0"/>
  </r>
  <r>
    <x v="2302"/>
    <x v="5"/>
    <x v="0"/>
    <x v="0"/>
    <x v="35"/>
    <n v="29"/>
    <x v="0"/>
    <x v="1"/>
    <x v="2292"/>
    <x v="2292"/>
    <x v="2"/>
    <x v="2301"/>
    <n v="868643"/>
    <x v="20"/>
    <n v="0"/>
  </r>
  <r>
    <x v="2303"/>
    <x v="4"/>
    <x v="9"/>
    <x v="9"/>
    <x v="46"/>
    <n v="27"/>
    <x v="3"/>
    <x v="0"/>
    <x v="2293"/>
    <x v="2293"/>
    <x v="0"/>
    <x v="2302"/>
    <n v="959268"/>
    <x v="22"/>
    <n v="0"/>
  </r>
  <r>
    <x v="2304"/>
    <x v="5"/>
    <x v="4"/>
    <x v="4"/>
    <x v="23"/>
    <n v="32"/>
    <x v="0"/>
    <x v="0"/>
    <x v="2294"/>
    <x v="2294"/>
    <x v="1"/>
    <x v="2303"/>
    <n v="939659"/>
    <x v="15"/>
    <n v="0"/>
  </r>
  <r>
    <x v="2305"/>
    <x v="4"/>
    <x v="20"/>
    <x v="20"/>
    <x v="39"/>
    <n v="49"/>
    <x v="1"/>
    <x v="1"/>
    <x v="2295"/>
    <x v="2295"/>
    <x v="2"/>
    <x v="2304"/>
    <n v="8871905"/>
    <x v="7"/>
    <n v="0"/>
  </r>
  <r>
    <x v="2306"/>
    <x v="0"/>
    <x v="0"/>
    <x v="0"/>
    <x v="48"/>
    <n v="34"/>
    <x v="0"/>
    <x v="0"/>
    <x v="2296"/>
    <x v="2296"/>
    <x v="2"/>
    <x v="2305"/>
    <n v="8996592"/>
    <x v="3"/>
    <n v="0"/>
  </r>
  <r>
    <x v="2307"/>
    <x v="3"/>
    <x v="21"/>
    <x v="21"/>
    <x v="31"/>
    <n v="50"/>
    <x v="1"/>
    <x v="0"/>
    <x v="2297"/>
    <x v="2297"/>
    <x v="0"/>
    <x v="2306"/>
    <n v="5482647"/>
    <x v="27"/>
    <n v="0"/>
  </r>
  <r>
    <x v="2308"/>
    <x v="0"/>
    <x v="16"/>
    <x v="16"/>
    <x v="14"/>
    <n v="39"/>
    <x v="1"/>
    <x v="1"/>
    <x v="2298"/>
    <x v="2298"/>
    <x v="2"/>
    <x v="2307"/>
    <n v="180147"/>
    <x v="23"/>
    <n v="0"/>
  </r>
  <r>
    <x v="2309"/>
    <x v="6"/>
    <x v="5"/>
    <x v="5"/>
    <x v="46"/>
    <n v="27"/>
    <x v="2"/>
    <x v="0"/>
    <x v="2299"/>
    <x v="2299"/>
    <x v="0"/>
    <x v="2308"/>
    <n v="5868887"/>
    <x v="18"/>
    <n v="0"/>
  </r>
  <r>
    <x v="2310"/>
    <x v="1"/>
    <x v="12"/>
    <x v="12"/>
    <x v="31"/>
    <n v="50"/>
    <x v="0"/>
    <x v="0"/>
    <x v="2300"/>
    <x v="2300"/>
    <x v="2"/>
    <x v="2309"/>
    <n v="6472006"/>
    <x v="25"/>
    <n v="0"/>
  </r>
  <r>
    <x v="2311"/>
    <x v="4"/>
    <x v="6"/>
    <x v="6"/>
    <x v="27"/>
    <n v="22"/>
    <x v="0"/>
    <x v="1"/>
    <x v="2301"/>
    <x v="2301"/>
    <x v="1"/>
    <x v="2310"/>
    <n v="864871"/>
    <x v="19"/>
    <n v="0"/>
  </r>
  <r>
    <x v="2312"/>
    <x v="5"/>
    <x v="19"/>
    <x v="19"/>
    <x v="28"/>
    <n v="21"/>
    <x v="0"/>
    <x v="0"/>
    <x v="2302"/>
    <x v="2302"/>
    <x v="1"/>
    <x v="2311"/>
    <n v="5733506"/>
    <x v="15"/>
    <n v="0"/>
  </r>
  <r>
    <x v="2313"/>
    <x v="3"/>
    <x v="14"/>
    <x v="14"/>
    <x v="42"/>
    <n v="35"/>
    <x v="3"/>
    <x v="0"/>
    <x v="2303"/>
    <x v="2303"/>
    <x v="1"/>
    <x v="2312"/>
    <n v="4401739"/>
    <x v="27"/>
    <n v="0"/>
  </r>
  <r>
    <x v="2314"/>
    <x v="4"/>
    <x v="0"/>
    <x v="0"/>
    <x v="0"/>
    <n v="23"/>
    <x v="2"/>
    <x v="0"/>
    <x v="2304"/>
    <x v="2304"/>
    <x v="2"/>
    <x v="2313"/>
    <n v="8463766"/>
    <x v="22"/>
    <n v="0"/>
  </r>
  <r>
    <x v="2315"/>
    <x v="5"/>
    <x v="18"/>
    <x v="18"/>
    <x v="22"/>
    <n v="10"/>
    <x v="2"/>
    <x v="0"/>
    <x v="2305"/>
    <x v="2305"/>
    <x v="2"/>
    <x v="2314"/>
    <n v="9819042"/>
    <x v="16"/>
    <n v="0"/>
  </r>
  <r>
    <x v="2316"/>
    <x v="1"/>
    <x v="1"/>
    <x v="1"/>
    <x v="26"/>
    <n v="42"/>
    <x v="2"/>
    <x v="0"/>
    <x v="2306"/>
    <x v="2306"/>
    <x v="1"/>
    <x v="2315"/>
    <n v="662848"/>
    <x v="14"/>
    <n v="0"/>
  </r>
  <r>
    <x v="2317"/>
    <x v="0"/>
    <x v="21"/>
    <x v="21"/>
    <x v="34"/>
    <n v="36"/>
    <x v="3"/>
    <x v="0"/>
    <x v="2307"/>
    <x v="2307"/>
    <x v="1"/>
    <x v="2316"/>
    <n v="8806677"/>
    <x v="3"/>
    <n v="0"/>
  </r>
  <r>
    <x v="2318"/>
    <x v="1"/>
    <x v="0"/>
    <x v="0"/>
    <x v="23"/>
    <n v="32"/>
    <x v="0"/>
    <x v="0"/>
    <x v="2308"/>
    <x v="2308"/>
    <x v="0"/>
    <x v="2317"/>
    <n v="6187984"/>
    <x v="25"/>
    <n v="0"/>
  </r>
  <r>
    <x v="2319"/>
    <x v="2"/>
    <x v="22"/>
    <x v="22"/>
    <x v="18"/>
    <n v="58"/>
    <x v="0"/>
    <x v="0"/>
    <x v="2309"/>
    <x v="2309"/>
    <x v="0"/>
    <x v="2318"/>
    <n v="7052986"/>
    <x v="13"/>
    <n v="0"/>
  </r>
  <r>
    <x v="2320"/>
    <x v="6"/>
    <x v="8"/>
    <x v="8"/>
    <x v="14"/>
    <n v="39"/>
    <x v="0"/>
    <x v="1"/>
    <x v="2310"/>
    <x v="2310"/>
    <x v="1"/>
    <x v="2319"/>
    <n v="7037588"/>
    <x v="24"/>
    <n v="0"/>
  </r>
  <r>
    <x v="2321"/>
    <x v="2"/>
    <x v="10"/>
    <x v="10"/>
    <x v="7"/>
    <n v="53"/>
    <x v="2"/>
    <x v="0"/>
    <x v="2311"/>
    <x v="2311"/>
    <x v="1"/>
    <x v="2320"/>
    <n v="7195476"/>
    <x v="6"/>
    <n v="0"/>
  </r>
  <r>
    <x v="2322"/>
    <x v="3"/>
    <x v="17"/>
    <x v="17"/>
    <x v="47"/>
    <n v="17"/>
    <x v="2"/>
    <x v="0"/>
    <x v="2312"/>
    <x v="2312"/>
    <x v="2"/>
    <x v="2321"/>
    <n v="3549628"/>
    <x v="27"/>
    <n v="0"/>
  </r>
  <r>
    <x v="2323"/>
    <x v="4"/>
    <x v="12"/>
    <x v="12"/>
    <x v="45"/>
    <n v="38"/>
    <x v="1"/>
    <x v="1"/>
    <x v="2313"/>
    <x v="2313"/>
    <x v="1"/>
    <x v="2322"/>
    <n v="5968783"/>
    <x v="7"/>
    <n v="0"/>
  </r>
  <r>
    <x v="2324"/>
    <x v="3"/>
    <x v="11"/>
    <x v="11"/>
    <x v="7"/>
    <n v="53"/>
    <x v="3"/>
    <x v="0"/>
    <x v="2314"/>
    <x v="2314"/>
    <x v="0"/>
    <x v="2323"/>
    <n v="6144288"/>
    <x v="27"/>
    <n v="0"/>
  </r>
  <r>
    <x v="2325"/>
    <x v="0"/>
    <x v="14"/>
    <x v="14"/>
    <x v="14"/>
    <n v="39"/>
    <x v="3"/>
    <x v="0"/>
    <x v="2315"/>
    <x v="2315"/>
    <x v="0"/>
    <x v="2324"/>
    <n v="349318"/>
    <x v="3"/>
    <n v="0"/>
  </r>
  <r>
    <x v="2326"/>
    <x v="5"/>
    <x v="18"/>
    <x v="18"/>
    <x v="25"/>
    <n v="46"/>
    <x v="2"/>
    <x v="0"/>
    <x v="2316"/>
    <x v="2316"/>
    <x v="0"/>
    <x v="2325"/>
    <n v="3823597"/>
    <x v="20"/>
    <n v="0"/>
  </r>
  <r>
    <x v="2327"/>
    <x v="1"/>
    <x v="12"/>
    <x v="12"/>
    <x v="35"/>
    <n v="29"/>
    <x v="1"/>
    <x v="0"/>
    <x v="2317"/>
    <x v="2317"/>
    <x v="0"/>
    <x v="2326"/>
    <n v="7741344"/>
    <x v="25"/>
    <n v="0"/>
  </r>
  <r>
    <x v="2328"/>
    <x v="2"/>
    <x v="13"/>
    <x v="13"/>
    <x v="9"/>
    <n v="15"/>
    <x v="0"/>
    <x v="0"/>
    <x v="2318"/>
    <x v="2318"/>
    <x v="0"/>
    <x v="2327"/>
    <n v="6035876"/>
    <x v="5"/>
    <n v="0"/>
  </r>
  <r>
    <x v="2329"/>
    <x v="2"/>
    <x v="11"/>
    <x v="11"/>
    <x v="17"/>
    <n v="33"/>
    <x v="2"/>
    <x v="0"/>
    <x v="2319"/>
    <x v="2319"/>
    <x v="0"/>
    <x v="2328"/>
    <n v="1917506"/>
    <x v="13"/>
    <n v="0"/>
  </r>
  <r>
    <x v="2330"/>
    <x v="0"/>
    <x v="0"/>
    <x v="0"/>
    <x v="15"/>
    <n v="30"/>
    <x v="3"/>
    <x v="1"/>
    <x v="2320"/>
    <x v="2320"/>
    <x v="1"/>
    <x v="2329"/>
    <n v="8457551"/>
    <x v="0"/>
    <n v="0"/>
  </r>
  <r>
    <x v="2331"/>
    <x v="2"/>
    <x v="10"/>
    <x v="10"/>
    <x v="7"/>
    <n v="53"/>
    <x v="3"/>
    <x v="1"/>
    <x v="2321"/>
    <x v="2321"/>
    <x v="0"/>
    <x v="2330"/>
    <n v="8889586"/>
    <x v="6"/>
    <n v="0"/>
  </r>
  <r>
    <x v="2332"/>
    <x v="0"/>
    <x v="22"/>
    <x v="22"/>
    <x v="27"/>
    <n v="22"/>
    <x v="3"/>
    <x v="1"/>
    <x v="2322"/>
    <x v="2322"/>
    <x v="0"/>
    <x v="2331"/>
    <n v="4928341"/>
    <x v="9"/>
    <n v="0"/>
  </r>
  <r>
    <x v="2333"/>
    <x v="3"/>
    <x v="22"/>
    <x v="22"/>
    <x v="18"/>
    <n v="58"/>
    <x v="0"/>
    <x v="1"/>
    <x v="2323"/>
    <x v="2323"/>
    <x v="0"/>
    <x v="2332"/>
    <n v="2484621"/>
    <x v="27"/>
    <n v="0"/>
  </r>
  <r>
    <x v="2334"/>
    <x v="1"/>
    <x v="15"/>
    <x v="15"/>
    <x v="18"/>
    <n v="58"/>
    <x v="3"/>
    <x v="1"/>
    <x v="2324"/>
    <x v="2324"/>
    <x v="0"/>
    <x v="2333"/>
    <n v="9502262"/>
    <x v="1"/>
    <n v="0"/>
  </r>
  <r>
    <x v="2335"/>
    <x v="4"/>
    <x v="14"/>
    <x v="14"/>
    <x v="27"/>
    <n v="22"/>
    <x v="0"/>
    <x v="0"/>
    <x v="2325"/>
    <x v="2325"/>
    <x v="1"/>
    <x v="2334"/>
    <n v="8881561"/>
    <x v="7"/>
    <n v="0"/>
  </r>
  <r>
    <x v="2336"/>
    <x v="5"/>
    <x v="14"/>
    <x v="14"/>
    <x v="46"/>
    <n v="27"/>
    <x v="0"/>
    <x v="0"/>
    <x v="2326"/>
    <x v="2326"/>
    <x v="2"/>
    <x v="2335"/>
    <n v="2821627"/>
    <x v="12"/>
    <n v="0"/>
  </r>
  <r>
    <x v="2337"/>
    <x v="4"/>
    <x v="5"/>
    <x v="5"/>
    <x v="37"/>
    <n v="55"/>
    <x v="0"/>
    <x v="0"/>
    <x v="2327"/>
    <x v="2327"/>
    <x v="2"/>
    <x v="2336"/>
    <n v="140814"/>
    <x v="22"/>
    <n v="0"/>
  </r>
  <r>
    <x v="2338"/>
    <x v="3"/>
    <x v="5"/>
    <x v="5"/>
    <x v="18"/>
    <n v="58"/>
    <x v="2"/>
    <x v="0"/>
    <x v="2328"/>
    <x v="2328"/>
    <x v="2"/>
    <x v="2337"/>
    <n v="4686209"/>
    <x v="4"/>
    <n v="0"/>
  </r>
  <r>
    <x v="2339"/>
    <x v="5"/>
    <x v="6"/>
    <x v="6"/>
    <x v="23"/>
    <n v="32"/>
    <x v="0"/>
    <x v="0"/>
    <x v="2329"/>
    <x v="2329"/>
    <x v="2"/>
    <x v="2338"/>
    <n v="6925771"/>
    <x v="15"/>
    <n v="0"/>
  </r>
  <r>
    <x v="2340"/>
    <x v="2"/>
    <x v="23"/>
    <x v="23"/>
    <x v="4"/>
    <n v="26"/>
    <x v="1"/>
    <x v="1"/>
    <x v="2330"/>
    <x v="2330"/>
    <x v="0"/>
    <x v="2339"/>
    <n v="2166192"/>
    <x v="5"/>
    <n v="0"/>
  </r>
  <r>
    <x v="2341"/>
    <x v="6"/>
    <x v="0"/>
    <x v="0"/>
    <x v="34"/>
    <n v="36"/>
    <x v="3"/>
    <x v="1"/>
    <x v="2331"/>
    <x v="2331"/>
    <x v="2"/>
    <x v="2340"/>
    <n v="537552"/>
    <x v="21"/>
    <n v="0"/>
  </r>
  <r>
    <x v="2342"/>
    <x v="3"/>
    <x v="0"/>
    <x v="0"/>
    <x v="1"/>
    <n v="44"/>
    <x v="2"/>
    <x v="0"/>
    <x v="2332"/>
    <x v="2332"/>
    <x v="2"/>
    <x v="2341"/>
    <n v="4541447"/>
    <x v="8"/>
    <n v="0"/>
  </r>
  <r>
    <x v="2343"/>
    <x v="3"/>
    <x v="3"/>
    <x v="3"/>
    <x v="5"/>
    <n v="24"/>
    <x v="3"/>
    <x v="0"/>
    <x v="2333"/>
    <x v="2333"/>
    <x v="1"/>
    <x v="2342"/>
    <n v="8960236"/>
    <x v="4"/>
    <n v="0"/>
  </r>
  <r>
    <x v="2344"/>
    <x v="1"/>
    <x v="16"/>
    <x v="16"/>
    <x v="11"/>
    <n v="47"/>
    <x v="0"/>
    <x v="0"/>
    <x v="2334"/>
    <x v="2334"/>
    <x v="1"/>
    <x v="2343"/>
    <n v="4580883"/>
    <x v="14"/>
    <n v="0"/>
  </r>
  <r>
    <x v="2345"/>
    <x v="4"/>
    <x v="12"/>
    <x v="12"/>
    <x v="29"/>
    <n v="13"/>
    <x v="2"/>
    <x v="1"/>
    <x v="2335"/>
    <x v="2335"/>
    <x v="1"/>
    <x v="2344"/>
    <n v="5570876"/>
    <x v="19"/>
    <n v="0"/>
  </r>
  <r>
    <x v="2346"/>
    <x v="3"/>
    <x v="15"/>
    <x v="15"/>
    <x v="50"/>
    <n v="12"/>
    <x v="1"/>
    <x v="1"/>
    <x v="2336"/>
    <x v="2336"/>
    <x v="0"/>
    <x v="2345"/>
    <n v="9575219"/>
    <x v="10"/>
    <n v="0"/>
  </r>
  <r>
    <x v="2347"/>
    <x v="3"/>
    <x v="13"/>
    <x v="13"/>
    <x v="35"/>
    <n v="29"/>
    <x v="0"/>
    <x v="0"/>
    <x v="2337"/>
    <x v="2337"/>
    <x v="0"/>
    <x v="2346"/>
    <n v="3347072"/>
    <x v="27"/>
    <n v="0"/>
  </r>
  <r>
    <x v="2348"/>
    <x v="2"/>
    <x v="18"/>
    <x v="18"/>
    <x v="36"/>
    <n v="28"/>
    <x v="3"/>
    <x v="1"/>
    <x v="2338"/>
    <x v="2338"/>
    <x v="0"/>
    <x v="2347"/>
    <n v="3245414"/>
    <x v="13"/>
    <n v="0"/>
  </r>
  <r>
    <x v="2349"/>
    <x v="2"/>
    <x v="0"/>
    <x v="0"/>
    <x v="4"/>
    <n v="26"/>
    <x v="1"/>
    <x v="0"/>
    <x v="2339"/>
    <x v="2339"/>
    <x v="1"/>
    <x v="2348"/>
    <n v="8096153"/>
    <x v="13"/>
    <n v="0"/>
  </r>
  <r>
    <x v="2350"/>
    <x v="5"/>
    <x v="23"/>
    <x v="23"/>
    <x v="42"/>
    <n v="35"/>
    <x v="0"/>
    <x v="1"/>
    <x v="2340"/>
    <x v="2340"/>
    <x v="2"/>
    <x v="2349"/>
    <n v="313662"/>
    <x v="16"/>
    <n v="0"/>
  </r>
  <r>
    <x v="2351"/>
    <x v="0"/>
    <x v="12"/>
    <x v="12"/>
    <x v="4"/>
    <n v="26"/>
    <x v="1"/>
    <x v="1"/>
    <x v="2341"/>
    <x v="2341"/>
    <x v="1"/>
    <x v="2350"/>
    <n v="8402726"/>
    <x v="9"/>
    <n v="0"/>
  </r>
  <r>
    <x v="2352"/>
    <x v="0"/>
    <x v="21"/>
    <x v="21"/>
    <x v="13"/>
    <n v="20"/>
    <x v="0"/>
    <x v="0"/>
    <x v="2342"/>
    <x v="2342"/>
    <x v="0"/>
    <x v="2351"/>
    <n v="1407588"/>
    <x v="9"/>
    <n v="0"/>
  </r>
  <r>
    <x v="2353"/>
    <x v="6"/>
    <x v="21"/>
    <x v="21"/>
    <x v="41"/>
    <n v="25"/>
    <x v="2"/>
    <x v="1"/>
    <x v="2343"/>
    <x v="2343"/>
    <x v="1"/>
    <x v="2352"/>
    <n v="1556982"/>
    <x v="21"/>
    <n v="0"/>
  </r>
  <r>
    <x v="2354"/>
    <x v="0"/>
    <x v="7"/>
    <x v="7"/>
    <x v="21"/>
    <n v="59"/>
    <x v="0"/>
    <x v="1"/>
    <x v="2344"/>
    <x v="2344"/>
    <x v="2"/>
    <x v="2353"/>
    <n v="9062572"/>
    <x v="0"/>
    <n v="0"/>
  </r>
  <r>
    <x v="2355"/>
    <x v="1"/>
    <x v="0"/>
    <x v="0"/>
    <x v="40"/>
    <n v="31"/>
    <x v="2"/>
    <x v="0"/>
    <x v="2345"/>
    <x v="2345"/>
    <x v="0"/>
    <x v="2354"/>
    <n v="5637717"/>
    <x v="1"/>
    <n v="0"/>
  </r>
  <r>
    <x v="2356"/>
    <x v="6"/>
    <x v="1"/>
    <x v="1"/>
    <x v="23"/>
    <n v="32"/>
    <x v="0"/>
    <x v="1"/>
    <x v="2346"/>
    <x v="2346"/>
    <x v="2"/>
    <x v="2355"/>
    <n v="7328736"/>
    <x v="18"/>
    <n v="0"/>
  </r>
  <r>
    <x v="2357"/>
    <x v="5"/>
    <x v="9"/>
    <x v="9"/>
    <x v="14"/>
    <n v="39"/>
    <x v="0"/>
    <x v="0"/>
    <x v="2347"/>
    <x v="2347"/>
    <x v="2"/>
    <x v="2356"/>
    <n v="2640244"/>
    <x v="15"/>
    <n v="0"/>
  </r>
  <r>
    <x v="2358"/>
    <x v="2"/>
    <x v="5"/>
    <x v="5"/>
    <x v="21"/>
    <n v="59"/>
    <x v="3"/>
    <x v="1"/>
    <x v="2348"/>
    <x v="2348"/>
    <x v="0"/>
    <x v="2357"/>
    <n v="2079606"/>
    <x v="2"/>
    <n v="0"/>
  </r>
  <r>
    <x v="2359"/>
    <x v="0"/>
    <x v="23"/>
    <x v="23"/>
    <x v="27"/>
    <n v="22"/>
    <x v="1"/>
    <x v="0"/>
    <x v="2349"/>
    <x v="2349"/>
    <x v="2"/>
    <x v="2358"/>
    <n v="8432065"/>
    <x v="3"/>
    <n v="0"/>
  </r>
  <r>
    <x v="2360"/>
    <x v="4"/>
    <x v="17"/>
    <x v="17"/>
    <x v="1"/>
    <n v="44"/>
    <x v="1"/>
    <x v="0"/>
    <x v="2350"/>
    <x v="2350"/>
    <x v="1"/>
    <x v="2359"/>
    <n v="3906922"/>
    <x v="22"/>
    <n v="0"/>
  </r>
  <r>
    <x v="2361"/>
    <x v="2"/>
    <x v="2"/>
    <x v="2"/>
    <x v="25"/>
    <n v="46"/>
    <x v="1"/>
    <x v="1"/>
    <x v="2351"/>
    <x v="2351"/>
    <x v="2"/>
    <x v="2360"/>
    <n v="482281"/>
    <x v="13"/>
    <n v="0"/>
  </r>
  <r>
    <x v="2362"/>
    <x v="1"/>
    <x v="18"/>
    <x v="18"/>
    <x v="6"/>
    <n v="40"/>
    <x v="0"/>
    <x v="1"/>
    <x v="2352"/>
    <x v="2352"/>
    <x v="2"/>
    <x v="2361"/>
    <n v="765733"/>
    <x v="14"/>
    <n v="0"/>
  </r>
  <r>
    <x v="2363"/>
    <x v="2"/>
    <x v="2"/>
    <x v="2"/>
    <x v="30"/>
    <n v="14"/>
    <x v="0"/>
    <x v="0"/>
    <x v="2353"/>
    <x v="2353"/>
    <x v="2"/>
    <x v="2362"/>
    <n v="4165867"/>
    <x v="6"/>
    <n v="0"/>
  </r>
  <r>
    <x v="2364"/>
    <x v="1"/>
    <x v="10"/>
    <x v="10"/>
    <x v="1"/>
    <n v="44"/>
    <x v="0"/>
    <x v="1"/>
    <x v="2354"/>
    <x v="2354"/>
    <x v="1"/>
    <x v="2363"/>
    <n v="7819159"/>
    <x v="1"/>
    <n v="0"/>
  </r>
  <r>
    <x v="2365"/>
    <x v="1"/>
    <x v="13"/>
    <x v="13"/>
    <x v="29"/>
    <n v="13"/>
    <x v="2"/>
    <x v="1"/>
    <x v="2355"/>
    <x v="2355"/>
    <x v="2"/>
    <x v="2364"/>
    <n v="8302114"/>
    <x v="25"/>
    <n v="0"/>
  </r>
  <r>
    <x v="2366"/>
    <x v="1"/>
    <x v="21"/>
    <x v="21"/>
    <x v="6"/>
    <n v="40"/>
    <x v="2"/>
    <x v="1"/>
    <x v="2356"/>
    <x v="2356"/>
    <x v="2"/>
    <x v="2365"/>
    <n v="713817"/>
    <x v="14"/>
    <n v="0"/>
  </r>
  <r>
    <x v="2367"/>
    <x v="5"/>
    <x v="8"/>
    <x v="8"/>
    <x v="11"/>
    <n v="47"/>
    <x v="3"/>
    <x v="0"/>
    <x v="2357"/>
    <x v="2357"/>
    <x v="1"/>
    <x v="2366"/>
    <n v="7075707"/>
    <x v="20"/>
    <n v="0"/>
  </r>
  <r>
    <x v="2368"/>
    <x v="1"/>
    <x v="1"/>
    <x v="1"/>
    <x v="28"/>
    <n v="21"/>
    <x v="0"/>
    <x v="0"/>
    <x v="2358"/>
    <x v="2358"/>
    <x v="0"/>
    <x v="2367"/>
    <n v="5309273"/>
    <x v="14"/>
    <n v="0"/>
  </r>
  <r>
    <x v="2369"/>
    <x v="1"/>
    <x v="14"/>
    <x v="14"/>
    <x v="19"/>
    <n v="52"/>
    <x v="1"/>
    <x v="0"/>
    <x v="2359"/>
    <x v="2359"/>
    <x v="0"/>
    <x v="2368"/>
    <n v="5614129"/>
    <x v="11"/>
    <n v="0"/>
  </r>
  <r>
    <x v="2370"/>
    <x v="4"/>
    <x v="18"/>
    <x v="18"/>
    <x v="50"/>
    <n v="12"/>
    <x v="1"/>
    <x v="1"/>
    <x v="2360"/>
    <x v="2360"/>
    <x v="0"/>
    <x v="2369"/>
    <n v="7555002"/>
    <x v="17"/>
    <n v="0"/>
  </r>
  <r>
    <x v="2371"/>
    <x v="6"/>
    <x v="0"/>
    <x v="0"/>
    <x v="19"/>
    <n v="52"/>
    <x v="3"/>
    <x v="1"/>
    <x v="2361"/>
    <x v="2361"/>
    <x v="2"/>
    <x v="2370"/>
    <n v="2849367"/>
    <x v="18"/>
    <n v="0"/>
  </r>
  <r>
    <x v="2372"/>
    <x v="3"/>
    <x v="17"/>
    <x v="17"/>
    <x v="17"/>
    <n v="33"/>
    <x v="1"/>
    <x v="0"/>
    <x v="2362"/>
    <x v="2362"/>
    <x v="0"/>
    <x v="2371"/>
    <n v="2699412"/>
    <x v="10"/>
    <n v="0"/>
  </r>
  <r>
    <x v="2373"/>
    <x v="6"/>
    <x v="1"/>
    <x v="1"/>
    <x v="28"/>
    <n v="21"/>
    <x v="3"/>
    <x v="0"/>
    <x v="2363"/>
    <x v="2363"/>
    <x v="1"/>
    <x v="2372"/>
    <n v="9524286"/>
    <x v="21"/>
    <n v="0"/>
  </r>
  <r>
    <x v="2374"/>
    <x v="1"/>
    <x v="6"/>
    <x v="6"/>
    <x v="47"/>
    <n v="17"/>
    <x v="0"/>
    <x v="1"/>
    <x v="2364"/>
    <x v="2364"/>
    <x v="2"/>
    <x v="2373"/>
    <n v="763054"/>
    <x v="25"/>
    <n v="0"/>
  </r>
  <r>
    <x v="2375"/>
    <x v="4"/>
    <x v="18"/>
    <x v="18"/>
    <x v="18"/>
    <n v="58"/>
    <x v="1"/>
    <x v="1"/>
    <x v="2365"/>
    <x v="2365"/>
    <x v="2"/>
    <x v="2374"/>
    <n v="1824922"/>
    <x v="22"/>
    <n v="0"/>
  </r>
  <r>
    <x v="2376"/>
    <x v="2"/>
    <x v="19"/>
    <x v="19"/>
    <x v="30"/>
    <n v="14"/>
    <x v="0"/>
    <x v="1"/>
    <x v="2366"/>
    <x v="2366"/>
    <x v="2"/>
    <x v="2375"/>
    <n v="5918158"/>
    <x v="6"/>
    <n v="0"/>
  </r>
  <r>
    <x v="2377"/>
    <x v="4"/>
    <x v="16"/>
    <x v="16"/>
    <x v="13"/>
    <n v="20"/>
    <x v="2"/>
    <x v="1"/>
    <x v="2367"/>
    <x v="2367"/>
    <x v="0"/>
    <x v="2376"/>
    <n v="7509431"/>
    <x v="22"/>
    <n v="0"/>
  </r>
  <r>
    <x v="2378"/>
    <x v="1"/>
    <x v="14"/>
    <x v="14"/>
    <x v="46"/>
    <n v="27"/>
    <x v="1"/>
    <x v="0"/>
    <x v="2368"/>
    <x v="2368"/>
    <x v="0"/>
    <x v="2377"/>
    <n v="5609965"/>
    <x v="11"/>
    <n v="0"/>
  </r>
  <r>
    <x v="2379"/>
    <x v="4"/>
    <x v="17"/>
    <x v="17"/>
    <x v="3"/>
    <n v="41"/>
    <x v="2"/>
    <x v="1"/>
    <x v="2369"/>
    <x v="2369"/>
    <x v="0"/>
    <x v="2378"/>
    <n v="3873108"/>
    <x v="7"/>
    <n v="0"/>
  </r>
  <r>
    <x v="2380"/>
    <x v="0"/>
    <x v="15"/>
    <x v="15"/>
    <x v="33"/>
    <n v="37"/>
    <x v="1"/>
    <x v="1"/>
    <x v="2370"/>
    <x v="2370"/>
    <x v="2"/>
    <x v="2379"/>
    <n v="9790773"/>
    <x v="23"/>
    <n v="0"/>
  </r>
  <r>
    <x v="2381"/>
    <x v="4"/>
    <x v="16"/>
    <x v="16"/>
    <x v="44"/>
    <n v="16"/>
    <x v="0"/>
    <x v="0"/>
    <x v="2371"/>
    <x v="2371"/>
    <x v="1"/>
    <x v="2380"/>
    <n v="7186601"/>
    <x v="22"/>
    <n v="0"/>
  </r>
  <r>
    <x v="2382"/>
    <x v="1"/>
    <x v="23"/>
    <x v="23"/>
    <x v="5"/>
    <n v="24"/>
    <x v="3"/>
    <x v="0"/>
    <x v="2372"/>
    <x v="2372"/>
    <x v="2"/>
    <x v="2381"/>
    <n v="8398213"/>
    <x v="25"/>
    <n v="0"/>
  </r>
  <r>
    <x v="2383"/>
    <x v="5"/>
    <x v="1"/>
    <x v="1"/>
    <x v="27"/>
    <n v="22"/>
    <x v="0"/>
    <x v="1"/>
    <x v="2373"/>
    <x v="2373"/>
    <x v="1"/>
    <x v="2382"/>
    <n v="882345"/>
    <x v="16"/>
    <n v="0"/>
  </r>
  <r>
    <x v="2384"/>
    <x v="0"/>
    <x v="3"/>
    <x v="3"/>
    <x v="28"/>
    <n v="21"/>
    <x v="0"/>
    <x v="0"/>
    <x v="2374"/>
    <x v="2374"/>
    <x v="2"/>
    <x v="2383"/>
    <n v="2741241"/>
    <x v="23"/>
    <n v="0"/>
  </r>
  <r>
    <x v="2385"/>
    <x v="4"/>
    <x v="16"/>
    <x v="16"/>
    <x v="40"/>
    <n v="31"/>
    <x v="0"/>
    <x v="1"/>
    <x v="2375"/>
    <x v="2375"/>
    <x v="1"/>
    <x v="2384"/>
    <n v="4054625"/>
    <x v="19"/>
    <n v="0"/>
  </r>
  <r>
    <x v="2386"/>
    <x v="3"/>
    <x v="9"/>
    <x v="9"/>
    <x v="2"/>
    <n v="45"/>
    <x v="1"/>
    <x v="1"/>
    <x v="2376"/>
    <x v="2376"/>
    <x v="2"/>
    <x v="2385"/>
    <n v="2234713"/>
    <x v="4"/>
    <n v="0"/>
  </r>
  <r>
    <x v="2387"/>
    <x v="3"/>
    <x v="4"/>
    <x v="4"/>
    <x v="28"/>
    <n v="21"/>
    <x v="3"/>
    <x v="0"/>
    <x v="2377"/>
    <x v="2377"/>
    <x v="2"/>
    <x v="2386"/>
    <n v="1192543"/>
    <x v="27"/>
    <n v="0"/>
  </r>
  <r>
    <x v="2388"/>
    <x v="4"/>
    <x v="5"/>
    <x v="5"/>
    <x v="36"/>
    <n v="28"/>
    <x v="2"/>
    <x v="0"/>
    <x v="2378"/>
    <x v="2378"/>
    <x v="1"/>
    <x v="2387"/>
    <n v="2638371"/>
    <x v="17"/>
    <n v="0"/>
  </r>
  <r>
    <x v="2389"/>
    <x v="5"/>
    <x v="21"/>
    <x v="21"/>
    <x v="15"/>
    <n v="30"/>
    <x v="0"/>
    <x v="1"/>
    <x v="2379"/>
    <x v="2379"/>
    <x v="1"/>
    <x v="2388"/>
    <n v="5569538"/>
    <x v="16"/>
    <n v="0"/>
  </r>
  <r>
    <x v="2390"/>
    <x v="2"/>
    <x v="3"/>
    <x v="3"/>
    <x v="21"/>
    <n v="59"/>
    <x v="1"/>
    <x v="0"/>
    <x v="2380"/>
    <x v="2380"/>
    <x v="1"/>
    <x v="2389"/>
    <n v="710958"/>
    <x v="5"/>
    <n v="0"/>
  </r>
  <r>
    <x v="2391"/>
    <x v="1"/>
    <x v="13"/>
    <x v="13"/>
    <x v="18"/>
    <n v="58"/>
    <x v="2"/>
    <x v="1"/>
    <x v="2381"/>
    <x v="2381"/>
    <x v="1"/>
    <x v="2390"/>
    <n v="7853199"/>
    <x v="11"/>
    <n v="0"/>
  </r>
  <r>
    <x v="2392"/>
    <x v="3"/>
    <x v="10"/>
    <x v="10"/>
    <x v="31"/>
    <n v="50"/>
    <x v="0"/>
    <x v="1"/>
    <x v="2382"/>
    <x v="2382"/>
    <x v="1"/>
    <x v="2391"/>
    <n v="907893"/>
    <x v="8"/>
    <n v="0"/>
  </r>
  <r>
    <x v="2393"/>
    <x v="2"/>
    <x v="8"/>
    <x v="8"/>
    <x v="27"/>
    <n v="22"/>
    <x v="2"/>
    <x v="1"/>
    <x v="2383"/>
    <x v="2383"/>
    <x v="1"/>
    <x v="2392"/>
    <n v="4565869"/>
    <x v="5"/>
    <n v="0"/>
  </r>
  <r>
    <x v="2394"/>
    <x v="4"/>
    <x v="20"/>
    <x v="20"/>
    <x v="29"/>
    <n v="13"/>
    <x v="0"/>
    <x v="0"/>
    <x v="2384"/>
    <x v="2384"/>
    <x v="1"/>
    <x v="2393"/>
    <n v="166101"/>
    <x v="19"/>
    <n v="0"/>
  </r>
  <r>
    <x v="2395"/>
    <x v="2"/>
    <x v="1"/>
    <x v="1"/>
    <x v="4"/>
    <n v="26"/>
    <x v="2"/>
    <x v="1"/>
    <x v="2385"/>
    <x v="2385"/>
    <x v="1"/>
    <x v="2394"/>
    <n v="4596404"/>
    <x v="5"/>
    <n v="0"/>
  </r>
  <r>
    <x v="2396"/>
    <x v="0"/>
    <x v="19"/>
    <x v="19"/>
    <x v="0"/>
    <n v="23"/>
    <x v="2"/>
    <x v="1"/>
    <x v="2386"/>
    <x v="2386"/>
    <x v="2"/>
    <x v="2395"/>
    <n v="4622771"/>
    <x v="3"/>
    <n v="0"/>
  </r>
  <r>
    <x v="2397"/>
    <x v="6"/>
    <x v="17"/>
    <x v="17"/>
    <x v="42"/>
    <n v="35"/>
    <x v="3"/>
    <x v="1"/>
    <x v="2387"/>
    <x v="2387"/>
    <x v="1"/>
    <x v="2396"/>
    <n v="5233011"/>
    <x v="26"/>
    <n v="0"/>
  </r>
  <r>
    <x v="2398"/>
    <x v="3"/>
    <x v="11"/>
    <x v="11"/>
    <x v="39"/>
    <n v="49"/>
    <x v="3"/>
    <x v="0"/>
    <x v="2388"/>
    <x v="2388"/>
    <x v="1"/>
    <x v="2397"/>
    <n v="8981891"/>
    <x v="27"/>
    <n v="0"/>
  </r>
  <r>
    <x v="2399"/>
    <x v="4"/>
    <x v="2"/>
    <x v="2"/>
    <x v="7"/>
    <n v="53"/>
    <x v="0"/>
    <x v="1"/>
    <x v="2389"/>
    <x v="2389"/>
    <x v="2"/>
    <x v="2398"/>
    <n v="8148407"/>
    <x v="17"/>
    <n v="0"/>
  </r>
  <r>
    <x v="2400"/>
    <x v="1"/>
    <x v="8"/>
    <x v="8"/>
    <x v="19"/>
    <n v="52"/>
    <x v="1"/>
    <x v="1"/>
    <x v="2390"/>
    <x v="2390"/>
    <x v="2"/>
    <x v="2399"/>
    <n v="6548848"/>
    <x v="11"/>
    <n v="0"/>
  </r>
  <r>
    <x v="2401"/>
    <x v="5"/>
    <x v="13"/>
    <x v="13"/>
    <x v="36"/>
    <n v="28"/>
    <x v="3"/>
    <x v="1"/>
    <x v="2391"/>
    <x v="2391"/>
    <x v="0"/>
    <x v="2400"/>
    <n v="891137"/>
    <x v="15"/>
    <n v="0"/>
  </r>
  <r>
    <x v="2402"/>
    <x v="0"/>
    <x v="23"/>
    <x v="23"/>
    <x v="1"/>
    <n v="44"/>
    <x v="2"/>
    <x v="0"/>
    <x v="2392"/>
    <x v="2392"/>
    <x v="0"/>
    <x v="2401"/>
    <n v="6945452"/>
    <x v="0"/>
    <n v="0"/>
  </r>
  <r>
    <x v="2403"/>
    <x v="4"/>
    <x v="7"/>
    <x v="7"/>
    <x v="4"/>
    <n v="26"/>
    <x v="3"/>
    <x v="1"/>
    <x v="2393"/>
    <x v="2393"/>
    <x v="1"/>
    <x v="2402"/>
    <n v="8279122"/>
    <x v="17"/>
    <n v="0"/>
  </r>
  <r>
    <x v="2404"/>
    <x v="1"/>
    <x v="16"/>
    <x v="16"/>
    <x v="29"/>
    <n v="13"/>
    <x v="3"/>
    <x v="1"/>
    <x v="2394"/>
    <x v="2394"/>
    <x v="1"/>
    <x v="2403"/>
    <n v="5855894"/>
    <x v="1"/>
    <n v="0"/>
  </r>
  <r>
    <x v="2405"/>
    <x v="5"/>
    <x v="13"/>
    <x v="13"/>
    <x v="2"/>
    <n v="45"/>
    <x v="0"/>
    <x v="0"/>
    <x v="2395"/>
    <x v="2395"/>
    <x v="0"/>
    <x v="2404"/>
    <n v="5489573"/>
    <x v="15"/>
    <n v="0"/>
  </r>
  <r>
    <x v="2406"/>
    <x v="5"/>
    <x v="1"/>
    <x v="1"/>
    <x v="22"/>
    <n v="10"/>
    <x v="3"/>
    <x v="0"/>
    <x v="2396"/>
    <x v="2396"/>
    <x v="0"/>
    <x v="2405"/>
    <n v="7378924"/>
    <x v="20"/>
    <n v="0"/>
  </r>
  <r>
    <x v="2407"/>
    <x v="4"/>
    <x v="1"/>
    <x v="1"/>
    <x v="15"/>
    <n v="30"/>
    <x v="3"/>
    <x v="1"/>
    <x v="2397"/>
    <x v="2397"/>
    <x v="1"/>
    <x v="2406"/>
    <n v="687048"/>
    <x v="22"/>
    <n v="0"/>
  </r>
  <r>
    <x v="2408"/>
    <x v="0"/>
    <x v="7"/>
    <x v="7"/>
    <x v="4"/>
    <n v="26"/>
    <x v="2"/>
    <x v="1"/>
    <x v="2398"/>
    <x v="2398"/>
    <x v="0"/>
    <x v="2407"/>
    <n v="7058587"/>
    <x v="9"/>
    <n v="0"/>
  </r>
  <r>
    <x v="2409"/>
    <x v="2"/>
    <x v="5"/>
    <x v="5"/>
    <x v="2"/>
    <n v="45"/>
    <x v="3"/>
    <x v="1"/>
    <x v="2399"/>
    <x v="2399"/>
    <x v="1"/>
    <x v="2408"/>
    <n v="9377923"/>
    <x v="2"/>
    <n v="0"/>
  </r>
  <r>
    <x v="2410"/>
    <x v="2"/>
    <x v="16"/>
    <x v="16"/>
    <x v="43"/>
    <n v="48"/>
    <x v="2"/>
    <x v="0"/>
    <x v="2400"/>
    <x v="2400"/>
    <x v="2"/>
    <x v="2409"/>
    <n v="728245"/>
    <x v="2"/>
    <n v="0"/>
  </r>
  <r>
    <x v="2411"/>
    <x v="5"/>
    <x v="17"/>
    <x v="17"/>
    <x v="41"/>
    <n v="25"/>
    <x v="3"/>
    <x v="0"/>
    <x v="2401"/>
    <x v="2401"/>
    <x v="2"/>
    <x v="2410"/>
    <n v="84954"/>
    <x v="15"/>
    <n v="0"/>
  </r>
  <r>
    <x v="2412"/>
    <x v="2"/>
    <x v="18"/>
    <x v="18"/>
    <x v="32"/>
    <n v="51"/>
    <x v="3"/>
    <x v="1"/>
    <x v="2402"/>
    <x v="2402"/>
    <x v="0"/>
    <x v="2411"/>
    <n v="4089914"/>
    <x v="13"/>
    <n v="0"/>
  </r>
  <r>
    <x v="2413"/>
    <x v="6"/>
    <x v="0"/>
    <x v="0"/>
    <x v="41"/>
    <n v="25"/>
    <x v="1"/>
    <x v="0"/>
    <x v="2403"/>
    <x v="2403"/>
    <x v="2"/>
    <x v="2412"/>
    <n v="8191022"/>
    <x v="21"/>
    <n v="0"/>
  </r>
  <r>
    <x v="2414"/>
    <x v="5"/>
    <x v="3"/>
    <x v="3"/>
    <x v="23"/>
    <n v="32"/>
    <x v="3"/>
    <x v="1"/>
    <x v="2404"/>
    <x v="2404"/>
    <x v="2"/>
    <x v="2413"/>
    <n v="9606781"/>
    <x v="16"/>
    <n v="0"/>
  </r>
  <r>
    <x v="2415"/>
    <x v="5"/>
    <x v="6"/>
    <x v="6"/>
    <x v="25"/>
    <n v="46"/>
    <x v="2"/>
    <x v="1"/>
    <x v="2405"/>
    <x v="2405"/>
    <x v="2"/>
    <x v="2414"/>
    <n v="4016552"/>
    <x v="15"/>
    <n v="0"/>
  </r>
  <r>
    <x v="2416"/>
    <x v="1"/>
    <x v="9"/>
    <x v="9"/>
    <x v="2"/>
    <n v="45"/>
    <x v="2"/>
    <x v="0"/>
    <x v="2406"/>
    <x v="2406"/>
    <x v="2"/>
    <x v="2415"/>
    <n v="8491344"/>
    <x v="1"/>
    <n v="0"/>
  </r>
  <r>
    <x v="2417"/>
    <x v="2"/>
    <x v="19"/>
    <x v="19"/>
    <x v="21"/>
    <n v="59"/>
    <x v="0"/>
    <x v="1"/>
    <x v="2407"/>
    <x v="2407"/>
    <x v="1"/>
    <x v="2416"/>
    <n v="8706194"/>
    <x v="6"/>
    <n v="0"/>
  </r>
  <r>
    <x v="2418"/>
    <x v="0"/>
    <x v="3"/>
    <x v="3"/>
    <x v="28"/>
    <n v="21"/>
    <x v="0"/>
    <x v="0"/>
    <x v="2408"/>
    <x v="2408"/>
    <x v="1"/>
    <x v="2417"/>
    <n v="1671221"/>
    <x v="0"/>
    <n v="0"/>
  </r>
  <r>
    <x v="2419"/>
    <x v="5"/>
    <x v="0"/>
    <x v="0"/>
    <x v="38"/>
    <n v="43"/>
    <x v="1"/>
    <x v="0"/>
    <x v="2409"/>
    <x v="2409"/>
    <x v="0"/>
    <x v="2418"/>
    <n v="853499"/>
    <x v="15"/>
    <n v="0"/>
  </r>
  <r>
    <x v="2420"/>
    <x v="0"/>
    <x v="14"/>
    <x v="14"/>
    <x v="6"/>
    <n v="40"/>
    <x v="2"/>
    <x v="1"/>
    <x v="2410"/>
    <x v="2410"/>
    <x v="2"/>
    <x v="2419"/>
    <n v="3580374"/>
    <x v="0"/>
    <n v="0"/>
  </r>
  <r>
    <x v="2421"/>
    <x v="6"/>
    <x v="18"/>
    <x v="18"/>
    <x v="24"/>
    <n v="56"/>
    <x v="2"/>
    <x v="0"/>
    <x v="2411"/>
    <x v="2411"/>
    <x v="2"/>
    <x v="2420"/>
    <n v="6135758"/>
    <x v="21"/>
    <n v="0"/>
  </r>
  <r>
    <x v="2422"/>
    <x v="1"/>
    <x v="19"/>
    <x v="19"/>
    <x v="10"/>
    <n v="18"/>
    <x v="2"/>
    <x v="1"/>
    <x v="2412"/>
    <x v="2412"/>
    <x v="2"/>
    <x v="2421"/>
    <n v="562014"/>
    <x v="14"/>
    <n v="0"/>
  </r>
  <r>
    <x v="2423"/>
    <x v="4"/>
    <x v="2"/>
    <x v="2"/>
    <x v="43"/>
    <n v="48"/>
    <x v="1"/>
    <x v="0"/>
    <x v="2413"/>
    <x v="2413"/>
    <x v="0"/>
    <x v="2422"/>
    <n v="6799012"/>
    <x v="17"/>
    <n v="0"/>
  </r>
  <r>
    <x v="2424"/>
    <x v="0"/>
    <x v="19"/>
    <x v="19"/>
    <x v="45"/>
    <n v="38"/>
    <x v="2"/>
    <x v="1"/>
    <x v="2414"/>
    <x v="2414"/>
    <x v="1"/>
    <x v="2423"/>
    <n v="7534414"/>
    <x v="9"/>
    <n v="0"/>
  </r>
  <r>
    <x v="2425"/>
    <x v="5"/>
    <x v="20"/>
    <x v="20"/>
    <x v="5"/>
    <n v="24"/>
    <x v="0"/>
    <x v="1"/>
    <x v="2415"/>
    <x v="2415"/>
    <x v="2"/>
    <x v="2424"/>
    <n v="468837"/>
    <x v="16"/>
    <n v="0"/>
  </r>
  <r>
    <x v="2426"/>
    <x v="6"/>
    <x v="8"/>
    <x v="8"/>
    <x v="48"/>
    <n v="34"/>
    <x v="1"/>
    <x v="1"/>
    <x v="2416"/>
    <x v="2416"/>
    <x v="1"/>
    <x v="2425"/>
    <n v="8938953"/>
    <x v="26"/>
    <n v="0"/>
  </r>
  <r>
    <x v="2427"/>
    <x v="3"/>
    <x v="18"/>
    <x v="18"/>
    <x v="46"/>
    <n v="27"/>
    <x v="0"/>
    <x v="0"/>
    <x v="2417"/>
    <x v="2417"/>
    <x v="0"/>
    <x v="2426"/>
    <n v="8190235"/>
    <x v="8"/>
    <n v="0"/>
  </r>
  <r>
    <x v="2428"/>
    <x v="6"/>
    <x v="7"/>
    <x v="7"/>
    <x v="14"/>
    <n v="39"/>
    <x v="0"/>
    <x v="1"/>
    <x v="2418"/>
    <x v="2418"/>
    <x v="1"/>
    <x v="2427"/>
    <n v="796150"/>
    <x v="21"/>
    <n v="0"/>
  </r>
  <r>
    <x v="2429"/>
    <x v="6"/>
    <x v="16"/>
    <x v="16"/>
    <x v="12"/>
    <n v="54"/>
    <x v="1"/>
    <x v="0"/>
    <x v="2419"/>
    <x v="2419"/>
    <x v="2"/>
    <x v="2428"/>
    <n v="4853345"/>
    <x v="21"/>
    <n v="0"/>
  </r>
  <r>
    <x v="2430"/>
    <x v="1"/>
    <x v="22"/>
    <x v="22"/>
    <x v="45"/>
    <n v="38"/>
    <x v="3"/>
    <x v="0"/>
    <x v="2420"/>
    <x v="2420"/>
    <x v="1"/>
    <x v="2429"/>
    <n v="856942"/>
    <x v="25"/>
    <n v="0"/>
  </r>
  <r>
    <x v="2431"/>
    <x v="4"/>
    <x v="1"/>
    <x v="1"/>
    <x v="26"/>
    <n v="42"/>
    <x v="3"/>
    <x v="0"/>
    <x v="2421"/>
    <x v="2421"/>
    <x v="1"/>
    <x v="2430"/>
    <n v="5176436"/>
    <x v="7"/>
    <n v="0"/>
  </r>
  <r>
    <x v="2432"/>
    <x v="3"/>
    <x v="20"/>
    <x v="20"/>
    <x v="34"/>
    <n v="36"/>
    <x v="0"/>
    <x v="0"/>
    <x v="2422"/>
    <x v="2422"/>
    <x v="0"/>
    <x v="2431"/>
    <n v="9035233"/>
    <x v="4"/>
    <n v="0"/>
  </r>
  <r>
    <x v="2433"/>
    <x v="2"/>
    <x v="19"/>
    <x v="19"/>
    <x v="29"/>
    <n v="13"/>
    <x v="3"/>
    <x v="0"/>
    <x v="2423"/>
    <x v="2423"/>
    <x v="0"/>
    <x v="2432"/>
    <n v="2309276"/>
    <x v="13"/>
    <n v="0"/>
  </r>
  <r>
    <x v="2434"/>
    <x v="2"/>
    <x v="10"/>
    <x v="10"/>
    <x v="27"/>
    <n v="22"/>
    <x v="2"/>
    <x v="1"/>
    <x v="2424"/>
    <x v="2424"/>
    <x v="0"/>
    <x v="2433"/>
    <n v="9834628"/>
    <x v="5"/>
    <n v="0"/>
  </r>
  <r>
    <x v="2435"/>
    <x v="0"/>
    <x v="12"/>
    <x v="12"/>
    <x v="42"/>
    <n v="35"/>
    <x v="1"/>
    <x v="0"/>
    <x v="2425"/>
    <x v="2425"/>
    <x v="0"/>
    <x v="2434"/>
    <n v="8173061"/>
    <x v="3"/>
    <n v="0"/>
  </r>
  <r>
    <x v="2436"/>
    <x v="6"/>
    <x v="11"/>
    <x v="11"/>
    <x v="4"/>
    <n v="26"/>
    <x v="0"/>
    <x v="1"/>
    <x v="2426"/>
    <x v="2426"/>
    <x v="1"/>
    <x v="2435"/>
    <n v="7243383"/>
    <x v="18"/>
    <n v="0"/>
  </r>
  <r>
    <x v="2437"/>
    <x v="1"/>
    <x v="21"/>
    <x v="21"/>
    <x v="20"/>
    <n v="19"/>
    <x v="2"/>
    <x v="1"/>
    <x v="2427"/>
    <x v="2427"/>
    <x v="1"/>
    <x v="2436"/>
    <n v="693302"/>
    <x v="25"/>
    <n v="0"/>
  </r>
  <r>
    <x v="2438"/>
    <x v="1"/>
    <x v="18"/>
    <x v="18"/>
    <x v="42"/>
    <n v="35"/>
    <x v="3"/>
    <x v="0"/>
    <x v="2428"/>
    <x v="2428"/>
    <x v="0"/>
    <x v="2437"/>
    <n v="6076746"/>
    <x v="14"/>
    <n v="0"/>
  </r>
  <r>
    <x v="2439"/>
    <x v="2"/>
    <x v="15"/>
    <x v="15"/>
    <x v="4"/>
    <n v="26"/>
    <x v="2"/>
    <x v="1"/>
    <x v="2429"/>
    <x v="2429"/>
    <x v="0"/>
    <x v="2438"/>
    <n v="7346368"/>
    <x v="13"/>
    <n v="0"/>
  </r>
  <r>
    <x v="2440"/>
    <x v="0"/>
    <x v="5"/>
    <x v="5"/>
    <x v="0"/>
    <n v="23"/>
    <x v="3"/>
    <x v="1"/>
    <x v="2430"/>
    <x v="2430"/>
    <x v="2"/>
    <x v="2439"/>
    <n v="4508103"/>
    <x v="0"/>
    <n v="0"/>
  </r>
  <r>
    <x v="2441"/>
    <x v="0"/>
    <x v="20"/>
    <x v="20"/>
    <x v="17"/>
    <n v="33"/>
    <x v="0"/>
    <x v="0"/>
    <x v="2431"/>
    <x v="2431"/>
    <x v="2"/>
    <x v="2440"/>
    <n v="8530237"/>
    <x v="3"/>
    <n v="0"/>
  </r>
  <r>
    <x v="2442"/>
    <x v="0"/>
    <x v="11"/>
    <x v="11"/>
    <x v="47"/>
    <n v="17"/>
    <x v="2"/>
    <x v="1"/>
    <x v="2432"/>
    <x v="2432"/>
    <x v="0"/>
    <x v="2441"/>
    <n v="7115287"/>
    <x v="23"/>
    <n v="0"/>
  </r>
  <r>
    <x v="2443"/>
    <x v="3"/>
    <x v="12"/>
    <x v="12"/>
    <x v="24"/>
    <n v="56"/>
    <x v="1"/>
    <x v="0"/>
    <x v="2433"/>
    <x v="2433"/>
    <x v="1"/>
    <x v="2442"/>
    <n v="7826905"/>
    <x v="8"/>
    <n v="0"/>
  </r>
  <r>
    <x v="2444"/>
    <x v="4"/>
    <x v="13"/>
    <x v="13"/>
    <x v="7"/>
    <n v="53"/>
    <x v="0"/>
    <x v="0"/>
    <x v="2434"/>
    <x v="2434"/>
    <x v="0"/>
    <x v="2443"/>
    <n v="8028631"/>
    <x v="7"/>
    <n v="0"/>
  </r>
  <r>
    <x v="2445"/>
    <x v="3"/>
    <x v="2"/>
    <x v="2"/>
    <x v="2"/>
    <n v="45"/>
    <x v="2"/>
    <x v="0"/>
    <x v="2435"/>
    <x v="2435"/>
    <x v="1"/>
    <x v="2444"/>
    <n v="1374665"/>
    <x v="8"/>
    <n v="0"/>
  </r>
  <r>
    <x v="2446"/>
    <x v="5"/>
    <x v="13"/>
    <x v="13"/>
    <x v="9"/>
    <n v="15"/>
    <x v="2"/>
    <x v="1"/>
    <x v="2436"/>
    <x v="2436"/>
    <x v="1"/>
    <x v="2445"/>
    <n v="1028587"/>
    <x v="12"/>
    <n v="0"/>
  </r>
  <r>
    <x v="2447"/>
    <x v="5"/>
    <x v="1"/>
    <x v="1"/>
    <x v="39"/>
    <n v="49"/>
    <x v="3"/>
    <x v="1"/>
    <x v="2437"/>
    <x v="2437"/>
    <x v="2"/>
    <x v="2446"/>
    <n v="8109366"/>
    <x v="15"/>
    <n v="0"/>
  </r>
  <r>
    <x v="2448"/>
    <x v="4"/>
    <x v="20"/>
    <x v="20"/>
    <x v="31"/>
    <n v="50"/>
    <x v="0"/>
    <x v="1"/>
    <x v="2438"/>
    <x v="2438"/>
    <x v="0"/>
    <x v="2447"/>
    <n v="2964148"/>
    <x v="19"/>
    <n v="0"/>
  </r>
  <r>
    <x v="2449"/>
    <x v="2"/>
    <x v="8"/>
    <x v="8"/>
    <x v="43"/>
    <n v="48"/>
    <x v="0"/>
    <x v="1"/>
    <x v="2439"/>
    <x v="2439"/>
    <x v="0"/>
    <x v="2448"/>
    <n v="6028713"/>
    <x v="13"/>
    <n v="0"/>
  </r>
  <r>
    <x v="2450"/>
    <x v="4"/>
    <x v="5"/>
    <x v="5"/>
    <x v="44"/>
    <n v="16"/>
    <x v="0"/>
    <x v="0"/>
    <x v="2440"/>
    <x v="2440"/>
    <x v="1"/>
    <x v="2449"/>
    <n v="4715253"/>
    <x v="17"/>
    <n v="0"/>
  </r>
  <r>
    <x v="2451"/>
    <x v="1"/>
    <x v="8"/>
    <x v="8"/>
    <x v="26"/>
    <n v="42"/>
    <x v="0"/>
    <x v="0"/>
    <x v="2441"/>
    <x v="2441"/>
    <x v="0"/>
    <x v="2450"/>
    <n v="709372"/>
    <x v="11"/>
    <n v="0"/>
  </r>
  <r>
    <x v="2452"/>
    <x v="5"/>
    <x v="7"/>
    <x v="7"/>
    <x v="19"/>
    <n v="52"/>
    <x v="3"/>
    <x v="1"/>
    <x v="2442"/>
    <x v="2442"/>
    <x v="2"/>
    <x v="2451"/>
    <n v="882672"/>
    <x v="15"/>
    <n v="0"/>
  </r>
  <r>
    <x v="2453"/>
    <x v="6"/>
    <x v="4"/>
    <x v="4"/>
    <x v="14"/>
    <n v="39"/>
    <x v="1"/>
    <x v="0"/>
    <x v="2443"/>
    <x v="2443"/>
    <x v="2"/>
    <x v="2452"/>
    <n v="835769"/>
    <x v="21"/>
    <n v="0"/>
  </r>
  <r>
    <x v="2454"/>
    <x v="6"/>
    <x v="22"/>
    <x v="22"/>
    <x v="26"/>
    <n v="42"/>
    <x v="0"/>
    <x v="1"/>
    <x v="2444"/>
    <x v="2444"/>
    <x v="0"/>
    <x v="2453"/>
    <n v="6272937"/>
    <x v="24"/>
    <n v="0"/>
  </r>
  <r>
    <x v="2455"/>
    <x v="2"/>
    <x v="17"/>
    <x v="17"/>
    <x v="17"/>
    <n v="33"/>
    <x v="3"/>
    <x v="0"/>
    <x v="2445"/>
    <x v="2445"/>
    <x v="0"/>
    <x v="2454"/>
    <n v="5476509"/>
    <x v="5"/>
    <n v="0"/>
  </r>
  <r>
    <x v="2456"/>
    <x v="1"/>
    <x v="4"/>
    <x v="4"/>
    <x v="34"/>
    <n v="36"/>
    <x v="1"/>
    <x v="0"/>
    <x v="2446"/>
    <x v="2446"/>
    <x v="2"/>
    <x v="2455"/>
    <n v="9471345"/>
    <x v="1"/>
    <n v="0"/>
  </r>
  <r>
    <x v="2457"/>
    <x v="3"/>
    <x v="0"/>
    <x v="0"/>
    <x v="50"/>
    <n v="12"/>
    <x v="1"/>
    <x v="0"/>
    <x v="2447"/>
    <x v="2447"/>
    <x v="0"/>
    <x v="2456"/>
    <n v="2144593"/>
    <x v="8"/>
    <n v="0"/>
  </r>
  <r>
    <x v="2458"/>
    <x v="1"/>
    <x v="10"/>
    <x v="10"/>
    <x v="26"/>
    <n v="42"/>
    <x v="3"/>
    <x v="0"/>
    <x v="2448"/>
    <x v="2448"/>
    <x v="1"/>
    <x v="2457"/>
    <n v="2950723"/>
    <x v="1"/>
    <n v="0"/>
  </r>
  <r>
    <x v="2459"/>
    <x v="6"/>
    <x v="14"/>
    <x v="14"/>
    <x v="30"/>
    <n v="14"/>
    <x v="0"/>
    <x v="0"/>
    <x v="2449"/>
    <x v="2449"/>
    <x v="0"/>
    <x v="2458"/>
    <n v="7689021"/>
    <x v="21"/>
    <n v="0"/>
  </r>
  <r>
    <x v="2460"/>
    <x v="6"/>
    <x v="19"/>
    <x v="19"/>
    <x v="23"/>
    <n v="32"/>
    <x v="1"/>
    <x v="1"/>
    <x v="2450"/>
    <x v="2450"/>
    <x v="1"/>
    <x v="2459"/>
    <n v="7864735"/>
    <x v="24"/>
    <n v="0"/>
  </r>
  <r>
    <x v="2461"/>
    <x v="5"/>
    <x v="22"/>
    <x v="22"/>
    <x v="41"/>
    <n v="25"/>
    <x v="0"/>
    <x v="1"/>
    <x v="2451"/>
    <x v="2451"/>
    <x v="0"/>
    <x v="2460"/>
    <n v="4346523"/>
    <x v="16"/>
    <n v="0"/>
  </r>
  <r>
    <x v="2462"/>
    <x v="1"/>
    <x v="19"/>
    <x v="19"/>
    <x v="33"/>
    <n v="37"/>
    <x v="0"/>
    <x v="0"/>
    <x v="2452"/>
    <x v="2452"/>
    <x v="0"/>
    <x v="2461"/>
    <n v="9534295"/>
    <x v="11"/>
    <n v="0"/>
  </r>
  <r>
    <x v="2463"/>
    <x v="1"/>
    <x v="7"/>
    <x v="7"/>
    <x v="47"/>
    <n v="17"/>
    <x v="2"/>
    <x v="1"/>
    <x v="2453"/>
    <x v="2453"/>
    <x v="2"/>
    <x v="2462"/>
    <n v="9413418"/>
    <x v="25"/>
    <n v="0"/>
  </r>
  <r>
    <x v="2464"/>
    <x v="6"/>
    <x v="5"/>
    <x v="5"/>
    <x v="2"/>
    <n v="45"/>
    <x v="0"/>
    <x v="0"/>
    <x v="2454"/>
    <x v="2454"/>
    <x v="1"/>
    <x v="2463"/>
    <n v="617892"/>
    <x v="24"/>
    <n v="0"/>
  </r>
  <r>
    <x v="2465"/>
    <x v="3"/>
    <x v="22"/>
    <x v="22"/>
    <x v="31"/>
    <n v="50"/>
    <x v="2"/>
    <x v="0"/>
    <x v="2455"/>
    <x v="2455"/>
    <x v="2"/>
    <x v="2464"/>
    <n v="2137115"/>
    <x v="8"/>
    <n v="0"/>
  </r>
  <r>
    <x v="2466"/>
    <x v="2"/>
    <x v="0"/>
    <x v="0"/>
    <x v="10"/>
    <n v="18"/>
    <x v="1"/>
    <x v="0"/>
    <x v="2456"/>
    <x v="2456"/>
    <x v="0"/>
    <x v="2465"/>
    <n v="8292085"/>
    <x v="5"/>
    <n v="0"/>
  </r>
  <r>
    <x v="2467"/>
    <x v="0"/>
    <x v="0"/>
    <x v="0"/>
    <x v="9"/>
    <n v="15"/>
    <x v="3"/>
    <x v="0"/>
    <x v="2457"/>
    <x v="2457"/>
    <x v="2"/>
    <x v="2466"/>
    <n v="3684559"/>
    <x v="3"/>
    <n v="0"/>
  </r>
  <r>
    <x v="2468"/>
    <x v="2"/>
    <x v="3"/>
    <x v="3"/>
    <x v="47"/>
    <n v="17"/>
    <x v="2"/>
    <x v="1"/>
    <x v="2458"/>
    <x v="2458"/>
    <x v="0"/>
    <x v="2467"/>
    <n v="1406895"/>
    <x v="5"/>
    <n v="0"/>
  </r>
  <r>
    <x v="2469"/>
    <x v="1"/>
    <x v="11"/>
    <x v="11"/>
    <x v="12"/>
    <n v="54"/>
    <x v="3"/>
    <x v="0"/>
    <x v="2459"/>
    <x v="2459"/>
    <x v="0"/>
    <x v="2468"/>
    <n v="7957492"/>
    <x v="11"/>
    <n v="0"/>
  </r>
  <r>
    <x v="2470"/>
    <x v="2"/>
    <x v="23"/>
    <x v="23"/>
    <x v="34"/>
    <n v="36"/>
    <x v="1"/>
    <x v="1"/>
    <x v="2460"/>
    <x v="2460"/>
    <x v="0"/>
    <x v="2469"/>
    <n v="4818543"/>
    <x v="5"/>
    <n v="0"/>
  </r>
  <r>
    <x v="2471"/>
    <x v="6"/>
    <x v="4"/>
    <x v="4"/>
    <x v="17"/>
    <n v="33"/>
    <x v="0"/>
    <x v="0"/>
    <x v="2461"/>
    <x v="2461"/>
    <x v="1"/>
    <x v="2470"/>
    <n v="5177902"/>
    <x v="21"/>
    <n v="0"/>
  </r>
  <r>
    <x v="2472"/>
    <x v="6"/>
    <x v="10"/>
    <x v="10"/>
    <x v="9"/>
    <n v="15"/>
    <x v="1"/>
    <x v="0"/>
    <x v="2462"/>
    <x v="2462"/>
    <x v="1"/>
    <x v="2471"/>
    <n v="2270509"/>
    <x v="24"/>
    <n v="0"/>
  </r>
  <r>
    <x v="2473"/>
    <x v="1"/>
    <x v="23"/>
    <x v="23"/>
    <x v="26"/>
    <n v="42"/>
    <x v="3"/>
    <x v="1"/>
    <x v="2463"/>
    <x v="2463"/>
    <x v="1"/>
    <x v="2472"/>
    <n v="6778503"/>
    <x v="11"/>
    <n v="0"/>
  </r>
  <r>
    <x v="2474"/>
    <x v="1"/>
    <x v="16"/>
    <x v="16"/>
    <x v="7"/>
    <n v="53"/>
    <x v="1"/>
    <x v="0"/>
    <x v="2464"/>
    <x v="2464"/>
    <x v="2"/>
    <x v="2473"/>
    <n v="5736793"/>
    <x v="11"/>
    <n v="0"/>
  </r>
  <r>
    <x v="2475"/>
    <x v="0"/>
    <x v="10"/>
    <x v="10"/>
    <x v="32"/>
    <n v="51"/>
    <x v="0"/>
    <x v="0"/>
    <x v="2465"/>
    <x v="2465"/>
    <x v="0"/>
    <x v="2474"/>
    <n v="2463393"/>
    <x v="0"/>
    <n v="0"/>
  </r>
  <r>
    <x v="2476"/>
    <x v="0"/>
    <x v="8"/>
    <x v="8"/>
    <x v="3"/>
    <n v="41"/>
    <x v="1"/>
    <x v="1"/>
    <x v="2466"/>
    <x v="2466"/>
    <x v="2"/>
    <x v="2475"/>
    <n v="3733149"/>
    <x v="0"/>
    <n v="0"/>
  </r>
  <r>
    <x v="2477"/>
    <x v="5"/>
    <x v="4"/>
    <x v="4"/>
    <x v="30"/>
    <n v="14"/>
    <x v="0"/>
    <x v="1"/>
    <x v="2467"/>
    <x v="2467"/>
    <x v="2"/>
    <x v="2476"/>
    <n v="6170353"/>
    <x v="20"/>
    <n v="0"/>
  </r>
  <r>
    <x v="2478"/>
    <x v="1"/>
    <x v="14"/>
    <x v="14"/>
    <x v="44"/>
    <n v="16"/>
    <x v="2"/>
    <x v="1"/>
    <x v="2468"/>
    <x v="2468"/>
    <x v="0"/>
    <x v="2477"/>
    <n v="9286286"/>
    <x v="11"/>
    <n v="0"/>
  </r>
  <r>
    <x v="2479"/>
    <x v="3"/>
    <x v="20"/>
    <x v="20"/>
    <x v="50"/>
    <n v="12"/>
    <x v="3"/>
    <x v="0"/>
    <x v="2469"/>
    <x v="2469"/>
    <x v="2"/>
    <x v="2478"/>
    <n v="9243575"/>
    <x v="27"/>
    <n v="0"/>
  </r>
  <r>
    <x v="2480"/>
    <x v="2"/>
    <x v="9"/>
    <x v="9"/>
    <x v="0"/>
    <n v="23"/>
    <x v="0"/>
    <x v="0"/>
    <x v="2470"/>
    <x v="2470"/>
    <x v="0"/>
    <x v="2479"/>
    <n v="3235106"/>
    <x v="2"/>
    <n v="0"/>
  </r>
  <r>
    <x v="2481"/>
    <x v="1"/>
    <x v="13"/>
    <x v="13"/>
    <x v="47"/>
    <n v="17"/>
    <x v="0"/>
    <x v="1"/>
    <x v="2471"/>
    <x v="2471"/>
    <x v="0"/>
    <x v="2480"/>
    <n v="7488399"/>
    <x v="25"/>
    <n v="0"/>
  </r>
  <r>
    <x v="2482"/>
    <x v="4"/>
    <x v="11"/>
    <x v="11"/>
    <x v="0"/>
    <n v="23"/>
    <x v="1"/>
    <x v="1"/>
    <x v="2472"/>
    <x v="2472"/>
    <x v="0"/>
    <x v="2481"/>
    <n v="7867431"/>
    <x v="7"/>
    <n v="0"/>
  </r>
  <r>
    <x v="2483"/>
    <x v="5"/>
    <x v="12"/>
    <x v="12"/>
    <x v="35"/>
    <n v="29"/>
    <x v="2"/>
    <x v="0"/>
    <x v="2473"/>
    <x v="2473"/>
    <x v="0"/>
    <x v="2482"/>
    <n v="8183819"/>
    <x v="12"/>
    <n v="0"/>
  </r>
  <r>
    <x v="2484"/>
    <x v="4"/>
    <x v="14"/>
    <x v="14"/>
    <x v="8"/>
    <n v="57"/>
    <x v="0"/>
    <x v="0"/>
    <x v="2474"/>
    <x v="2474"/>
    <x v="2"/>
    <x v="2483"/>
    <n v="5922242"/>
    <x v="7"/>
    <n v="0"/>
  </r>
  <r>
    <x v="2485"/>
    <x v="6"/>
    <x v="5"/>
    <x v="5"/>
    <x v="3"/>
    <n v="41"/>
    <x v="2"/>
    <x v="1"/>
    <x v="2475"/>
    <x v="2475"/>
    <x v="2"/>
    <x v="2484"/>
    <n v="599826"/>
    <x v="24"/>
    <n v="0"/>
  </r>
  <r>
    <x v="2486"/>
    <x v="0"/>
    <x v="22"/>
    <x v="22"/>
    <x v="19"/>
    <n v="52"/>
    <x v="2"/>
    <x v="1"/>
    <x v="2476"/>
    <x v="2476"/>
    <x v="2"/>
    <x v="2485"/>
    <n v="7735925"/>
    <x v="9"/>
    <n v="0"/>
  </r>
  <r>
    <x v="2487"/>
    <x v="2"/>
    <x v="20"/>
    <x v="20"/>
    <x v="25"/>
    <n v="46"/>
    <x v="1"/>
    <x v="1"/>
    <x v="2477"/>
    <x v="2477"/>
    <x v="1"/>
    <x v="2486"/>
    <n v="1512676"/>
    <x v="13"/>
    <n v="0"/>
  </r>
  <r>
    <x v="2488"/>
    <x v="1"/>
    <x v="5"/>
    <x v="5"/>
    <x v="44"/>
    <n v="16"/>
    <x v="0"/>
    <x v="1"/>
    <x v="2478"/>
    <x v="2478"/>
    <x v="2"/>
    <x v="2487"/>
    <n v="1610278"/>
    <x v="11"/>
    <n v="0"/>
  </r>
  <r>
    <x v="2489"/>
    <x v="4"/>
    <x v="3"/>
    <x v="3"/>
    <x v="11"/>
    <n v="47"/>
    <x v="1"/>
    <x v="0"/>
    <x v="2479"/>
    <x v="2479"/>
    <x v="2"/>
    <x v="2488"/>
    <n v="6253436"/>
    <x v="22"/>
    <n v="0"/>
  </r>
  <r>
    <x v="2490"/>
    <x v="2"/>
    <x v="1"/>
    <x v="1"/>
    <x v="5"/>
    <n v="24"/>
    <x v="3"/>
    <x v="0"/>
    <x v="2480"/>
    <x v="2480"/>
    <x v="1"/>
    <x v="2489"/>
    <n v="9843445"/>
    <x v="6"/>
    <n v="0"/>
  </r>
  <r>
    <x v="2491"/>
    <x v="6"/>
    <x v="5"/>
    <x v="5"/>
    <x v="26"/>
    <n v="42"/>
    <x v="3"/>
    <x v="0"/>
    <x v="2481"/>
    <x v="2481"/>
    <x v="0"/>
    <x v="2490"/>
    <n v="2804125"/>
    <x v="24"/>
    <n v="0"/>
  </r>
  <r>
    <x v="2492"/>
    <x v="0"/>
    <x v="23"/>
    <x v="23"/>
    <x v="46"/>
    <n v="27"/>
    <x v="0"/>
    <x v="0"/>
    <x v="2482"/>
    <x v="2482"/>
    <x v="0"/>
    <x v="2491"/>
    <n v="6635203"/>
    <x v="0"/>
    <n v="0"/>
  </r>
  <r>
    <x v="2493"/>
    <x v="3"/>
    <x v="12"/>
    <x v="12"/>
    <x v="49"/>
    <n v="60"/>
    <x v="2"/>
    <x v="1"/>
    <x v="2483"/>
    <x v="2483"/>
    <x v="0"/>
    <x v="2492"/>
    <n v="338471"/>
    <x v="27"/>
    <n v="0"/>
  </r>
  <r>
    <x v="2494"/>
    <x v="5"/>
    <x v="10"/>
    <x v="10"/>
    <x v="0"/>
    <n v="23"/>
    <x v="0"/>
    <x v="0"/>
    <x v="2484"/>
    <x v="2484"/>
    <x v="1"/>
    <x v="2493"/>
    <n v="9037898"/>
    <x v="16"/>
    <n v="0"/>
  </r>
  <r>
    <x v="2495"/>
    <x v="2"/>
    <x v="6"/>
    <x v="6"/>
    <x v="5"/>
    <n v="24"/>
    <x v="0"/>
    <x v="1"/>
    <x v="2485"/>
    <x v="2485"/>
    <x v="2"/>
    <x v="2494"/>
    <n v="613841"/>
    <x v="6"/>
    <n v="0"/>
  </r>
  <r>
    <x v="2496"/>
    <x v="2"/>
    <x v="10"/>
    <x v="10"/>
    <x v="8"/>
    <n v="57"/>
    <x v="3"/>
    <x v="0"/>
    <x v="2486"/>
    <x v="2486"/>
    <x v="2"/>
    <x v="2495"/>
    <n v="2471035"/>
    <x v="13"/>
    <n v="0"/>
  </r>
  <r>
    <x v="2497"/>
    <x v="3"/>
    <x v="20"/>
    <x v="20"/>
    <x v="16"/>
    <n v="11"/>
    <x v="3"/>
    <x v="0"/>
    <x v="2487"/>
    <x v="2487"/>
    <x v="2"/>
    <x v="2496"/>
    <n v="2990245"/>
    <x v="10"/>
    <n v="0"/>
  </r>
  <r>
    <x v="2498"/>
    <x v="2"/>
    <x v="23"/>
    <x v="23"/>
    <x v="2"/>
    <n v="45"/>
    <x v="2"/>
    <x v="0"/>
    <x v="2488"/>
    <x v="2488"/>
    <x v="2"/>
    <x v="2497"/>
    <n v="4608567"/>
    <x v="6"/>
    <n v="0"/>
  </r>
  <r>
    <x v="2499"/>
    <x v="6"/>
    <x v="14"/>
    <x v="14"/>
    <x v="25"/>
    <n v="46"/>
    <x v="2"/>
    <x v="1"/>
    <x v="2489"/>
    <x v="2489"/>
    <x v="1"/>
    <x v="2498"/>
    <n v="1659414"/>
    <x v="2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D8B5B-DACD-4CBC-81F2-BE749921A417}" name="KPI´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4:D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Promedio de Price (USD)" fld="11" subtotal="average" baseField="0" baseItem="0" numFmtId="164"/>
  </dataFields>
  <formats count="1">
    <format dxfId="8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2726B-2990-49B1-82A2-2A933E845A4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Miles de Kilometros">
  <location ref="B80:C101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axis="axisRow"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89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C55EC-6696-4AC1-B246-97AA0226C88F}" name="Modelos+Vendid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2:F19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axis="axisRow" showAll="0" measureFilter="1" sortType="de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7">
    <i>
      <x v="19"/>
    </i>
    <i>
      <x v="15"/>
    </i>
    <i>
      <x v="25"/>
    </i>
    <i>
      <x v="24"/>
    </i>
    <i>
      <x v="3"/>
    </i>
    <i>
      <x v="18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BD738-ABEC-4D17-B152-AE49B454A460}" name="KPI'4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4:H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Mín. de Price (USD)" fld="11" subtotal="min" baseField="0" baseItem="0" numFmtId="164"/>
  </dataFields>
  <formats count="2">
    <format dxfId="91">
      <pivotArea outline="0" fieldPosition="0">
        <references count="1">
          <reference field="4294967294" count="1">
            <x v="0"/>
          </reference>
        </references>
      </pivotArea>
    </format>
    <format dxfId="9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A8D88-4C67-42A9-822D-BA4165F3943A}" name="KPI'7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4:L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Desvest de Price (USD)" fld="11" subtotal="stdDev" baseField="0" baseItem="0" numFmtId="3"/>
  </dataFields>
  <formats count="2">
    <format dxfId="93">
      <pivotArea outline="0" collapsedLevelsAreSubtotals="1" fieldPosition="0"/>
    </format>
    <format dxfId="9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42F5E-28D0-40F6-9F24-7C4D3CBB2051}" name="KPI'6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4:J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Var de Price (USD)" fld="11" subtotal="var" baseField="0" baseItem="0" numFmtId="3"/>
  </dataFields>
  <formats count="2">
    <format dxfId="95">
      <pivotArea outline="0" collapsedLevelsAreSubtotals="1" fieldPosition="0"/>
    </format>
    <format dxfId="9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7C883-712D-4F56-AE66-BEF00330A3EA}" name="VentasCilindrada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7:C33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9E4A7-5F58-4FBB-9EA6-824EBA5F0E64}" name="VentasPorMarca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arca">
  <location ref="B12:C20" firstHeaderRow="1" firstDataRow="1" firstDataCol="1"/>
  <pivotFields count="15">
    <pivotField dataField="1" showAll="0"/>
    <pivotField axis="axisRow" showAll="0" sortType="descending">
      <items count="8">
        <item x="6"/>
        <item x="0"/>
        <item x="5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/>
    <pivotField showAll="0"/>
  </pivotFields>
  <rowFields count="1">
    <field x="1"/>
  </rowFields>
  <rowItems count="8">
    <i>
      <x/>
    </i>
    <i>
      <x v="6"/>
    </i>
    <i>
      <x v="5"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9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73FEE-C5FC-49D4-9471-BCB4E096A786}" name="KPI'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F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Máx. de Price (USD)" fld="11" subtotal="max" baseField="0" baseItem="0" numFmtId="164"/>
  </dataFields>
  <formats count="2">
    <format dxfId="99">
      <pivotArea outline="0" fieldPosition="0">
        <references count="1">
          <reference field="4294967294" count="1">
            <x v="0"/>
          </reference>
        </references>
      </pivotArea>
    </format>
    <format dxfId="10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44EEF-01ED-44B7-983D-0CCC02253A6B}" name="PrecioVsAños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I62:J87" firstHeaderRow="1" firstDataRow="1" firstDataCol="1"/>
  <pivotFields count="15">
    <pivotField dataField="1" showAll="0"/>
    <pivotField showAll="0"/>
    <pivotField showAll="0"/>
    <pivotField axis="axisRow" showAll="0">
      <items count="25">
        <item x="18"/>
        <item x="10"/>
        <item x="23"/>
        <item x="21"/>
        <item x="19"/>
        <item x="14"/>
        <item x="11"/>
        <item x="17"/>
        <item x="22"/>
        <item x="4"/>
        <item x="9"/>
        <item x="3"/>
        <item x="15"/>
        <item x="2"/>
        <item x="12"/>
        <item x="16"/>
        <item x="0"/>
        <item x="7"/>
        <item x="1"/>
        <item x="5"/>
        <item x="6"/>
        <item x="20"/>
        <item x="13"/>
        <item x="8"/>
        <item t="default"/>
      </items>
    </pivotField>
    <pivotField showAll="0"/>
    <pivotField showAll="0"/>
    <pivotField showAll="0"/>
    <pivotField showAll="0"/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/>
    <pivotField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uenta de Car ID" fld="0" subtotal="count" baseField="3" baseItem="2"/>
  </dataFields>
  <formats count="1">
    <format dxfId="101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EDB01-2EA0-4917-8AE8-FF40B8183078}" name="VentasEstado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I43:J47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axis="axisRow"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102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4EE8E-F4B0-45D2-94FA-ED32FCC088CD}" name="VentasPrecio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62:C68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axis="axisRow"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103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FD899-DBBA-42D1-B096-4DF318EC89C3}" name="VentasCombustible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44:C49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104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5A4E2-5076-4AFC-8890-86D05368D782}" name="KPI'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B5" firstHeaderRow="1" firstDataRow="1" firstDataCol="0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/>
    <pivotField numFmtId="3" showAll="0"/>
    <pivotField showAll="0"/>
    <pivotField showAll="0"/>
    <pivotField showAll="0"/>
  </pivotFields>
  <rowItems count="1">
    <i/>
  </rowItems>
  <colItems count="1">
    <i/>
  </colItems>
  <dataFields count="1">
    <dataField name="Cuenta de Ca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566F7-ADAC-40AD-9638-169805563027}" name="TablaDiná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2:I19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axis="axisRow" showAll="0" measureFilter="1" sortType="a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7">
    <i>
      <x v="6"/>
    </i>
    <i>
      <x v="9"/>
    </i>
    <i>
      <x v="4"/>
    </i>
    <i>
      <x v="11"/>
    </i>
    <i>
      <x/>
    </i>
    <i>
      <x v="20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10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4B8CB-42F8-4E82-ABE4-A0BAD970764A}" name="VentasTransmision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I27:J30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axis="axisRow" showAll="0">
      <items count="3">
        <item x="1"/>
        <item x="0"/>
        <item t="default"/>
      </items>
    </pivotField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106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7A4A4-65E2-4ED4-844B-4D560111C38D}" name="VentasPrecio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79:C85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axis="axisRow"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75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DDD42-EB76-46DE-8FBF-5ED117739190}" name="VentasKilometraje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I44:J51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Row" numFmtId="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Car ID" fld="0" subtotal="count" baseField="0" baseItem="0"/>
  </dataFields>
  <formats count="2">
    <format dxfId="76">
      <pivotArea outline="0" collapsedLevelsAreSubtotals="1" fieldPosition="0"/>
    </format>
    <format dxfId="77">
      <pivotArea dataOnly="0" labelOnly="1" fieldPosition="0">
        <references count="1">
          <reference field="9" count="1"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C7F57-C432-41D2-A255-55FD823735CE}" name="KPI'5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:B7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Suma de Price (USD)" fld="11" baseField="0" baseItem="0" numFmtId="3"/>
  </dataFields>
  <formats count="1">
    <format dxfId="7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70FB6-5322-486A-9B85-A28ED48087AB}" name="VentasPorMarca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arcas">
  <location ref="B12:C20" firstHeaderRow="1" firstDataRow="1" firstDataCol="1"/>
  <pivotFields count="15">
    <pivotField dataField="1" showAll="0"/>
    <pivotField axis="axisRow" showAll="0" sortType="descending">
      <items count="8">
        <item x="6"/>
        <item x="0"/>
        <item x="5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/>
    <pivotField showAll="0"/>
  </pivotFields>
  <rowFields count="1">
    <field x="1"/>
  </rowFields>
  <rowItems count="8">
    <i>
      <x/>
    </i>
    <i>
      <x v="6"/>
    </i>
    <i>
      <x v="5"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79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E197D-A941-4FF7-A947-1105C02BE76C}" name="VentasEstado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I61:J65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axis="axisRow"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80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4542F-68C9-4044-889C-409AA958E61C}" name="KPI´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4:D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Promedio de Price (USD)" fld="11" subtotal="average" baseField="0" baseItem="0" numFmtId="3"/>
  </dataFields>
  <formats count="1">
    <format dxfId="8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6F672-7086-4C46-8409-C09C18F22BD8}" name="VentasCombustible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61:C66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82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809BB-E910-4A2F-AC49-71BE5E614E87}" name="VentasCilindrada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44:C50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8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C7B86-EB97-409D-8695-662E96F34514}" name="Modelos+Vendid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E12:F19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axis="axisRow" showAll="0" measureFilter="1" sortType="de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7">
    <i>
      <x v="19"/>
    </i>
    <i>
      <x v="15"/>
    </i>
    <i>
      <x v="25"/>
    </i>
    <i>
      <x v="24"/>
    </i>
    <i>
      <x v="3"/>
    </i>
    <i>
      <x v="18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84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A8D05-382E-4CEB-BC37-A42824670580}" name="VentasTransmision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I27:J30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axis="axisRow" showAll="0">
      <items count="3">
        <item x="1"/>
        <item x="0"/>
        <item t="default"/>
      </items>
    </pivotField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85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0D152-23F3-47C8-84B9-DC3798AC1D0F}" name="KPI'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B5" firstHeaderRow="1" firstDataRow="1" firstDataCol="0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/>
    <pivotField numFmtId="3" showAll="0"/>
    <pivotField showAll="0"/>
    <pivotField showAll="0"/>
    <pivotField showAll="0"/>
  </pivotFields>
  <rowItems count="1">
    <i/>
  </rowItems>
  <colItems count="1">
    <i/>
  </colItems>
  <dataFields count="1">
    <dataField name="Cuenta de Ca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133C0-B7DD-4890-8D9A-8C07F9525E3A}" name="TablaDiná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H12:I19" firstHeaderRow="1" firstDataRow="1" firstDataCol="1"/>
  <pivotFields count="15">
    <pivotField dataField="1" showAll="0"/>
    <pivotField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3" showAll="0"/>
    <pivotField showAll="0">
      <items count="4">
        <item x="2"/>
        <item x="0"/>
        <item x="1"/>
        <item t="default"/>
      </items>
    </pivotField>
    <pivotField numFmtId="3" showAll="0"/>
    <pivotField showAll="0"/>
    <pivotField axis="axisRow" showAll="0" measureFilter="1" sortType="a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7">
    <i>
      <x v="6"/>
    </i>
    <i>
      <x v="9"/>
    </i>
    <i>
      <x v="4"/>
    </i>
    <i>
      <x v="11"/>
    </i>
    <i>
      <x/>
    </i>
    <i>
      <x v="20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86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FE3C8E6-EA45-4CC1-B874-21F164EAC026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Car ID" tableColumnId="1"/>
      <queryTableField id="2" name="Brand" tableColumnId="2"/>
      <queryTableField id="15" dataBound="0" tableColumnId="15"/>
      <queryTableField id="3" name="Year" tableColumnId="3"/>
      <queryTableField id="13" dataBound="0" tableColumnId="14"/>
      <queryTableField id="4" name="Engine Size" tableColumnId="4"/>
      <queryTableField id="5" name="Fuel Type" tableColumnId="5"/>
      <queryTableField id="6" name="Transmission" tableColumnId="6"/>
      <queryTableField id="14" dataBound="0" tableColumnId="13"/>
      <queryTableField id="7" name="Mileage" tableColumnId="7"/>
      <queryTableField id="8" name="Condition" tableColumnId="8"/>
      <queryTableField id="12" dataBound="0" tableColumnId="12"/>
      <queryTableField id="9" name="Price" tableColumnId="9"/>
      <queryTableField id="10" name="Model" tableColumnId="10"/>
      <queryTableField id="11" dataBound="0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rand" xr10:uid="{B1BA5AD1-0B30-4999-8E14-3098FEEF68A4}" sourceName="Brand">
  <pivotTables>
    <pivotTable tabId="3" name="VentasPorMarca"/>
    <pivotTable tabId="3" name="Modelos+Vendid"/>
    <pivotTable tabId="3" name="TablaDinámica2"/>
    <pivotTable tabId="3" name="VentasCilindrada"/>
    <pivotTable tabId="3" name="VentasCombustible"/>
    <pivotTable tabId="3" name="VentasEstado"/>
    <pivotTable tabId="3" name="VentasPrecio"/>
    <pivotTable tabId="3" name="VentasTransmision"/>
    <pivotTable tabId="6" name="VentasPrecio"/>
    <pivotTable tabId="6" name="VentasEstado"/>
    <pivotTable tabId="6" name="VentasKilometraje"/>
    <pivotTable tabId="6" name="VentasTransmision"/>
    <pivotTable tabId="6" name="VentasCombustible"/>
    <pivotTable tabId="6" name="VentasCilindrada"/>
    <pivotTable tabId="6" name="TablaDinámica2"/>
    <pivotTable tabId="6" name="Modelos+Vendid"/>
    <pivotTable tabId="6" name="VentasPorMarca"/>
    <pivotTable tabId="3" name="TablaDinámica1"/>
  </pivotTables>
  <data>
    <tabular pivotCacheId="1753554055">
      <items count="7">
        <i x="2" s="1"/>
        <i x="1" s="1"/>
        <i x="3" s="1"/>
        <i x="4" s="1"/>
        <i x="5" s="1"/>
        <i x="0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ngine_Size__L" xr10:uid="{DE8BD791-5F9A-4083-8087-6781EC3E8D16}" sourceName="Engine Size (L)">
  <pivotTables>
    <pivotTable tabId="3" name="VentasPorMarca"/>
    <pivotTable tabId="3" name="Modelos+Vendid"/>
    <pivotTable tabId="3" name="TablaDinámica2"/>
    <pivotTable tabId="3" name="VentasCilindrada"/>
    <pivotTable tabId="3" name="VentasCombustible"/>
    <pivotTable tabId="3" name="VentasEstado"/>
    <pivotTable tabId="3" name="VentasPrecio"/>
    <pivotTable tabId="3" name="VentasTransmision"/>
    <pivotTable tabId="6" name="VentasPrecio"/>
    <pivotTable tabId="6" name="VentasEstado"/>
    <pivotTable tabId="6" name="VentasKilometraje"/>
    <pivotTable tabId="6" name="VentasTransmision"/>
    <pivotTable tabId="6" name="VentasCombustible"/>
    <pivotTable tabId="6" name="VentasCilindrada"/>
    <pivotTable tabId="6" name="TablaDinámica2"/>
    <pivotTable tabId="6" name="Modelos+Vendid"/>
    <pivotTable tabId="6" name="VentasPorMarca"/>
    <pivotTable tabId="3" name="TablaDinámica1"/>
  </pivotTables>
  <data>
    <tabular pivotCacheId="1753554055">
      <items count="7">
        <i x="1" s="1"/>
        <i x="2" s="1"/>
        <i x="3" s="1"/>
        <i x="4" s="1"/>
        <i x="5" s="1"/>
        <i x="0" nd="1"/>
        <i x="6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uel_Type" xr10:uid="{4C5FD639-0CA1-425B-8221-7048BAEC38C3}" sourceName="Fuel Type">
  <pivotTables>
    <pivotTable tabId="3" name="VentasPorMarca"/>
    <pivotTable tabId="3" name="Modelos+Vendid"/>
    <pivotTable tabId="3" name="TablaDinámica2"/>
    <pivotTable tabId="3" name="VentasCilindrada"/>
    <pivotTable tabId="3" name="VentasCombustible"/>
    <pivotTable tabId="3" name="VentasEstado"/>
    <pivotTable tabId="3" name="VentasPrecio"/>
    <pivotTable tabId="3" name="VentasTransmision"/>
    <pivotTable tabId="6" name="VentasPrecio"/>
    <pivotTable tabId="6" name="VentasEstado"/>
    <pivotTable tabId="6" name="VentasKilometraje"/>
    <pivotTable tabId="6" name="VentasTransmision"/>
    <pivotTable tabId="6" name="VentasCombustible"/>
    <pivotTable tabId="6" name="VentasCilindrada"/>
    <pivotTable tabId="6" name="TablaDinámica2"/>
    <pivotTable tabId="6" name="Modelos+Vendid"/>
    <pivotTable tabId="6" name="VentasPorMarca"/>
    <pivotTable tabId="3" name="TablaDinámica1"/>
  </pivotTables>
  <data>
    <tabular pivotCacheId="1753554055">
      <items count="4">
        <i x="2" s="1"/>
        <i x="1" s="1"/>
        <i x="3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ansmission" xr10:uid="{639FD5FD-8F05-41E9-9518-3E780BA84960}" sourceName="Transmission">
  <pivotTables>
    <pivotTable tabId="3" name="VentasPorMarca"/>
    <pivotTable tabId="3" name="Modelos+Vendid"/>
    <pivotTable tabId="3" name="TablaDinámica2"/>
    <pivotTable tabId="3" name="VentasCilindrada"/>
    <pivotTable tabId="3" name="VentasCombustible"/>
    <pivotTable tabId="3" name="VentasEstado"/>
    <pivotTable tabId="3" name="VentasPrecio"/>
    <pivotTable tabId="3" name="VentasTransmision"/>
    <pivotTable tabId="6" name="VentasPrecio"/>
    <pivotTable tabId="6" name="VentasEstado"/>
    <pivotTable tabId="6" name="VentasKilometraje"/>
    <pivotTable tabId="6" name="VentasTransmision"/>
    <pivotTable tabId="6" name="VentasCombustible"/>
    <pivotTable tabId="6" name="VentasCilindrada"/>
    <pivotTable tabId="6" name="TablaDinámica2"/>
    <pivotTable tabId="6" name="Modelos+Vendid"/>
    <pivotTable tabId="6" name="VentasPorMarca"/>
    <pivotTable tabId="3" name="TablaDinámica1"/>
  </pivotTables>
  <data>
    <tabular pivotCacheId="1753554055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dition" xr10:uid="{7C78DCB0-BF23-4CA5-9164-293D9B347A51}" sourceName="Condition">
  <pivotTables>
    <pivotTable tabId="3" name="VentasPorMarca"/>
    <pivotTable tabId="3" name="Modelos+Vendid"/>
    <pivotTable tabId="3" name="TablaDinámica2"/>
    <pivotTable tabId="3" name="VentasCilindrada"/>
    <pivotTable tabId="3" name="VentasCombustible"/>
    <pivotTable tabId="3" name="VentasEstado"/>
    <pivotTable tabId="3" name="VentasPrecio"/>
    <pivotTable tabId="3" name="VentasTransmision"/>
    <pivotTable tabId="6" name="VentasPrecio"/>
    <pivotTable tabId="6" name="VentasEstado"/>
    <pivotTable tabId="6" name="VentasKilometraje"/>
    <pivotTable tabId="6" name="VentasTransmision"/>
    <pivotTable tabId="6" name="VentasCombustible"/>
    <pivotTable tabId="6" name="VentasCilindrada"/>
    <pivotTable tabId="6" name="TablaDinámica2"/>
    <pivotTable tabId="6" name="Modelos+Vendid"/>
    <pivotTable tabId="6" name="VentasPorMarca"/>
    <pivotTable tabId="3" name="TablaDinámica1"/>
  </pivotTables>
  <data>
    <tabular pivotCacheId="1753554055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rand" xr10:uid="{72DBC84F-C28C-4F0A-9DDB-545C02587A1C}" cache="SegmentaciónDeDatos_Brand" caption="Brand" columnCount="3" rowHeight="241300"/>
  <slicer name="Engine Size (L)" xr10:uid="{EB4E9422-C1B7-4E95-A8C3-E146D6333C4C}" cache="SegmentaciónDeDatos_Engine_Size__L" caption="Engine Size (L)" columnCount="2" rowHeight="241300"/>
  <slicer name="Fuel Type" xr10:uid="{348C7DE0-3E49-4F05-AEE3-C00ED768A163}" cache="SegmentaciónDeDatos_Fuel_Type" caption="Fuel Type" columnCount="2" rowHeight="241300"/>
  <slicer name="Transmission 1" xr10:uid="{3464385E-E528-45E7-994E-D94838DB44F8}" cache="SegmentaciónDeDatos_Transmission" caption="Transmission" rowHeight="241300"/>
  <slicer name="Condition" xr10:uid="{1FB1E9C7-823B-4064-BCC6-77946AE82795}" cache="SegmentaciónDeDatos_Condition" caption="Condition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C2CCC9-435E-4889-BE1D-02707960E2A7}" name="car_price_prediction_" displayName="car_price_prediction_" ref="A1:O2501" tableType="queryTable" totalsRowShown="0">
  <autoFilter ref="A1:O2501" xr:uid="{D8C2CCC9-435E-4889-BE1D-02707960E2A7}"/>
  <tableColumns count="15">
    <tableColumn id="1" xr3:uid="{69389042-1929-4369-83C5-B60126F9C1F3}" uniqueName="1" name="Car ID" queryTableFieldId="1"/>
    <tableColumn id="2" xr3:uid="{53A99832-02BC-4B4C-875C-8C07DA2EB929}" uniqueName="2" name="Brand" queryTableFieldId="2" dataDxfId="171"/>
    <tableColumn id="15" xr3:uid="{5296DDC5-31CE-4556-9113-D17519001C90}" uniqueName="15" name="Year" queryTableFieldId="15" dataDxfId="170">
      <calculatedColumnFormula>car_price_prediction_[[#This Row],[Year2]]</calculatedColumnFormula>
    </tableColumn>
    <tableColumn id="3" xr3:uid="{AFE48B76-792A-4397-B027-2A39356A29ED}" uniqueName="3" name="Year2" queryTableFieldId="3"/>
    <tableColumn id="14" xr3:uid="{49A76757-3B57-46B6-8C5B-7A9AC59AC51B}" uniqueName="14" name="Engine Size (L)" queryTableFieldId="13" dataDxfId="169">
      <calculatedColumnFormula>car_price_prediction_[[#This Row],[Engine Size]]/10</calculatedColumnFormula>
    </tableColumn>
    <tableColumn id="4" xr3:uid="{07756671-82DC-41F8-A890-98FCED533323}" uniqueName="4" name="Engine Size" queryTableFieldId="4"/>
    <tableColumn id="5" xr3:uid="{946FD215-5EBE-45C9-89B5-6B4DAE7B536B}" uniqueName="5" name="Fuel Type" queryTableFieldId="5" dataDxfId="168"/>
    <tableColumn id="6" xr3:uid="{9E4C3591-38B8-4BDD-9C2B-B8F9FE4EC263}" uniqueName="6" name="Transmission" queryTableFieldId="6" dataDxfId="167"/>
    <tableColumn id="13" xr3:uid="{B14B6CCD-4AC9-451E-9A12-2F3FF993BB04}" uniqueName="13" name="Mileage (K)" queryTableFieldId="14" dataDxfId="166">
      <calculatedColumnFormula>car_price_prediction_[[#This Row],[Mileage]]/1000</calculatedColumnFormula>
    </tableColumn>
    <tableColumn id="7" xr3:uid="{B7D8C649-6D35-4117-BFAF-8316936F1722}" uniqueName="7" name="Mileage" queryTableFieldId="7" dataDxfId="165"/>
    <tableColumn id="8" xr3:uid="{60D60702-7ECB-4371-BDEE-34D620566D8D}" uniqueName="8" name="Condition" queryTableFieldId="8" dataDxfId="164"/>
    <tableColumn id="12" xr3:uid="{540B6598-0C78-4D52-8161-5C8A2C8F90E7}" uniqueName="12" name="Price (USD)" queryTableFieldId="12" dataDxfId="163">
      <calculatedColumnFormula>car_price_prediction_[[#This Row],[Price]]/100</calculatedColumnFormula>
    </tableColumn>
    <tableColumn id="9" xr3:uid="{A07CAC85-AC77-4571-8C88-4AF57105D5CB}" uniqueName="9" name="Price" queryTableFieldId="9"/>
    <tableColumn id="10" xr3:uid="{75C772B6-E75E-4C5F-A686-6407EA59A051}" uniqueName="10" name="Model" queryTableFieldId="10" dataDxfId="162"/>
    <tableColumn id="11" xr3:uid="{6EDF8E2A-B21E-4442-9923-5556E69414F6}" uniqueName="11" name="Duplicados" queryTableFieldId="11" dataDxfId="161">
      <calculatedColumnFormula>IF(IFERROR(VLOOKUP(car_price_prediction_[[#This Row],[Car ID]],A3:A2502,1,FALSE),0),1,0)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4.xml"/><Relationship Id="rId13" Type="http://schemas.openxmlformats.org/officeDocument/2006/relationships/drawing" Target="../drawings/drawing2.xml"/><Relationship Id="rId3" Type="http://schemas.openxmlformats.org/officeDocument/2006/relationships/pivotTable" Target="../pivotTables/pivotTable19.xml"/><Relationship Id="rId7" Type="http://schemas.openxmlformats.org/officeDocument/2006/relationships/pivotTable" Target="../pivotTables/pivotTable23.xml"/><Relationship Id="rId12" Type="http://schemas.openxmlformats.org/officeDocument/2006/relationships/pivotTable" Target="../pivotTables/pivotTable28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11" Type="http://schemas.openxmlformats.org/officeDocument/2006/relationships/pivotTable" Target="../pivotTables/pivotTable27.xml"/><Relationship Id="rId5" Type="http://schemas.openxmlformats.org/officeDocument/2006/relationships/pivotTable" Target="../pivotTables/pivotTable21.xml"/><Relationship Id="rId10" Type="http://schemas.openxmlformats.org/officeDocument/2006/relationships/pivotTable" Target="../pivotTables/pivotTable26.xml"/><Relationship Id="rId4" Type="http://schemas.openxmlformats.org/officeDocument/2006/relationships/pivotTable" Target="../pivotTables/pivotTable20.xml"/><Relationship Id="rId9" Type="http://schemas.openxmlformats.org/officeDocument/2006/relationships/pivotTable" Target="../pivotTables/pivotTable25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9"/>
  <sheetViews>
    <sheetView workbookViewId="0">
      <selection activeCell="B13" sqref="B13"/>
    </sheetView>
  </sheetViews>
  <sheetFormatPr baseColWidth="10" defaultColWidth="9.140625" defaultRowHeight="15" x14ac:dyDescent="0.25"/>
  <cols>
    <col min="2" max="2" width="15.5703125" customWidth="1"/>
    <col min="4" max="4" width="10.85546875" customWidth="1"/>
  </cols>
  <sheetData>
    <row r="3" spans="2:11" x14ac:dyDescent="0.25">
      <c r="B3" s="4" t="s">
        <v>55</v>
      </c>
      <c r="D3" s="4" t="s">
        <v>54</v>
      </c>
    </row>
    <row r="4" spans="2:11" x14ac:dyDescent="0.25">
      <c r="B4">
        <f>COUNT('car_price_prediction_'!A:A)</f>
        <v>2500</v>
      </c>
      <c r="D4">
        <f>SUM('car_price_prediction_'!N:N)</f>
        <v>0</v>
      </c>
    </row>
    <row r="7" spans="2:11" x14ac:dyDescent="0.25">
      <c r="B7" s="4" t="s">
        <v>56</v>
      </c>
    </row>
    <row r="8" spans="2:11" x14ac:dyDescent="0.25">
      <c r="B8" s="2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</row>
    <row r="9" spans="2:11" x14ac:dyDescent="0.25">
      <c r="B9">
        <f>COUNTBLANK(car_price_prediction_[Car ID])</f>
        <v>0</v>
      </c>
      <c r="C9">
        <f>COUNTBLANK(car_price_prediction_[Brand])</f>
        <v>0</v>
      </c>
      <c r="D9">
        <f>COUNTBLANK(car_price_prediction_[Year2])</f>
        <v>0</v>
      </c>
      <c r="E9">
        <f>COUNTBLANK(car_price_prediction_[Engine Size])</f>
        <v>0</v>
      </c>
      <c r="F9">
        <f>COUNTBLANK(car_price_prediction_[Fuel Type])</f>
        <v>0</v>
      </c>
      <c r="G9">
        <f>COUNTBLANK(car_price_prediction_[Transmission])</f>
        <v>0</v>
      </c>
      <c r="H9">
        <f>COUNTBLANK(car_price_prediction_[Mileage])</f>
        <v>0</v>
      </c>
      <c r="I9">
        <f>COUNTBLANK(car_price_prediction_[Condition])</f>
        <v>0</v>
      </c>
      <c r="J9">
        <f>COUNTBLANK(car_price_prediction_[Price])</f>
        <v>0</v>
      </c>
      <c r="K9">
        <f>COUNTBLANK(car_price_prediction_[Model])</f>
        <v>0</v>
      </c>
    </row>
  </sheetData>
  <conditionalFormatting sqref="B8">
    <cfRule type="duplicateValues" dxfId="3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3D8F-BFA0-4526-B647-52D102CBA8A0}">
  <dimension ref="A1:O2501"/>
  <sheetViews>
    <sheetView workbookViewId="0">
      <selection activeCell="J1" sqref="J1:J1048576"/>
    </sheetView>
  </sheetViews>
  <sheetFormatPr baseColWidth="10" defaultRowHeight="15" x14ac:dyDescent="0.25"/>
  <cols>
    <col min="1" max="1" width="8.42578125" bestFit="1" customWidth="1"/>
    <col min="2" max="2" width="15.28515625" customWidth="1"/>
    <col min="3" max="3" width="13.5703125" customWidth="1"/>
    <col min="4" max="4" width="18" hidden="1" customWidth="1"/>
    <col min="5" max="5" width="17.85546875" customWidth="1"/>
    <col min="6" max="6" width="5.5703125" hidden="1" customWidth="1"/>
    <col min="7" max="7" width="16.7109375" customWidth="1"/>
    <col min="8" max="8" width="20.85546875" customWidth="1"/>
    <col min="9" max="9" width="18" style="5" customWidth="1"/>
    <col min="10" max="10" width="18.28515625" hidden="1" customWidth="1"/>
    <col min="11" max="11" width="21" style="5" customWidth="1"/>
    <col min="12" max="12" width="17.28515625" customWidth="1"/>
    <col min="13" max="13" width="19.7109375" hidden="1" customWidth="1"/>
    <col min="14" max="14" width="13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93</v>
      </c>
      <c r="E1" t="s">
        <v>58</v>
      </c>
      <c r="F1" t="s">
        <v>3</v>
      </c>
      <c r="G1" t="s">
        <v>4</v>
      </c>
      <c r="H1" t="s">
        <v>5</v>
      </c>
      <c r="I1" t="s">
        <v>91</v>
      </c>
      <c r="J1" s="5" t="s">
        <v>6</v>
      </c>
      <c r="K1" t="s">
        <v>7</v>
      </c>
      <c r="L1" s="5" t="s">
        <v>57</v>
      </c>
      <c r="M1" t="s">
        <v>8</v>
      </c>
      <c r="N1" t="s">
        <v>9</v>
      </c>
      <c r="O1" t="s">
        <v>54</v>
      </c>
    </row>
    <row r="2" spans="1:15" x14ac:dyDescent="0.25">
      <c r="A2">
        <v>1</v>
      </c>
      <c r="B2" s="1" t="s">
        <v>10</v>
      </c>
      <c r="C2" s="1">
        <f>car_price_prediction_[[#This Row],[Year2]]</f>
        <v>2016</v>
      </c>
      <c r="D2">
        <v>2016</v>
      </c>
      <c r="E2">
        <f>car_price_prediction_[[#This Row],[Engine Size]]/10</f>
        <v>2.2999999999999998</v>
      </c>
      <c r="F2">
        <v>23</v>
      </c>
      <c r="G2" s="1" t="s">
        <v>11</v>
      </c>
      <c r="H2" s="1" t="s">
        <v>12</v>
      </c>
      <c r="I2" s="12">
        <f>car_price_prediction_[[#This Row],[Mileage]]/1000</f>
        <v>114.83199999999999</v>
      </c>
      <c r="J2" s="5">
        <v>114832</v>
      </c>
      <c r="K2" s="1" t="s">
        <v>13</v>
      </c>
      <c r="L2" s="5">
        <f>car_price_prediction_[[#This Row],[Price]]/100</f>
        <v>26613.919999999998</v>
      </c>
      <c r="M2">
        <v>2661392</v>
      </c>
      <c r="N2" s="1" t="s">
        <v>14</v>
      </c>
      <c r="O2" s="1">
        <f>IF(IFERROR(VLOOKUP(car_price_prediction_[[#This Row],[Car ID]],A3:A2502,1,FALSE),0),1,0)</f>
        <v>0</v>
      </c>
    </row>
    <row r="3" spans="1:15" x14ac:dyDescent="0.25">
      <c r="A3">
        <v>2</v>
      </c>
      <c r="B3" s="1" t="s">
        <v>15</v>
      </c>
      <c r="C3" s="1">
        <f>car_price_prediction_[[#This Row],[Year2]]</f>
        <v>2018</v>
      </c>
      <c r="D3">
        <v>2018</v>
      </c>
      <c r="E3">
        <f>car_price_prediction_[[#This Row],[Engine Size]]/10</f>
        <v>4.4000000000000004</v>
      </c>
      <c r="F3">
        <v>44</v>
      </c>
      <c r="G3" s="1" t="s">
        <v>16</v>
      </c>
      <c r="H3" s="1" t="s">
        <v>12</v>
      </c>
      <c r="I3" s="12">
        <f>car_price_prediction_[[#This Row],[Mileage]]/1000</f>
        <v>143.19</v>
      </c>
      <c r="J3" s="5">
        <v>143190</v>
      </c>
      <c r="K3" s="1" t="s">
        <v>17</v>
      </c>
      <c r="L3" s="5">
        <f>car_price_prediction_[[#This Row],[Price]]/100</f>
        <v>14679.61</v>
      </c>
      <c r="M3">
        <v>1467961</v>
      </c>
      <c r="N3" s="1" t="s">
        <v>18</v>
      </c>
      <c r="O3" s="1">
        <f>IF(IFERROR(VLOOKUP(car_price_prediction_[[#This Row],[Car ID]],A4:A2503,1,FALSE),0),1,0)</f>
        <v>0</v>
      </c>
    </row>
    <row r="4" spans="1:15" x14ac:dyDescent="0.25">
      <c r="A4">
        <v>3</v>
      </c>
      <c r="B4" s="1" t="s">
        <v>19</v>
      </c>
      <c r="C4" s="1">
        <f>car_price_prediction_[[#This Row],[Year2]]</f>
        <v>2013</v>
      </c>
      <c r="D4">
        <v>2013</v>
      </c>
      <c r="E4">
        <f>car_price_prediction_[[#This Row],[Engine Size]]/10</f>
        <v>4.5</v>
      </c>
      <c r="F4">
        <v>45</v>
      </c>
      <c r="G4" s="1" t="s">
        <v>16</v>
      </c>
      <c r="H4" s="1" t="s">
        <v>12</v>
      </c>
      <c r="I4" s="12">
        <f>car_price_prediction_[[#This Row],[Mileage]]/1000</f>
        <v>181.601</v>
      </c>
      <c r="J4" s="5">
        <v>181601</v>
      </c>
      <c r="K4" s="1" t="s">
        <v>13</v>
      </c>
      <c r="L4" s="5">
        <f>car_price_prediction_[[#This Row],[Price]]/100</f>
        <v>44402.61</v>
      </c>
      <c r="M4">
        <v>4440261</v>
      </c>
      <c r="N4" s="1" t="s">
        <v>20</v>
      </c>
      <c r="O4" s="1">
        <f>IF(IFERROR(VLOOKUP(car_price_prediction_[[#This Row],[Car ID]],A5:A2504,1,FALSE),0),1,0)</f>
        <v>0</v>
      </c>
    </row>
    <row r="5" spans="1:15" x14ac:dyDescent="0.25">
      <c r="A5">
        <v>4</v>
      </c>
      <c r="B5" s="1" t="s">
        <v>10</v>
      </c>
      <c r="C5" s="1">
        <f>car_price_prediction_[[#This Row],[Year2]]</f>
        <v>2011</v>
      </c>
      <c r="D5">
        <v>2011</v>
      </c>
      <c r="E5">
        <f>car_price_prediction_[[#This Row],[Engine Size]]/10</f>
        <v>4.0999999999999996</v>
      </c>
      <c r="F5">
        <v>41</v>
      </c>
      <c r="G5" s="1" t="s">
        <v>21</v>
      </c>
      <c r="H5" s="1" t="s">
        <v>22</v>
      </c>
      <c r="I5" s="12">
        <f>car_price_prediction_[[#This Row],[Mileage]]/1000</f>
        <v>68.682000000000002</v>
      </c>
      <c r="J5" s="5">
        <v>68682</v>
      </c>
      <c r="K5" s="1" t="s">
        <v>13</v>
      </c>
      <c r="L5" s="5">
        <f>car_price_prediction_[[#This Row],[Price]]/100</f>
        <v>86374.33</v>
      </c>
      <c r="M5">
        <v>8637433</v>
      </c>
      <c r="N5" s="1" t="s">
        <v>23</v>
      </c>
      <c r="O5" s="1">
        <f>IF(IFERROR(VLOOKUP(car_price_prediction_[[#This Row],[Car ID]],A6:A2505,1,FALSE),0),1,0)</f>
        <v>0</v>
      </c>
    </row>
    <row r="6" spans="1:15" x14ac:dyDescent="0.25">
      <c r="A6">
        <v>5</v>
      </c>
      <c r="B6" s="1" t="s">
        <v>24</v>
      </c>
      <c r="C6" s="1">
        <f>car_price_prediction_[[#This Row],[Year2]]</f>
        <v>2009</v>
      </c>
      <c r="D6">
        <v>2009</v>
      </c>
      <c r="E6">
        <f>car_price_prediction_[[#This Row],[Engine Size]]/10</f>
        <v>2.6</v>
      </c>
      <c r="F6">
        <v>26</v>
      </c>
      <c r="G6" s="1" t="s">
        <v>21</v>
      </c>
      <c r="H6" s="1" t="s">
        <v>12</v>
      </c>
      <c r="I6" s="12">
        <f>car_price_prediction_[[#This Row],[Mileage]]/1000</f>
        <v>223.00899999999999</v>
      </c>
      <c r="J6" s="5">
        <v>223009</v>
      </c>
      <c r="K6" s="1" t="s">
        <v>25</v>
      </c>
      <c r="L6" s="5">
        <f>car_price_prediction_[[#This Row],[Price]]/100</f>
        <v>7357.71</v>
      </c>
      <c r="M6">
        <v>735771</v>
      </c>
      <c r="N6" s="1" t="s">
        <v>26</v>
      </c>
      <c r="O6" s="1">
        <f>IF(IFERROR(VLOOKUP(car_price_prediction_[[#This Row],[Car ID]],A7:A2506,1,FALSE),0),1,0)</f>
        <v>0</v>
      </c>
    </row>
    <row r="7" spans="1:15" x14ac:dyDescent="0.25">
      <c r="A7">
        <v>6</v>
      </c>
      <c r="B7" s="1" t="s">
        <v>19</v>
      </c>
      <c r="C7" s="1">
        <f>car_price_prediction_[[#This Row],[Year2]]</f>
        <v>2019</v>
      </c>
      <c r="D7">
        <v>2019</v>
      </c>
      <c r="E7">
        <f>car_price_prediction_[[#This Row],[Engine Size]]/10</f>
        <v>2.4</v>
      </c>
      <c r="F7">
        <v>24</v>
      </c>
      <c r="G7" s="1" t="s">
        <v>21</v>
      </c>
      <c r="H7" s="1" t="s">
        <v>22</v>
      </c>
      <c r="I7" s="12">
        <f>car_price_prediction_[[#This Row],[Mileage]]/1000</f>
        <v>246.553</v>
      </c>
      <c r="J7" s="5">
        <v>246553</v>
      </c>
      <c r="K7" s="1" t="s">
        <v>25</v>
      </c>
      <c r="L7" s="5">
        <f>car_price_prediction_[[#This Row],[Price]]/100</f>
        <v>88969.76</v>
      </c>
      <c r="M7">
        <v>8896976</v>
      </c>
      <c r="N7" s="1" t="s">
        <v>27</v>
      </c>
      <c r="O7" s="1">
        <f>IF(IFERROR(VLOOKUP(car_price_prediction_[[#This Row],[Car ID]],A8:A2507,1,FALSE),0),1,0)</f>
        <v>0</v>
      </c>
    </row>
    <row r="8" spans="1:15" x14ac:dyDescent="0.25">
      <c r="A8">
        <v>7</v>
      </c>
      <c r="B8" s="1" t="s">
        <v>19</v>
      </c>
      <c r="C8" s="1">
        <f>car_price_prediction_[[#This Row],[Year2]]</f>
        <v>2020</v>
      </c>
      <c r="D8">
        <v>2020</v>
      </c>
      <c r="E8">
        <f>car_price_prediction_[[#This Row],[Engine Size]]/10</f>
        <v>4</v>
      </c>
      <c r="F8">
        <v>40</v>
      </c>
      <c r="G8" s="1" t="s">
        <v>16</v>
      </c>
      <c r="H8" s="1" t="s">
        <v>22</v>
      </c>
      <c r="I8" s="12">
        <f>car_price_prediction_[[#This Row],[Mileage]]/1000</f>
        <v>135.48599999999999</v>
      </c>
      <c r="J8" s="5">
        <v>135486</v>
      </c>
      <c r="K8" s="1" t="s">
        <v>17</v>
      </c>
      <c r="L8" s="5">
        <f>car_price_prediction_[[#This Row],[Price]]/100</f>
        <v>63498.75</v>
      </c>
      <c r="M8">
        <v>6349875</v>
      </c>
      <c r="N8" s="1" t="s">
        <v>28</v>
      </c>
      <c r="O8" s="1">
        <f>IF(IFERROR(VLOOKUP(car_price_prediction_[[#This Row],[Car ID]],A9:A2508,1,FALSE),0),1,0)</f>
        <v>0</v>
      </c>
    </row>
    <row r="9" spans="1:15" x14ac:dyDescent="0.25">
      <c r="A9">
        <v>8</v>
      </c>
      <c r="B9" s="1" t="s">
        <v>10</v>
      </c>
      <c r="C9" s="1">
        <f>car_price_prediction_[[#This Row],[Year2]]</f>
        <v>2017</v>
      </c>
      <c r="D9">
        <v>2017</v>
      </c>
      <c r="E9">
        <f>car_price_prediction_[[#This Row],[Engine Size]]/10</f>
        <v>5.3</v>
      </c>
      <c r="F9">
        <v>53</v>
      </c>
      <c r="G9" s="1" t="s">
        <v>29</v>
      </c>
      <c r="H9" s="1" t="s">
        <v>22</v>
      </c>
      <c r="I9" s="12">
        <f>car_price_prediction_[[#This Row],[Mileage]]/1000</f>
        <v>83.03</v>
      </c>
      <c r="J9" s="5">
        <v>83030</v>
      </c>
      <c r="K9" s="1" t="s">
        <v>13</v>
      </c>
      <c r="L9" s="5">
        <f>car_price_prediction_[[#This Row],[Price]]/100</f>
        <v>17381.189999999999</v>
      </c>
      <c r="M9">
        <v>1738119</v>
      </c>
      <c r="N9" s="1" t="s">
        <v>23</v>
      </c>
      <c r="O9" s="1">
        <f>IF(IFERROR(VLOOKUP(car_price_prediction_[[#This Row],[Car ID]],A10:A2509,1,FALSE),0),1,0)</f>
        <v>0</v>
      </c>
    </row>
    <row r="10" spans="1:15" x14ac:dyDescent="0.25">
      <c r="A10">
        <v>9</v>
      </c>
      <c r="B10" s="1" t="s">
        <v>30</v>
      </c>
      <c r="C10" s="1">
        <f>car_price_prediction_[[#This Row],[Year2]]</f>
        <v>2023</v>
      </c>
      <c r="D10">
        <v>2023</v>
      </c>
      <c r="E10">
        <f>car_price_prediction_[[#This Row],[Engine Size]]/10</f>
        <v>5.7</v>
      </c>
      <c r="F10">
        <v>57</v>
      </c>
      <c r="G10" s="1" t="s">
        <v>16</v>
      </c>
      <c r="H10" s="1" t="s">
        <v>12</v>
      </c>
      <c r="I10" s="12">
        <f>car_price_prediction_[[#This Row],[Mileage]]/1000</f>
        <v>120.36</v>
      </c>
      <c r="J10" s="5">
        <v>120360</v>
      </c>
      <c r="K10" s="1" t="s">
        <v>25</v>
      </c>
      <c r="L10" s="5">
        <f>car_price_prediction_[[#This Row],[Price]]/100</f>
        <v>15905.62</v>
      </c>
      <c r="M10">
        <v>1590562</v>
      </c>
      <c r="N10" s="1" t="s">
        <v>31</v>
      </c>
      <c r="O10" s="1">
        <f>IF(IFERROR(VLOOKUP(car_price_prediction_[[#This Row],[Car ID]],A11:A2510,1,FALSE),0),1,0)</f>
        <v>0</v>
      </c>
    </row>
    <row r="11" spans="1:15" x14ac:dyDescent="0.25">
      <c r="A11">
        <v>10</v>
      </c>
      <c r="B11" s="1" t="s">
        <v>24</v>
      </c>
      <c r="C11" s="1">
        <f>car_price_prediction_[[#This Row],[Year2]]</f>
        <v>2010</v>
      </c>
      <c r="D11">
        <v>2010</v>
      </c>
      <c r="E11">
        <f>car_price_prediction_[[#This Row],[Engine Size]]/10</f>
        <v>1.5</v>
      </c>
      <c r="F11">
        <v>15</v>
      </c>
      <c r="G11" s="1" t="s">
        <v>16</v>
      </c>
      <c r="H11" s="1" t="s">
        <v>22</v>
      </c>
      <c r="I11" s="12">
        <f>car_price_prediction_[[#This Row],[Mileage]]/1000</f>
        <v>135.00899999999999</v>
      </c>
      <c r="J11" s="5">
        <v>135009</v>
      </c>
      <c r="K11" s="1" t="s">
        <v>25</v>
      </c>
      <c r="L11" s="5">
        <f>car_price_prediction_[[#This Row],[Price]]/100</f>
        <v>9560.2199999999993</v>
      </c>
      <c r="M11">
        <v>956022</v>
      </c>
      <c r="N11" s="1" t="s">
        <v>32</v>
      </c>
      <c r="O11" s="1">
        <f>IF(IFERROR(VLOOKUP(car_price_prediction_[[#This Row],[Car ID]],A12:A2511,1,FALSE),0),1,0)</f>
        <v>0</v>
      </c>
    </row>
    <row r="12" spans="1:15" x14ac:dyDescent="0.25">
      <c r="A12">
        <v>11</v>
      </c>
      <c r="B12" s="1" t="s">
        <v>10</v>
      </c>
      <c r="C12" s="1">
        <f>car_price_prediction_[[#This Row],[Year2]]</f>
        <v>2001</v>
      </c>
      <c r="D12">
        <v>2001</v>
      </c>
      <c r="E12">
        <f>car_price_prediction_[[#This Row],[Engine Size]]/10</f>
        <v>1.8</v>
      </c>
      <c r="F12">
        <v>18</v>
      </c>
      <c r="G12" s="1" t="s">
        <v>21</v>
      </c>
      <c r="H12" s="1" t="s">
        <v>22</v>
      </c>
      <c r="I12" s="12">
        <f>car_price_prediction_[[#This Row],[Mileage]]/1000</f>
        <v>298.875</v>
      </c>
      <c r="J12" s="5">
        <v>298875</v>
      </c>
      <c r="K12" s="1" t="s">
        <v>25</v>
      </c>
      <c r="L12" s="5">
        <f>car_price_prediction_[[#This Row],[Price]]/100</f>
        <v>5887.26</v>
      </c>
      <c r="M12">
        <v>588726</v>
      </c>
      <c r="N12" s="1" t="s">
        <v>33</v>
      </c>
      <c r="O12" s="1">
        <f>IF(IFERROR(VLOOKUP(car_price_prediction_[[#This Row],[Car ID]],A13:A2512,1,FALSE),0),1,0)</f>
        <v>0</v>
      </c>
    </row>
    <row r="13" spans="1:15" x14ac:dyDescent="0.25">
      <c r="A13">
        <v>12</v>
      </c>
      <c r="B13" s="1" t="s">
        <v>24</v>
      </c>
      <c r="C13" s="1">
        <f>car_price_prediction_[[#This Row],[Year2]]</f>
        <v>2017</v>
      </c>
      <c r="D13">
        <v>2017</v>
      </c>
      <c r="E13">
        <f>car_price_prediction_[[#This Row],[Engine Size]]/10</f>
        <v>5.7</v>
      </c>
      <c r="F13">
        <v>57</v>
      </c>
      <c r="G13" s="1" t="s">
        <v>16</v>
      </c>
      <c r="H13" s="1" t="s">
        <v>22</v>
      </c>
      <c r="I13" s="12">
        <f>car_price_prediction_[[#This Row],[Mileage]]/1000</f>
        <v>169.73699999999999</v>
      </c>
      <c r="J13" s="5">
        <v>169737</v>
      </c>
      <c r="K13" s="1" t="s">
        <v>17</v>
      </c>
      <c r="L13" s="5">
        <f>car_price_prediction_[[#This Row],[Price]]/100</f>
        <v>28074.19</v>
      </c>
      <c r="M13">
        <v>2807419</v>
      </c>
      <c r="N13" s="1" t="s">
        <v>26</v>
      </c>
      <c r="O13" s="1">
        <f>IF(IFERROR(VLOOKUP(car_price_prediction_[[#This Row],[Car ID]],A14:A2513,1,FALSE),0),1,0)</f>
        <v>0</v>
      </c>
    </row>
    <row r="14" spans="1:15" x14ac:dyDescent="0.25">
      <c r="A14">
        <v>13</v>
      </c>
      <c r="B14" s="1" t="s">
        <v>24</v>
      </c>
      <c r="C14" s="1">
        <f>car_price_prediction_[[#This Row],[Year2]]</f>
        <v>2006</v>
      </c>
      <c r="D14">
        <v>2006</v>
      </c>
      <c r="E14">
        <f>car_price_prediction_[[#This Row],[Engine Size]]/10</f>
        <v>4.7</v>
      </c>
      <c r="F14">
        <v>47</v>
      </c>
      <c r="G14" s="1" t="s">
        <v>11</v>
      </c>
      <c r="H14" s="1" t="s">
        <v>22</v>
      </c>
      <c r="I14" s="12">
        <f>car_price_prediction_[[#This Row],[Mileage]]/1000</f>
        <v>114.36</v>
      </c>
      <c r="J14" s="5">
        <v>114360</v>
      </c>
      <c r="K14" s="1" t="s">
        <v>13</v>
      </c>
      <c r="L14" s="5">
        <f>car_price_prediction_[[#This Row],[Price]]/100</f>
        <v>74766.45</v>
      </c>
      <c r="M14">
        <v>7476645</v>
      </c>
      <c r="N14" s="1" t="s">
        <v>34</v>
      </c>
      <c r="O14" s="1">
        <f>IF(IFERROR(VLOOKUP(car_price_prediction_[[#This Row],[Car ID]],A15:A2514,1,FALSE),0),1,0)</f>
        <v>0</v>
      </c>
    </row>
    <row r="15" spans="1:15" x14ac:dyDescent="0.25">
      <c r="A15">
        <v>14</v>
      </c>
      <c r="B15" s="1" t="s">
        <v>19</v>
      </c>
      <c r="C15" s="1">
        <f>car_price_prediction_[[#This Row],[Year2]]</f>
        <v>2023</v>
      </c>
      <c r="D15">
        <v>2023</v>
      </c>
      <c r="E15">
        <f>car_price_prediction_[[#This Row],[Engine Size]]/10</f>
        <v>5.4</v>
      </c>
      <c r="F15">
        <v>54</v>
      </c>
      <c r="G15" s="1" t="s">
        <v>16</v>
      </c>
      <c r="H15" s="1" t="s">
        <v>22</v>
      </c>
      <c r="I15" s="12">
        <f>car_price_prediction_[[#This Row],[Mileage]]/1000</f>
        <v>263.89400000000001</v>
      </c>
      <c r="J15" s="5">
        <v>263894</v>
      </c>
      <c r="K15" s="1" t="s">
        <v>25</v>
      </c>
      <c r="L15" s="5">
        <f>car_price_prediction_[[#This Row],[Price]]/100</f>
        <v>70193.740000000005</v>
      </c>
      <c r="M15">
        <v>7019374</v>
      </c>
      <c r="N15" s="1" t="s">
        <v>27</v>
      </c>
      <c r="O15" s="1">
        <f>IF(IFERROR(VLOOKUP(car_price_prediction_[[#This Row],[Car ID]],A16:A2515,1,FALSE),0),1,0)</f>
        <v>0</v>
      </c>
    </row>
    <row r="16" spans="1:15" x14ac:dyDescent="0.25">
      <c r="A16">
        <v>15</v>
      </c>
      <c r="B16" s="1" t="s">
        <v>15</v>
      </c>
      <c r="C16" s="1">
        <f>car_price_prediction_[[#This Row],[Year2]]</f>
        <v>2014</v>
      </c>
      <c r="D16">
        <v>2014</v>
      </c>
      <c r="E16">
        <f>car_price_prediction_[[#This Row],[Engine Size]]/10</f>
        <v>2</v>
      </c>
      <c r="F16">
        <v>20</v>
      </c>
      <c r="G16" s="1" t="s">
        <v>16</v>
      </c>
      <c r="H16" s="1" t="s">
        <v>22</v>
      </c>
      <c r="I16" s="12">
        <f>car_price_prediction_[[#This Row],[Mileage]]/1000</f>
        <v>65.018000000000001</v>
      </c>
      <c r="J16" s="5">
        <v>65018</v>
      </c>
      <c r="K16" s="1" t="s">
        <v>13</v>
      </c>
      <c r="L16" s="5">
        <f>car_price_prediction_[[#This Row],[Price]]/100</f>
        <v>35220.519999999997</v>
      </c>
      <c r="M16">
        <v>3522052</v>
      </c>
      <c r="N16" s="1" t="s">
        <v>35</v>
      </c>
      <c r="O16" s="1">
        <f>IF(IFERROR(VLOOKUP(car_price_prediction_[[#This Row],[Car ID]],A17:A2516,1,FALSE),0),1,0)</f>
        <v>0</v>
      </c>
    </row>
    <row r="17" spans="1:15" x14ac:dyDescent="0.25">
      <c r="A17">
        <v>16</v>
      </c>
      <c r="B17" s="1" t="s">
        <v>24</v>
      </c>
      <c r="C17" s="1">
        <f>car_price_prediction_[[#This Row],[Year2]]</f>
        <v>2010</v>
      </c>
      <c r="D17">
        <v>2010</v>
      </c>
      <c r="E17">
        <f>car_price_prediction_[[#This Row],[Engine Size]]/10</f>
        <v>3.9</v>
      </c>
      <c r="F17">
        <v>39</v>
      </c>
      <c r="G17" s="1" t="s">
        <v>16</v>
      </c>
      <c r="H17" s="1" t="s">
        <v>22</v>
      </c>
      <c r="I17" s="12">
        <f>car_price_prediction_[[#This Row],[Mileage]]/1000</f>
        <v>240.904</v>
      </c>
      <c r="J17" s="5">
        <v>240904</v>
      </c>
      <c r="K17" s="1" t="s">
        <v>17</v>
      </c>
      <c r="L17" s="5">
        <f>car_price_prediction_[[#This Row],[Price]]/100</f>
        <v>21796.16</v>
      </c>
      <c r="M17">
        <v>2179616</v>
      </c>
      <c r="N17" s="1" t="s">
        <v>26</v>
      </c>
      <c r="O17" s="1">
        <f>IF(IFERROR(VLOOKUP(car_price_prediction_[[#This Row],[Car ID]],A18:A2517,1,FALSE),0),1,0)</f>
        <v>0</v>
      </c>
    </row>
    <row r="18" spans="1:15" x14ac:dyDescent="0.25">
      <c r="A18">
        <v>17</v>
      </c>
      <c r="B18" s="1" t="s">
        <v>36</v>
      </c>
      <c r="C18" s="1">
        <f>car_price_prediction_[[#This Row],[Year2]]</f>
        <v>2017</v>
      </c>
      <c r="D18">
        <v>2017</v>
      </c>
      <c r="E18">
        <f>car_price_prediction_[[#This Row],[Engine Size]]/10</f>
        <v>4.5</v>
      </c>
      <c r="F18">
        <v>45</v>
      </c>
      <c r="G18" s="1" t="s">
        <v>16</v>
      </c>
      <c r="H18" s="1" t="s">
        <v>22</v>
      </c>
      <c r="I18" s="12">
        <f>car_price_prediction_[[#This Row],[Mileage]]/1000</f>
        <v>136.81700000000001</v>
      </c>
      <c r="J18" s="5">
        <v>136817</v>
      </c>
      <c r="K18" s="1" t="s">
        <v>13</v>
      </c>
      <c r="L18" s="5">
        <f>car_price_prediction_[[#This Row],[Price]]/100</f>
        <v>14728.03</v>
      </c>
      <c r="M18">
        <v>1472803</v>
      </c>
      <c r="N18" s="1" t="s">
        <v>37</v>
      </c>
      <c r="O18" s="1">
        <f>IF(IFERROR(VLOOKUP(car_price_prediction_[[#This Row],[Car ID]],A19:A2518,1,FALSE),0),1,0)</f>
        <v>0</v>
      </c>
    </row>
    <row r="19" spans="1:15" x14ac:dyDescent="0.25">
      <c r="A19">
        <v>18</v>
      </c>
      <c r="B19" s="1" t="s">
        <v>19</v>
      </c>
      <c r="C19" s="1">
        <f>car_price_prediction_[[#This Row],[Year2]]</f>
        <v>2022</v>
      </c>
      <c r="D19">
        <v>2022</v>
      </c>
      <c r="E19">
        <f>car_price_prediction_[[#This Row],[Engine Size]]/10</f>
        <v>4.4000000000000004</v>
      </c>
      <c r="F19">
        <v>44</v>
      </c>
      <c r="G19" s="1" t="s">
        <v>29</v>
      </c>
      <c r="H19" s="1" t="s">
        <v>22</v>
      </c>
      <c r="I19" s="12">
        <f>car_price_prediction_[[#This Row],[Mileage]]/1000</f>
        <v>192.803</v>
      </c>
      <c r="J19" s="5">
        <v>192803</v>
      </c>
      <c r="K19" s="1" t="s">
        <v>25</v>
      </c>
      <c r="L19" s="5">
        <f>car_price_prediction_[[#This Row],[Price]]/100</f>
        <v>75044.95</v>
      </c>
      <c r="M19">
        <v>7504495</v>
      </c>
      <c r="N19" s="1" t="s">
        <v>38</v>
      </c>
      <c r="O19" s="1">
        <f>IF(IFERROR(VLOOKUP(car_price_prediction_[[#This Row],[Car ID]],A20:A2519,1,FALSE),0),1,0)</f>
        <v>0</v>
      </c>
    </row>
    <row r="20" spans="1:15" x14ac:dyDescent="0.25">
      <c r="A20">
        <v>19</v>
      </c>
      <c r="B20" s="1" t="s">
        <v>30</v>
      </c>
      <c r="C20" s="1">
        <f>car_price_prediction_[[#This Row],[Year2]]</f>
        <v>2011</v>
      </c>
      <c r="D20">
        <v>2011</v>
      </c>
      <c r="E20">
        <f>car_price_prediction_[[#This Row],[Engine Size]]/10</f>
        <v>3</v>
      </c>
      <c r="F20">
        <v>30</v>
      </c>
      <c r="G20" s="1" t="s">
        <v>16</v>
      </c>
      <c r="H20" s="1" t="s">
        <v>22</v>
      </c>
      <c r="I20" s="12">
        <f>car_price_prediction_[[#This Row],[Mileage]]/1000</f>
        <v>86.983999999999995</v>
      </c>
      <c r="J20" s="5">
        <v>86984</v>
      </c>
      <c r="K20" s="1" t="s">
        <v>13</v>
      </c>
      <c r="L20" s="5">
        <f>car_price_prediction_[[#This Row],[Price]]/100</f>
        <v>47791.89</v>
      </c>
      <c r="M20">
        <v>4779189</v>
      </c>
      <c r="N20" s="1" t="s">
        <v>31</v>
      </c>
      <c r="O20" s="1">
        <f>IF(IFERROR(VLOOKUP(car_price_prediction_[[#This Row],[Car ID]],A21:A2520,1,FALSE),0),1,0)</f>
        <v>0</v>
      </c>
    </row>
    <row r="21" spans="1:15" x14ac:dyDescent="0.25">
      <c r="A21">
        <v>20</v>
      </c>
      <c r="B21" s="1" t="s">
        <v>15</v>
      </c>
      <c r="C21" s="1">
        <f>car_price_prediction_[[#This Row],[Year2]]</f>
        <v>2005</v>
      </c>
      <c r="D21">
        <v>2005</v>
      </c>
      <c r="E21">
        <f>car_price_prediction_[[#This Row],[Engine Size]]/10</f>
        <v>1.1000000000000001</v>
      </c>
      <c r="F21">
        <v>11</v>
      </c>
      <c r="G21" s="1" t="s">
        <v>11</v>
      </c>
      <c r="H21" s="1" t="s">
        <v>22</v>
      </c>
      <c r="I21" s="12">
        <f>car_price_prediction_[[#This Row],[Mileage]]/1000</f>
        <v>290.59500000000003</v>
      </c>
      <c r="J21" s="5">
        <v>290595</v>
      </c>
      <c r="K21" s="1" t="s">
        <v>13</v>
      </c>
      <c r="L21" s="5">
        <f>car_price_prediction_[[#This Row],[Price]]/100</f>
        <v>35735.339999999997</v>
      </c>
      <c r="M21">
        <v>3573534</v>
      </c>
      <c r="N21" s="1" t="s">
        <v>39</v>
      </c>
      <c r="O21" s="1">
        <f>IF(IFERROR(VLOOKUP(car_price_prediction_[[#This Row],[Car ID]],A22:A2521,1,FALSE),0),1,0)</f>
        <v>0</v>
      </c>
    </row>
    <row r="22" spans="1:15" x14ac:dyDescent="0.25">
      <c r="A22">
        <v>21</v>
      </c>
      <c r="B22" s="1" t="s">
        <v>36</v>
      </c>
      <c r="C22" s="1">
        <f>car_price_prediction_[[#This Row],[Year2]]</f>
        <v>2019</v>
      </c>
      <c r="D22">
        <v>2019</v>
      </c>
      <c r="E22">
        <f>car_price_prediction_[[#This Row],[Engine Size]]/10</f>
        <v>3.9</v>
      </c>
      <c r="F22">
        <v>39</v>
      </c>
      <c r="G22" s="1" t="s">
        <v>11</v>
      </c>
      <c r="H22" s="1" t="s">
        <v>22</v>
      </c>
      <c r="I22" s="12">
        <f>car_price_prediction_[[#This Row],[Mileage]]/1000</f>
        <v>192.608</v>
      </c>
      <c r="J22" s="5">
        <v>192608</v>
      </c>
      <c r="K22" s="1" t="s">
        <v>17</v>
      </c>
      <c r="L22" s="5">
        <f>car_price_prediction_[[#This Row],[Price]]/100</f>
        <v>86382.04</v>
      </c>
      <c r="M22">
        <v>8638204</v>
      </c>
      <c r="N22" s="1" t="s">
        <v>40</v>
      </c>
      <c r="O22" s="1">
        <f>IF(IFERROR(VLOOKUP(car_price_prediction_[[#This Row],[Car ID]],A23:A2522,1,FALSE),0),1,0)</f>
        <v>0</v>
      </c>
    </row>
    <row r="23" spans="1:15" x14ac:dyDescent="0.25">
      <c r="A23">
        <v>22</v>
      </c>
      <c r="B23" s="1" t="s">
        <v>36</v>
      </c>
      <c r="C23" s="1">
        <f>car_price_prediction_[[#This Row],[Year2]]</f>
        <v>2022</v>
      </c>
      <c r="D23">
        <v>2022</v>
      </c>
      <c r="E23">
        <f>car_price_prediction_[[#This Row],[Engine Size]]/10</f>
        <v>2.2999999999999998</v>
      </c>
      <c r="F23">
        <v>23</v>
      </c>
      <c r="G23" s="1" t="s">
        <v>16</v>
      </c>
      <c r="H23" s="1" t="s">
        <v>12</v>
      </c>
      <c r="I23" s="12">
        <f>car_price_prediction_[[#This Row],[Mileage]]/1000</f>
        <v>12.15</v>
      </c>
      <c r="J23" s="5">
        <v>12150</v>
      </c>
      <c r="K23" s="1" t="s">
        <v>17</v>
      </c>
      <c r="L23" s="5">
        <f>car_price_prediction_[[#This Row],[Price]]/100</f>
        <v>61393.26</v>
      </c>
      <c r="M23">
        <v>6139326</v>
      </c>
      <c r="N23" s="1" t="s">
        <v>41</v>
      </c>
      <c r="O23" s="1">
        <f>IF(IFERROR(VLOOKUP(car_price_prediction_[[#This Row],[Car ID]],A24:A2523,1,FALSE),0),1,0)</f>
        <v>0</v>
      </c>
    </row>
    <row r="24" spans="1:15" x14ac:dyDescent="0.25">
      <c r="A24">
        <v>23</v>
      </c>
      <c r="B24" s="1" t="s">
        <v>30</v>
      </c>
      <c r="C24" s="1">
        <f>car_price_prediction_[[#This Row],[Year2]]</f>
        <v>2012</v>
      </c>
      <c r="D24">
        <v>2012</v>
      </c>
      <c r="E24">
        <f>car_price_prediction_[[#This Row],[Engine Size]]/10</f>
        <v>3.3</v>
      </c>
      <c r="F24">
        <v>33</v>
      </c>
      <c r="G24" s="1" t="s">
        <v>21</v>
      </c>
      <c r="H24" s="1" t="s">
        <v>12</v>
      </c>
      <c r="I24" s="12">
        <f>car_price_prediction_[[#This Row],[Mileage]]/1000</f>
        <v>275.55</v>
      </c>
      <c r="J24" s="5">
        <v>275550</v>
      </c>
      <c r="K24" s="1" t="s">
        <v>13</v>
      </c>
      <c r="L24" s="5">
        <f>car_price_prediction_[[#This Row],[Price]]/100</f>
        <v>54210.22</v>
      </c>
      <c r="M24">
        <v>5421022</v>
      </c>
      <c r="N24" s="1" t="s">
        <v>42</v>
      </c>
      <c r="O24" s="1">
        <f>IF(IFERROR(VLOOKUP(car_price_prediction_[[#This Row],[Car ID]],A25:A2524,1,FALSE),0),1,0)</f>
        <v>0</v>
      </c>
    </row>
    <row r="25" spans="1:15" x14ac:dyDescent="0.25">
      <c r="A25">
        <v>24</v>
      </c>
      <c r="B25" s="1" t="s">
        <v>15</v>
      </c>
      <c r="C25" s="1">
        <f>car_price_prediction_[[#This Row],[Year2]]</f>
        <v>2019</v>
      </c>
      <c r="D25">
        <v>2019</v>
      </c>
      <c r="E25">
        <f>car_price_prediction_[[#This Row],[Engine Size]]/10</f>
        <v>5.8</v>
      </c>
      <c r="F25">
        <v>58</v>
      </c>
      <c r="G25" s="1" t="s">
        <v>29</v>
      </c>
      <c r="H25" s="1" t="s">
        <v>22</v>
      </c>
      <c r="I25" s="12">
        <f>car_price_prediction_[[#This Row],[Mileage]]/1000</f>
        <v>150.85300000000001</v>
      </c>
      <c r="J25" s="5">
        <v>150853</v>
      </c>
      <c r="K25" s="1" t="s">
        <v>13</v>
      </c>
      <c r="L25" s="5">
        <f>car_price_prediction_[[#This Row],[Price]]/100</f>
        <v>75621.02</v>
      </c>
      <c r="M25">
        <v>7562102</v>
      </c>
      <c r="N25" s="1" t="s">
        <v>39</v>
      </c>
      <c r="O25" s="1">
        <f>IF(IFERROR(VLOOKUP(car_price_prediction_[[#This Row],[Car ID]],A26:A2525,1,FALSE),0),1,0)</f>
        <v>0</v>
      </c>
    </row>
    <row r="26" spans="1:15" x14ac:dyDescent="0.25">
      <c r="A26">
        <v>25</v>
      </c>
      <c r="B26" s="1" t="s">
        <v>19</v>
      </c>
      <c r="C26" s="1">
        <f>car_price_prediction_[[#This Row],[Year2]]</f>
        <v>2015</v>
      </c>
      <c r="D26">
        <v>2015</v>
      </c>
      <c r="E26">
        <f>car_price_prediction_[[#This Row],[Engine Size]]/10</f>
        <v>3</v>
      </c>
      <c r="F26">
        <v>30</v>
      </c>
      <c r="G26" s="1" t="s">
        <v>16</v>
      </c>
      <c r="H26" s="1" t="s">
        <v>22</v>
      </c>
      <c r="I26" s="12">
        <f>car_price_prediction_[[#This Row],[Mileage]]/1000</f>
        <v>188.489</v>
      </c>
      <c r="J26" s="5">
        <v>188489</v>
      </c>
      <c r="K26" s="1" t="s">
        <v>13</v>
      </c>
      <c r="L26" s="5">
        <f>car_price_prediction_[[#This Row],[Price]]/100</f>
        <v>8248.0400000000009</v>
      </c>
      <c r="M26">
        <v>824804</v>
      </c>
      <c r="N26" s="1" t="s">
        <v>28</v>
      </c>
      <c r="O26" s="1">
        <f>IF(IFERROR(VLOOKUP(car_price_prediction_[[#This Row],[Car ID]],A27:A2526,1,FALSE),0),1,0)</f>
        <v>0</v>
      </c>
    </row>
    <row r="27" spans="1:15" x14ac:dyDescent="0.25">
      <c r="A27">
        <v>26</v>
      </c>
      <c r="B27" s="1" t="s">
        <v>43</v>
      </c>
      <c r="C27" s="1">
        <f>car_price_prediction_[[#This Row],[Year2]]</f>
        <v>2017</v>
      </c>
      <c r="D27">
        <v>2017</v>
      </c>
      <c r="E27">
        <f>car_price_prediction_[[#This Row],[Engine Size]]/10</f>
        <v>5.2</v>
      </c>
      <c r="F27">
        <v>52</v>
      </c>
      <c r="G27" s="1" t="s">
        <v>16</v>
      </c>
      <c r="H27" s="1" t="s">
        <v>22</v>
      </c>
      <c r="I27" s="12">
        <f>car_price_prediction_[[#This Row],[Mileage]]/1000</f>
        <v>18.324999999999999</v>
      </c>
      <c r="J27" s="5">
        <v>18325</v>
      </c>
      <c r="K27" s="1" t="s">
        <v>17</v>
      </c>
      <c r="L27" s="5">
        <f>car_price_prediction_[[#This Row],[Price]]/100</f>
        <v>70176.95</v>
      </c>
      <c r="M27">
        <v>7017695</v>
      </c>
      <c r="N27" s="1" t="s">
        <v>44</v>
      </c>
      <c r="O27" s="1">
        <f>IF(IFERROR(VLOOKUP(car_price_prediction_[[#This Row],[Car ID]],A28:A2527,1,FALSE),0),1,0)</f>
        <v>0</v>
      </c>
    </row>
    <row r="28" spans="1:15" x14ac:dyDescent="0.25">
      <c r="A28">
        <v>27</v>
      </c>
      <c r="B28" s="1" t="s">
        <v>15</v>
      </c>
      <c r="C28" s="1">
        <f>car_price_prediction_[[#This Row],[Year2]]</f>
        <v>2009</v>
      </c>
      <c r="D28">
        <v>2009</v>
      </c>
      <c r="E28">
        <f>car_price_prediction_[[#This Row],[Engine Size]]/10</f>
        <v>1.9</v>
      </c>
      <c r="F28">
        <v>19</v>
      </c>
      <c r="G28" s="1" t="s">
        <v>16</v>
      </c>
      <c r="H28" s="1" t="s">
        <v>12</v>
      </c>
      <c r="I28" s="12">
        <f>car_price_prediction_[[#This Row],[Mileage]]/1000</f>
        <v>199.756</v>
      </c>
      <c r="J28" s="5">
        <v>199756</v>
      </c>
      <c r="K28" s="1" t="s">
        <v>17</v>
      </c>
      <c r="L28" s="5">
        <f>car_price_prediction_[[#This Row],[Price]]/100</f>
        <v>4680.0600000000004</v>
      </c>
      <c r="M28">
        <v>468006</v>
      </c>
      <c r="N28" s="1" t="s">
        <v>35</v>
      </c>
      <c r="O28" s="1">
        <f>IF(IFERROR(VLOOKUP(car_price_prediction_[[#This Row],[Car ID]],A29:A2528,1,FALSE),0),1,0)</f>
        <v>0</v>
      </c>
    </row>
    <row r="29" spans="1:15" x14ac:dyDescent="0.25">
      <c r="A29">
        <v>28</v>
      </c>
      <c r="B29" s="1" t="s">
        <v>30</v>
      </c>
      <c r="C29" s="1">
        <f>car_price_prediction_[[#This Row],[Year2]]</f>
        <v>2022</v>
      </c>
      <c r="D29">
        <v>2022</v>
      </c>
      <c r="E29">
        <f>car_price_prediction_[[#This Row],[Engine Size]]/10</f>
        <v>4.4000000000000004</v>
      </c>
      <c r="F29">
        <v>44</v>
      </c>
      <c r="G29" s="1" t="s">
        <v>21</v>
      </c>
      <c r="H29" s="1" t="s">
        <v>12</v>
      </c>
      <c r="I29" s="12">
        <f>car_price_prediction_[[#This Row],[Mileage]]/1000</f>
        <v>204.541</v>
      </c>
      <c r="J29" s="5">
        <v>204541</v>
      </c>
      <c r="K29" s="1" t="s">
        <v>13</v>
      </c>
      <c r="L29" s="5">
        <f>car_price_prediction_[[#This Row],[Price]]/100</f>
        <v>41033.39</v>
      </c>
      <c r="M29">
        <v>4103339</v>
      </c>
      <c r="N29" s="1" t="s">
        <v>45</v>
      </c>
      <c r="O29" s="1">
        <f>IF(IFERROR(VLOOKUP(car_price_prediction_[[#This Row],[Car ID]],A30:A2529,1,FALSE),0),1,0)</f>
        <v>0</v>
      </c>
    </row>
    <row r="30" spans="1:15" x14ac:dyDescent="0.25">
      <c r="A30">
        <v>29</v>
      </c>
      <c r="B30" s="1" t="s">
        <v>36</v>
      </c>
      <c r="C30" s="1">
        <f>car_price_prediction_[[#This Row],[Year2]]</f>
        <v>2007</v>
      </c>
      <c r="D30">
        <v>2007</v>
      </c>
      <c r="E30">
        <f>car_price_prediction_[[#This Row],[Engine Size]]/10</f>
        <v>5.9</v>
      </c>
      <c r="F30">
        <v>59</v>
      </c>
      <c r="G30" s="1" t="s">
        <v>21</v>
      </c>
      <c r="H30" s="1" t="s">
        <v>12</v>
      </c>
      <c r="I30" s="12">
        <f>car_price_prediction_[[#This Row],[Mileage]]/1000</f>
        <v>17.669</v>
      </c>
      <c r="J30" s="5">
        <v>17669</v>
      </c>
      <c r="K30" s="1" t="s">
        <v>17</v>
      </c>
      <c r="L30" s="5">
        <f>car_price_prediction_[[#This Row],[Price]]/100</f>
        <v>78308.17</v>
      </c>
      <c r="M30">
        <v>7830817</v>
      </c>
      <c r="N30" s="1" t="s">
        <v>46</v>
      </c>
      <c r="O30" s="1">
        <f>IF(IFERROR(VLOOKUP(car_price_prediction_[[#This Row],[Car ID]],A31:A2530,1,FALSE),0),1,0)</f>
        <v>0</v>
      </c>
    </row>
    <row r="31" spans="1:15" x14ac:dyDescent="0.25">
      <c r="A31">
        <v>30</v>
      </c>
      <c r="B31" s="1" t="s">
        <v>19</v>
      </c>
      <c r="C31" s="1">
        <f>car_price_prediction_[[#This Row],[Year2]]</f>
        <v>2017</v>
      </c>
      <c r="D31">
        <v>2017</v>
      </c>
      <c r="E31">
        <f>car_price_prediction_[[#This Row],[Engine Size]]/10</f>
        <v>1.5</v>
      </c>
      <c r="F31">
        <v>15</v>
      </c>
      <c r="G31" s="1" t="s">
        <v>21</v>
      </c>
      <c r="H31" s="1" t="s">
        <v>22</v>
      </c>
      <c r="I31" s="12">
        <f>car_price_prediction_[[#This Row],[Mileage]]/1000</f>
        <v>207.83600000000001</v>
      </c>
      <c r="J31" s="5">
        <v>207836</v>
      </c>
      <c r="K31" s="1" t="s">
        <v>25</v>
      </c>
      <c r="L31" s="5">
        <f>car_price_prediction_[[#This Row],[Price]]/100</f>
        <v>54201.18</v>
      </c>
      <c r="M31">
        <v>5420118</v>
      </c>
      <c r="N31" s="1" t="s">
        <v>38</v>
      </c>
      <c r="O31" s="1">
        <f>IF(IFERROR(VLOOKUP(car_price_prediction_[[#This Row],[Car ID]],A32:A2531,1,FALSE),0),1,0)</f>
        <v>0</v>
      </c>
    </row>
    <row r="32" spans="1:15" x14ac:dyDescent="0.25">
      <c r="A32">
        <v>31</v>
      </c>
      <c r="B32" s="1" t="s">
        <v>15</v>
      </c>
      <c r="C32" s="1">
        <f>car_price_prediction_[[#This Row],[Year2]]</f>
        <v>2020</v>
      </c>
      <c r="D32">
        <v>2020</v>
      </c>
      <c r="E32">
        <f>car_price_prediction_[[#This Row],[Engine Size]]/10</f>
        <v>1</v>
      </c>
      <c r="F32">
        <v>10</v>
      </c>
      <c r="G32" s="1" t="s">
        <v>29</v>
      </c>
      <c r="H32" s="1" t="s">
        <v>22</v>
      </c>
      <c r="I32" s="12">
        <f>car_price_prediction_[[#This Row],[Mileage]]/1000</f>
        <v>132.91499999999999</v>
      </c>
      <c r="J32" s="5">
        <v>132915</v>
      </c>
      <c r="K32" s="1" t="s">
        <v>17</v>
      </c>
      <c r="L32" s="5">
        <f>car_price_prediction_[[#This Row],[Price]]/100</f>
        <v>71916.679999999993</v>
      </c>
      <c r="M32">
        <v>7191668</v>
      </c>
      <c r="N32" s="1" t="s">
        <v>39</v>
      </c>
      <c r="O32" s="1">
        <f>IF(IFERROR(VLOOKUP(car_price_prediction_[[#This Row],[Car ID]],A33:A2532,1,FALSE),0),1,0)</f>
        <v>0</v>
      </c>
    </row>
    <row r="33" spans="1:15" x14ac:dyDescent="0.25">
      <c r="A33">
        <v>32</v>
      </c>
      <c r="B33" s="1" t="s">
        <v>43</v>
      </c>
      <c r="C33" s="1">
        <f>car_price_prediction_[[#This Row],[Year2]]</f>
        <v>2000</v>
      </c>
      <c r="D33">
        <v>2000</v>
      </c>
      <c r="E33">
        <f>car_price_prediction_[[#This Row],[Engine Size]]/10</f>
        <v>3.2</v>
      </c>
      <c r="F33">
        <v>32</v>
      </c>
      <c r="G33" s="1" t="s">
        <v>11</v>
      </c>
      <c r="H33" s="1" t="s">
        <v>22</v>
      </c>
      <c r="I33" s="12">
        <f>car_price_prediction_[[#This Row],[Mileage]]/1000</f>
        <v>196.68100000000001</v>
      </c>
      <c r="J33" s="5">
        <v>196681</v>
      </c>
      <c r="K33" s="1" t="s">
        <v>17</v>
      </c>
      <c r="L33" s="5">
        <f>car_price_prediction_[[#This Row],[Price]]/100</f>
        <v>89587.88</v>
      </c>
      <c r="M33">
        <v>8958788</v>
      </c>
      <c r="N33" s="1" t="s">
        <v>47</v>
      </c>
      <c r="O33" s="1">
        <f>IF(IFERROR(VLOOKUP(car_price_prediction_[[#This Row],[Car ID]],A34:A2533,1,FALSE),0),1,0)</f>
        <v>0</v>
      </c>
    </row>
    <row r="34" spans="1:15" x14ac:dyDescent="0.25">
      <c r="A34">
        <v>33</v>
      </c>
      <c r="B34" s="1" t="s">
        <v>43</v>
      </c>
      <c r="C34" s="1">
        <f>car_price_prediction_[[#This Row],[Year2]]</f>
        <v>2022</v>
      </c>
      <c r="D34">
        <v>2022</v>
      </c>
      <c r="E34">
        <f>car_price_prediction_[[#This Row],[Engine Size]]/10</f>
        <v>1.5</v>
      </c>
      <c r="F34">
        <v>15</v>
      </c>
      <c r="G34" s="1" t="s">
        <v>29</v>
      </c>
      <c r="H34" s="1" t="s">
        <v>22</v>
      </c>
      <c r="I34" s="12">
        <f>car_price_prediction_[[#This Row],[Mileage]]/1000</f>
        <v>50.811999999999998</v>
      </c>
      <c r="J34" s="5">
        <v>50812</v>
      </c>
      <c r="K34" s="1" t="s">
        <v>17</v>
      </c>
      <c r="L34" s="5">
        <f>car_price_prediction_[[#This Row],[Price]]/100</f>
        <v>92009.61</v>
      </c>
      <c r="M34">
        <v>9200961</v>
      </c>
      <c r="N34" s="1" t="s">
        <v>47</v>
      </c>
      <c r="O34" s="1">
        <f>IF(IFERROR(VLOOKUP(car_price_prediction_[[#This Row],[Car ID]],A35:A2534,1,FALSE),0),1,0)</f>
        <v>0</v>
      </c>
    </row>
    <row r="35" spans="1:15" x14ac:dyDescent="0.25">
      <c r="A35">
        <v>34</v>
      </c>
      <c r="B35" s="1" t="s">
        <v>24</v>
      </c>
      <c r="C35" s="1">
        <f>car_price_prediction_[[#This Row],[Year2]]</f>
        <v>2007</v>
      </c>
      <c r="D35">
        <v>2007</v>
      </c>
      <c r="E35">
        <f>car_price_prediction_[[#This Row],[Engine Size]]/10</f>
        <v>4.7</v>
      </c>
      <c r="F35">
        <v>47</v>
      </c>
      <c r="G35" s="1" t="s">
        <v>21</v>
      </c>
      <c r="H35" s="1" t="s">
        <v>12</v>
      </c>
      <c r="I35" s="12">
        <f>car_price_prediction_[[#This Row],[Mileage]]/1000</f>
        <v>278.20299999999997</v>
      </c>
      <c r="J35" s="5">
        <v>278203</v>
      </c>
      <c r="K35" s="1" t="s">
        <v>25</v>
      </c>
      <c r="L35" s="5">
        <f>car_price_prediction_[[#This Row],[Price]]/100</f>
        <v>31382.99</v>
      </c>
      <c r="M35">
        <v>3138299</v>
      </c>
      <c r="N35" s="1" t="s">
        <v>34</v>
      </c>
      <c r="O35" s="1">
        <f>IF(IFERROR(VLOOKUP(car_price_prediction_[[#This Row],[Car ID]],A36:A2535,1,FALSE),0),1,0)</f>
        <v>0</v>
      </c>
    </row>
    <row r="36" spans="1:15" x14ac:dyDescent="0.25">
      <c r="A36">
        <v>35</v>
      </c>
      <c r="B36" s="1" t="s">
        <v>24</v>
      </c>
      <c r="C36" s="1">
        <f>car_price_prediction_[[#This Row],[Year2]]</f>
        <v>2005</v>
      </c>
      <c r="D36">
        <v>2005</v>
      </c>
      <c r="E36">
        <f>car_price_prediction_[[#This Row],[Engine Size]]/10</f>
        <v>5.6</v>
      </c>
      <c r="F36">
        <v>56</v>
      </c>
      <c r="G36" s="1" t="s">
        <v>11</v>
      </c>
      <c r="H36" s="1" t="s">
        <v>22</v>
      </c>
      <c r="I36" s="12">
        <f>car_price_prediction_[[#This Row],[Mileage]]/1000</f>
        <v>252.86199999999999</v>
      </c>
      <c r="J36" s="5">
        <v>252862</v>
      </c>
      <c r="K36" s="1" t="s">
        <v>25</v>
      </c>
      <c r="L36" s="5">
        <f>car_price_prediction_[[#This Row],[Price]]/100</f>
        <v>22849.55</v>
      </c>
      <c r="M36">
        <v>2284955</v>
      </c>
      <c r="N36" s="1" t="s">
        <v>26</v>
      </c>
      <c r="O36" s="1">
        <f>IF(IFERROR(VLOOKUP(car_price_prediction_[[#This Row],[Car ID]],A37:A2536,1,FALSE),0),1,0)</f>
        <v>0</v>
      </c>
    </row>
    <row r="37" spans="1:15" x14ac:dyDescent="0.25">
      <c r="A37">
        <v>36</v>
      </c>
      <c r="B37" s="1" t="s">
        <v>10</v>
      </c>
      <c r="C37" s="1">
        <f>car_price_prediction_[[#This Row],[Year2]]</f>
        <v>2004</v>
      </c>
      <c r="D37">
        <v>2004</v>
      </c>
      <c r="E37">
        <f>car_price_prediction_[[#This Row],[Engine Size]]/10</f>
        <v>3.2</v>
      </c>
      <c r="F37">
        <v>32</v>
      </c>
      <c r="G37" s="1" t="s">
        <v>11</v>
      </c>
      <c r="H37" s="1" t="s">
        <v>12</v>
      </c>
      <c r="I37" s="12">
        <f>car_price_prediction_[[#This Row],[Mileage]]/1000</f>
        <v>171.84</v>
      </c>
      <c r="J37" s="5">
        <v>171840</v>
      </c>
      <c r="K37" s="1" t="s">
        <v>25</v>
      </c>
      <c r="L37" s="5">
        <f>car_price_prediction_[[#This Row],[Price]]/100</f>
        <v>2982.23</v>
      </c>
      <c r="M37">
        <v>298223</v>
      </c>
      <c r="N37" s="1" t="s">
        <v>33</v>
      </c>
      <c r="O37" s="1">
        <f>IF(IFERROR(VLOOKUP(car_price_prediction_[[#This Row],[Car ID]],A38:A2537,1,FALSE),0),1,0)</f>
        <v>0</v>
      </c>
    </row>
    <row r="38" spans="1:15" x14ac:dyDescent="0.25">
      <c r="A38">
        <v>37</v>
      </c>
      <c r="B38" s="1" t="s">
        <v>30</v>
      </c>
      <c r="C38" s="1">
        <f>car_price_prediction_[[#This Row],[Year2]]</f>
        <v>2014</v>
      </c>
      <c r="D38">
        <v>2014</v>
      </c>
      <c r="E38">
        <f>car_price_prediction_[[#This Row],[Engine Size]]/10</f>
        <v>2.2999999999999998</v>
      </c>
      <c r="F38">
        <v>23</v>
      </c>
      <c r="G38" s="1" t="s">
        <v>21</v>
      </c>
      <c r="H38" s="1" t="s">
        <v>12</v>
      </c>
      <c r="I38" s="12">
        <f>car_price_prediction_[[#This Row],[Mileage]]/1000</f>
        <v>25.395</v>
      </c>
      <c r="J38" s="5">
        <v>25395</v>
      </c>
      <c r="K38" s="1" t="s">
        <v>13</v>
      </c>
      <c r="L38" s="5">
        <f>car_price_prediction_[[#This Row],[Price]]/100</f>
        <v>76380.320000000007</v>
      </c>
      <c r="M38">
        <v>7638032</v>
      </c>
      <c r="N38" s="1" t="s">
        <v>48</v>
      </c>
      <c r="O38" s="1">
        <f>IF(IFERROR(VLOOKUP(car_price_prediction_[[#This Row],[Car ID]],A39:A2538,1,FALSE),0),1,0)</f>
        <v>0</v>
      </c>
    </row>
    <row r="39" spans="1:15" x14ac:dyDescent="0.25">
      <c r="A39">
        <v>38</v>
      </c>
      <c r="B39" s="1" t="s">
        <v>15</v>
      </c>
      <c r="C39" s="1">
        <f>car_price_prediction_[[#This Row],[Year2]]</f>
        <v>2021</v>
      </c>
      <c r="D39">
        <v>2021</v>
      </c>
      <c r="E39">
        <f>car_price_prediction_[[#This Row],[Engine Size]]/10</f>
        <v>3.2</v>
      </c>
      <c r="F39">
        <v>32</v>
      </c>
      <c r="G39" s="1" t="s">
        <v>21</v>
      </c>
      <c r="H39" s="1" t="s">
        <v>22</v>
      </c>
      <c r="I39" s="12">
        <f>car_price_prediction_[[#This Row],[Mileage]]/1000</f>
        <v>282.346</v>
      </c>
      <c r="J39" s="5">
        <v>282346</v>
      </c>
      <c r="K39" s="1" t="s">
        <v>13</v>
      </c>
      <c r="L39" s="5">
        <f>car_price_prediction_[[#This Row],[Price]]/100</f>
        <v>40155.51</v>
      </c>
      <c r="M39">
        <v>4015551</v>
      </c>
      <c r="N39" s="1" t="s">
        <v>18</v>
      </c>
      <c r="O39" s="1">
        <f>IF(IFERROR(VLOOKUP(car_price_prediction_[[#This Row],[Car ID]],A40:A2539,1,FALSE),0),1,0)</f>
        <v>0</v>
      </c>
    </row>
    <row r="40" spans="1:15" x14ac:dyDescent="0.25">
      <c r="A40">
        <v>39</v>
      </c>
      <c r="B40" s="1" t="s">
        <v>15</v>
      </c>
      <c r="C40" s="1">
        <f>car_price_prediction_[[#This Row],[Year2]]</f>
        <v>2014</v>
      </c>
      <c r="D40">
        <v>2014</v>
      </c>
      <c r="E40">
        <f>car_price_prediction_[[#This Row],[Engine Size]]/10</f>
        <v>4.5999999999999996</v>
      </c>
      <c r="F40">
        <v>46</v>
      </c>
      <c r="G40" s="1" t="s">
        <v>29</v>
      </c>
      <c r="H40" s="1" t="s">
        <v>12</v>
      </c>
      <c r="I40" s="12">
        <f>car_price_prediction_[[#This Row],[Mileage]]/1000</f>
        <v>229.70699999999999</v>
      </c>
      <c r="J40" s="5">
        <v>229707</v>
      </c>
      <c r="K40" s="1" t="s">
        <v>25</v>
      </c>
      <c r="L40" s="5">
        <f>car_price_prediction_[[#This Row],[Price]]/100</f>
        <v>21471.98</v>
      </c>
      <c r="M40">
        <v>2147198</v>
      </c>
      <c r="N40" s="1" t="s">
        <v>35</v>
      </c>
      <c r="O40" s="1">
        <f>IF(IFERROR(VLOOKUP(car_price_prediction_[[#This Row],[Car ID]],A41:A2540,1,FALSE),0),1,0)</f>
        <v>0</v>
      </c>
    </row>
    <row r="41" spans="1:15" x14ac:dyDescent="0.25">
      <c r="A41">
        <v>40</v>
      </c>
      <c r="B41" s="1" t="s">
        <v>10</v>
      </c>
      <c r="C41" s="1">
        <f>car_price_prediction_[[#This Row],[Year2]]</f>
        <v>2001</v>
      </c>
      <c r="D41">
        <v>2001</v>
      </c>
      <c r="E41">
        <f>car_price_prediction_[[#This Row],[Engine Size]]/10</f>
        <v>1</v>
      </c>
      <c r="F41">
        <v>10</v>
      </c>
      <c r="G41" s="1" t="s">
        <v>21</v>
      </c>
      <c r="H41" s="1" t="s">
        <v>12</v>
      </c>
      <c r="I41" s="12">
        <f>car_price_prediction_[[#This Row],[Mileage]]/1000</f>
        <v>247.18100000000001</v>
      </c>
      <c r="J41" s="5">
        <v>247181</v>
      </c>
      <c r="K41" s="1" t="s">
        <v>13</v>
      </c>
      <c r="L41" s="5">
        <f>car_price_prediction_[[#This Row],[Price]]/100</f>
        <v>14346.62</v>
      </c>
      <c r="M41">
        <v>1434662</v>
      </c>
      <c r="N41" s="1" t="s">
        <v>14</v>
      </c>
      <c r="O41" s="1">
        <f>IF(IFERROR(VLOOKUP(car_price_prediction_[[#This Row],[Car ID]],A42:A2541,1,FALSE),0),1,0)</f>
        <v>0</v>
      </c>
    </row>
    <row r="42" spans="1:15" x14ac:dyDescent="0.25">
      <c r="A42">
        <v>41</v>
      </c>
      <c r="B42" s="1" t="s">
        <v>36</v>
      </c>
      <c r="C42" s="1">
        <f>car_price_prediction_[[#This Row],[Year2]]</f>
        <v>2000</v>
      </c>
      <c r="D42">
        <v>2000</v>
      </c>
      <c r="E42">
        <f>car_price_prediction_[[#This Row],[Engine Size]]/10</f>
        <v>3.9</v>
      </c>
      <c r="F42">
        <v>39</v>
      </c>
      <c r="G42" s="1" t="s">
        <v>11</v>
      </c>
      <c r="H42" s="1" t="s">
        <v>12</v>
      </c>
      <c r="I42" s="12">
        <f>car_price_prediction_[[#This Row],[Mileage]]/1000</f>
        <v>204.12</v>
      </c>
      <c r="J42" s="5">
        <v>204120</v>
      </c>
      <c r="K42" s="1" t="s">
        <v>13</v>
      </c>
      <c r="L42" s="5">
        <f>car_price_prediction_[[#This Row],[Price]]/100</f>
        <v>36094.75</v>
      </c>
      <c r="M42">
        <v>3609475</v>
      </c>
      <c r="N42" s="1" t="s">
        <v>41</v>
      </c>
      <c r="O42" s="1">
        <f>IF(IFERROR(VLOOKUP(car_price_prediction_[[#This Row],[Car ID]],A43:A2542,1,FALSE),0),1,0)</f>
        <v>0</v>
      </c>
    </row>
    <row r="43" spans="1:15" x14ac:dyDescent="0.25">
      <c r="A43">
        <v>42</v>
      </c>
      <c r="B43" s="1" t="s">
        <v>36</v>
      </c>
      <c r="C43" s="1">
        <f>car_price_prediction_[[#This Row],[Year2]]</f>
        <v>2022</v>
      </c>
      <c r="D43">
        <v>2022</v>
      </c>
      <c r="E43">
        <f>car_price_prediction_[[#This Row],[Engine Size]]/10</f>
        <v>4.0999999999999996</v>
      </c>
      <c r="F43">
        <v>41</v>
      </c>
      <c r="G43" s="1" t="s">
        <v>16</v>
      </c>
      <c r="H43" s="1" t="s">
        <v>12</v>
      </c>
      <c r="I43" s="12">
        <f>car_price_prediction_[[#This Row],[Mileage]]/1000</f>
        <v>224.839</v>
      </c>
      <c r="J43" s="5">
        <v>224839</v>
      </c>
      <c r="K43" s="1" t="s">
        <v>13</v>
      </c>
      <c r="L43" s="5">
        <f>car_price_prediction_[[#This Row],[Price]]/100</f>
        <v>17932.96</v>
      </c>
      <c r="M43">
        <v>1793296</v>
      </c>
      <c r="N43" s="1" t="s">
        <v>37</v>
      </c>
      <c r="O43" s="1">
        <f>IF(IFERROR(VLOOKUP(car_price_prediction_[[#This Row],[Car ID]],A44:A2543,1,FALSE),0),1,0)</f>
        <v>0</v>
      </c>
    </row>
    <row r="44" spans="1:15" x14ac:dyDescent="0.25">
      <c r="A44">
        <v>43</v>
      </c>
      <c r="B44" s="1" t="s">
        <v>10</v>
      </c>
      <c r="C44" s="1">
        <f>car_price_prediction_[[#This Row],[Year2]]</f>
        <v>2022</v>
      </c>
      <c r="D44">
        <v>2022</v>
      </c>
      <c r="E44">
        <f>car_price_prediction_[[#This Row],[Engine Size]]/10</f>
        <v>4.2</v>
      </c>
      <c r="F44">
        <v>42</v>
      </c>
      <c r="G44" s="1" t="s">
        <v>21</v>
      </c>
      <c r="H44" s="1" t="s">
        <v>22</v>
      </c>
      <c r="I44" s="12">
        <f>car_price_prediction_[[#This Row],[Mileage]]/1000</f>
        <v>219.88200000000001</v>
      </c>
      <c r="J44" s="5">
        <v>219882</v>
      </c>
      <c r="K44" s="1" t="s">
        <v>25</v>
      </c>
      <c r="L44" s="5">
        <f>car_price_prediction_[[#This Row],[Price]]/100</f>
        <v>19855.490000000002</v>
      </c>
      <c r="M44">
        <v>1985549</v>
      </c>
      <c r="N44" s="1" t="s">
        <v>23</v>
      </c>
      <c r="O44" s="1">
        <f>IF(IFERROR(VLOOKUP(car_price_prediction_[[#This Row],[Car ID]],A45:A2544,1,FALSE),0),1,0)</f>
        <v>0</v>
      </c>
    </row>
    <row r="45" spans="1:15" x14ac:dyDescent="0.25">
      <c r="A45">
        <v>44</v>
      </c>
      <c r="B45" s="1" t="s">
        <v>36</v>
      </c>
      <c r="C45" s="1">
        <f>car_price_prediction_[[#This Row],[Year2]]</f>
        <v>2010</v>
      </c>
      <c r="D45">
        <v>2010</v>
      </c>
      <c r="E45">
        <f>car_price_prediction_[[#This Row],[Engine Size]]/10</f>
        <v>2.2000000000000002</v>
      </c>
      <c r="F45">
        <v>22</v>
      </c>
      <c r="G45" s="1" t="s">
        <v>21</v>
      </c>
      <c r="H45" s="1" t="s">
        <v>22</v>
      </c>
      <c r="I45" s="12">
        <f>car_price_prediction_[[#This Row],[Mileage]]/1000</f>
        <v>103.235</v>
      </c>
      <c r="J45" s="5">
        <v>103235</v>
      </c>
      <c r="K45" s="1" t="s">
        <v>17</v>
      </c>
      <c r="L45" s="5">
        <f>car_price_prediction_[[#This Row],[Price]]/100</f>
        <v>69968.98</v>
      </c>
      <c r="M45">
        <v>6996898</v>
      </c>
      <c r="N45" s="1" t="s">
        <v>40</v>
      </c>
      <c r="O45" s="1">
        <f>IF(IFERROR(VLOOKUP(car_price_prediction_[[#This Row],[Car ID]],A46:A2545,1,FALSE),0),1,0)</f>
        <v>0</v>
      </c>
    </row>
    <row r="46" spans="1:15" x14ac:dyDescent="0.25">
      <c r="A46">
        <v>45</v>
      </c>
      <c r="B46" s="1" t="s">
        <v>24</v>
      </c>
      <c r="C46" s="1">
        <f>car_price_prediction_[[#This Row],[Year2]]</f>
        <v>2009</v>
      </c>
      <c r="D46">
        <v>2009</v>
      </c>
      <c r="E46">
        <f>car_price_prediction_[[#This Row],[Engine Size]]/10</f>
        <v>4.5999999999999996</v>
      </c>
      <c r="F46">
        <v>46</v>
      </c>
      <c r="G46" s="1" t="s">
        <v>29</v>
      </c>
      <c r="H46" s="1" t="s">
        <v>12</v>
      </c>
      <c r="I46" s="12">
        <f>car_price_prediction_[[#This Row],[Mileage]]/1000</f>
        <v>45.51</v>
      </c>
      <c r="J46" s="5">
        <v>45510</v>
      </c>
      <c r="K46" s="1" t="s">
        <v>25</v>
      </c>
      <c r="L46" s="5">
        <f>car_price_prediction_[[#This Row],[Price]]/100</f>
        <v>6874.55</v>
      </c>
      <c r="M46">
        <v>687455</v>
      </c>
      <c r="N46" s="1" t="s">
        <v>32</v>
      </c>
      <c r="O46" s="1">
        <f>IF(IFERROR(VLOOKUP(car_price_prediction_[[#This Row],[Car ID]],A47:A2546,1,FALSE),0),1,0)</f>
        <v>0</v>
      </c>
    </row>
    <row r="47" spans="1:15" x14ac:dyDescent="0.25">
      <c r="A47">
        <v>46</v>
      </c>
      <c r="B47" s="1" t="s">
        <v>15</v>
      </c>
      <c r="C47" s="1">
        <f>car_price_prediction_[[#This Row],[Year2]]</f>
        <v>2017</v>
      </c>
      <c r="D47">
        <v>2017</v>
      </c>
      <c r="E47">
        <f>car_price_prediction_[[#This Row],[Engine Size]]/10</f>
        <v>1.5</v>
      </c>
      <c r="F47">
        <v>15</v>
      </c>
      <c r="G47" s="1" t="s">
        <v>29</v>
      </c>
      <c r="H47" s="1" t="s">
        <v>22</v>
      </c>
      <c r="I47" s="12">
        <f>car_price_prediction_[[#This Row],[Mileage]]/1000</f>
        <v>87.944999999999993</v>
      </c>
      <c r="J47" s="5">
        <v>87945</v>
      </c>
      <c r="K47" s="1" t="s">
        <v>25</v>
      </c>
      <c r="L47" s="5">
        <f>car_price_prediction_[[#This Row],[Price]]/100</f>
        <v>16167.56</v>
      </c>
      <c r="M47">
        <v>1616756</v>
      </c>
      <c r="N47" s="1" t="s">
        <v>18</v>
      </c>
      <c r="O47" s="1">
        <f>IF(IFERROR(VLOOKUP(car_price_prediction_[[#This Row],[Car ID]],A48:A2547,1,FALSE),0),1,0)</f>
        <v>0</v>
      </c>
    </row>
    <row r="48" spans="1:15" x14ac:dyDescent="0.25">
      <c r="A48">
        <v>47</v>
      </c>
      <c r="B48" s="1" t="s">
        <v>10</v>
      </c>
      <c r="C48" s="1">
        <f>car_price_prediction_[[#This Row],[Year2]]</f>
        <v>2017</v>
      </c>
      <c r="D48">
        <v>2017</v>
      </c>
      <c r="E48">
        <f>car_price_prediction_[[#This Row],[Engine Size]]/10</f>
        <v>2</v>
      </c>
      <c r="F48">
        <v>20</v>
      </c>
      <c r="G48" s="1" t="s">
        <v>21</v>
      </c>
      <c r="H48" s="1" t="s">
        <v>12</v>
      </c>
      <c r="I48" s="12">
        <f>car_price_prediction_[[#This Row],[Mileage]]/1000</f>
        <v>242.80199999999999</v>
      </c>
      <c r="J48" s="5">
        <v>242802</v>
      </c>
      <c r="K48" s="1" t="s">
        <v>13</v>
      </c>
      <c r="L48" s="5">
        <f>car_price_prediction_[[#This Row],[Price]]/100</f>
        <v>85214.720000000001</v>
      </c>
      <c r="M48">
        <v>8521472</v>
      </c>
      <c r="N48" s="1" t="s">
        <v>49</v>
      </c>
      <c r="O48" s="1">
        <f>IF(IFERROR(VLOOKUP(car_price_prediction_[[#This Row],[Car ID]],A49:A2548,1,FALSE),0),1,0)</f>
        <v>0</v>
      </c>
    </row>
    <row r="49" spans="1:15" x14ac:dyDescent="0.25">
      <c r="A49">
        <v>48</v>
      </c>
      <c r="B49" s="1" t="s">
        <v>15</v>
      </c>
      <c r="C49" s="1">
        <f>car_price_prediction_[[#This Row],[Year2]]</f>
        <v>2016</v>
      </c>
      <c r="D49">
        <v>2016</v>
      </c>
      <c r="E49">
        <f>car_price_prediction_[[#This Row],[Engine Size]]/10</f>
        <v>5.4</v>
      </c>
      <c r="F49">
        <v>54</v>
      </c>
      <c r="G49" s="1" t="s">
        <v>11</v>
      </c>
      <c r="H49" s="1" t="s">
        <v>22</v>
      </c>
      <c r="I49" s="12">
        <f>car_price_prediction_[[#This Row],[Mileage]]/1000</f>
        <v>250.16800000000001</v>
      </c>
      <c r="J49" s="5">
        <v>250168</v>
      </c>
      <c r="K49" s="1" t="s">
        <v>13</v>
      </c>
      <c r="L49" s="5">
        <f>car_price_prediction_[[#This Row],[Price]]/100</f>
        <v>85266.84</v>
      </c>
      <c r="M49">
        <v>8526684</v>
      </c>
      <c r="N49" s="1" t="s">
        <v>39</v>
      </c>
      <c r="O49" s="1">
        <f>IF(IFERROR(VLOOKUP(car_price_prediction_[[#This Row],[Car ID]],A50:A2549,1,FALSE),0),1,0)</f>
        <v>0</v>
      </c>
    </row>
    <row r="50" spans="1:15" x14ac:dyDescent="0.25">
      <c r="A50">
        <v>49</v>
      </c>
      <c r="B50" s="1" t="s">
        <v>43</v>
      </c>
      <c r="C50" s="1">
        <f>car_price_prediction_[[#This Row],[Year2]]</f>
        <v>2007</v>
      </c>
      <c r="D50">
        <v>2007</v>
      </c>
      <c r="E50">
        <f>car_price_prediction_[[#This Row],[Engine Size]]/10</f>
        <v>4.7</v>
      </c>
      <c r="F50">
        <v>47</v>
      </c>
      <c r="G50" s="1" t="s">
        <v>11</v>
      </c>
      <c r="H50" s="1" t="s">
        <v>22</v>
      </c>
      <c r="I50" s="12">
        <f>car_price_prediction_[[#This Row],[Mileage]]/1000</f>
        <v>2.8809999999999998</v>
      </c>
      <c r="J50" s="5">
        <v>2881</v>
      </c>
      <c r="K50" s="1" t="s">
        <v>17</v>
      </c>
      <c r="L50" s="5">
        <f>car_price_prediction_[[#This Row],[Price]]/100</f>
        <v>36278.129999999997</v>
      </c>
      <c r="M50">
        <v>3627813</v>
      </c>
      <c r="N50" s="1" t="s">
        <v>50</v>
      </c>
      <c r="O50" s="1">
        <f>IF(IFERROR(VLOOKUP(car_price_prediction_[[#This Row],[Car ID]],A51:A2550,1,FALSE),0),1,0)</f>
        <v>0</v>
      </c>
    </row>
    <row r="51" spans="1:15" x14ac:dyDescent="0.25">
      <c r="A51">
        <v>50</v>
      </c>
      <c r="B51" s="1" t="s">
        <v>24</v>
      </c>
      <c r="C51" s="1">
        <f>car_price_prediction_[[#This Row],[Year2]]</f>
        <v>2014</v>
      </c>
      <c r="D51">
        <v>2014</v>
      </c>
      <c r="E51">
        <f>car_price_prediction_[[#This Row],[Engine Size]]/10</f>
        <v>1.1000000000000001</v>
      </c>
      <c r="F51">
        <v>11</v>
      </c>
      <c r="G51" s="1" t="s">
        <v>16</v>
      </c>
      <c r="H51" s="1" t="s">
        <v>22</v>
      </c>
      <c r="I51" s="12">
        <f>car_price_prediction_[[#This Row],[Mileage]]/1000</f>
        <v>111.86</v>
      </c>
      <c r="J51" s="5">
        <v>111860</v>
      </c>
      <c r="K51" s="1" t="s">
        <v>17</v>
      </c>
      <c r="L51" s="5">
        <f>car_price_prediction_[[#This Row],[Price]]/100</f>
        <v>13355.54</v>
      </c>
      <c r="M51">
        <v>1335554</v>
      </c>
      <c r="N51" s="1" t="s">
        <v>32</v>
      </c>
      <c r="O51" s="1">
        <f>IF(IFERROR(VLOOKUP(car_price_prediction_[[#This Row],[Car ID]],A52:A2551,1,FALSE),0),1,0)</f>
        <v>0</v>
      </c>
    </row>
    <row r="52" spans="1:15" x14ac:dyDescent="0.25">
      <c r="A52">
        <v>51</v>
      </c>
      <c r="B52" s="1" t="s">
        <v>19</v>
      </c>
      <c r="C52" s="1">
        <f>car_price_prediction_[[#This Row],[Year2]]</f>
        <v>2007</v>
      </c>
      <c r="D52">
        <v>2007</v>
      </c>
      <c r="E52">
        <f>car_price_prediction_[[#This Row],[Engine Size]]/10</f>
        <v>2.2000000000000002</v>
      </c>
      <c r="F52">
        <v>22</v>
      </c>
      <c r="G52" s="1" t="s">
        <v>21</v>
      </c>
      <c r="H52" s="1" t="s">
        <v>22</v>
      </c>
      <c r="I52" s="12">
        <f>car_price_prediction_[[#This Row],[Mileage]]/1000</f>
        <v>166.41499999999999</v>
      </c>
      <c r="J52" s="5">
        <v>166415</v>
      </c>
      <c r="K52" s="1" t="s">
        <v>17</v>
      </c>
      <c r="L52" s="5">
        <f>car_price_prediction_[[#This Row],[Price]]/100</f>
        <v>71972.179999999993</v>
      </c>
      <c r="M52">
        <v>7197218</v>
      </c>
      <c r="N52" s="1" t="s">
        <v>28</v>
      </c>
      <c r="O52" s="1">
        <f>IF(IFERROR(VLOOKUP(car_price_prediction_[[#This Row],[Car ID]],A53:A2552,1,FALSE),0),1,0)</f>
        <v>0</v>
      </c>
    </row>
    <row r="53" spans="1:15" x14ac:dyDescent="0.25">
      <c r="A53">
        <v>52</v>
      </c>
      <c r="B53" s="1" t="s">
        <v>24</v>
      </c>
      <c r="C53" s="1">
        <f>car_price_prediction_[[#This Row],[Year2]]</f>
        <v>2016</v>
      </c>
      <c r="D53">
        <v>2016</v>
      </c>
      <c r="E53">
        <f>car_price_prediction_[[#This Row],[Engine Size]]/10</f>
        <v>2.1</v>
      </c>
      <c r="F53">
        <v>21</v>
      </c>
      <c r="G53" s="1" t="s">
        <v>29</v>
      </c>
      <c r="H53" s="1" t="s">
        <v>22</v>
      </c>
      <c r="I53" s="12">
        <f>car_price_prediction_[[#This Row],[Mileage]]/1000</f>
        <v>139.72800000000001</v>
      </c>
      <c r="J53" s="5">
        <v>139728</v>
      </c>
      <c r="K53" s="1" t="s">
        <v>17</v>
      </c>
      <c r="L53" s="5">
        <f>car_price_prediction_[[#This Row],[Price]]/100</f>
        <v>39212.51</v>
      </c>
      <c r="M53">
        <v>3921251</v>
      </c>
      <c r="N53" s="1" t="s">
        <v>26</v>
      </c>
      <c r="O53" s="1">
        <f>IF(IFERROR(VLOOKUP(car_price_prediction_[[#This Row],[Car ID]],A54:A2553,1,FALSE),0),1,0)</f>
        <v>0</v>
      </c>
    </row>
    <row r="54" spans="1:15" x14ac:dyDescent="0.25">
      <c r="A54">
        <v>53</v>
      </c>
      <c r="B54" s="1" t="s">
        <v>10</v>
      </c>
      <c r="C54" s="1">
        <f>car_price_prediction_[[#This Row],[Year2]]</f>
        <v>2011</v>
      </c>
      <c r="D54">
        <v>2011</v>
      </c>
      <c r="E54">
        <f>car_price_prediction_[[#This Row],[Engine Size]]/10</f>
        <v>2.4</v>
      </c>
      <c r="F54">
        <v>24</v>
      </c>
      <c r="G54" s="1" t="s">
        <v>11</v>
      </c>
      <c r="H54" s="1" t="s">
        <v>12</v>
      </c>
      <c r="I54" s="12">
        <f>car_price_prediction_[[#This Row],[Mileage]]/1000</f>
        <v>267.88499999999999</v>
      </c>
      <c r="J54" s="5">
        <v>267885</v>
      </c>
      <c r="K54" s="1" t="s">
        <v>25</v>
      </c>
      <c r="L54" s="5">
        <f>car_price_prediction_[[#This Row],[Price]]/100</f>
        <v>9319.14</v>
      </c>
      <c r="M54">
        <v>931914</v>
      </c>
      <c r="N54" s="1" t="s">
        <v>49</v>
      </c>
      <c r="O54" s="1">
        <f>IF(IFERROR(VLOOKUP(car_price_prediction_[[#This Row],[Car ID]],A55:A2554,1,FALSE),0),1,0)</f>
        <v>0</v>
      </c>
    </row>
    <row r="55" spans="1:15" x14ac:dyDescent="0.25">
      <c r="A55">
        <v>54</v>
      </c>
      <c r="B55" s="1" t="s">
        <v>19</v>
      </c>
      <c r="C55" s="1">
        <f>car_price_prediction_[[#This Row],[Year2]]</f>
        <v>2007</v>
      </c>
      <c r="D55">
        <v>2007</v>
      </c>
      <c r="E55">
        <f>car_price_prediction_[[#This Row],[Engine Size]]/10</f>
        <v>2.2000000000000002</v>
      </c>
      <c r="F55">
        <v>22</v>
      </c>
      <c r="G55" s="1" t="s">
        <v>16</v>
      </c>
      <c r="H55" s="1" t="s">
        <v>22</v>
      </c>
      <c r="I55" s="12">
        <f>car_price_prediction_[[#This Row],[Mileage]]/1000</f>
        <v>147.733</v>
      </c>
      <c r="J55" s="5">
        <v>147733</v>
      </c>
      <c r="K55" s="1" t="s">
        <v>17</v>
      </c>
      <c r="L55" s="5">
        <f>car_price_prediction_[[#This Row],[Price]]/100</f>
        <v>19993.560000000001</v>
      </c>
      <c r="M55">
        <v>1999356</v>
      </c>
      <c r="N55" s="1" t="s">
        <v>20</v>
      </c>
      <c r="O55" s="1">
        <f>IF(IFERROR(VLOOKUP(car_price_prediction_[[#This Row],[Car ID]],A56:A2555,1,FALSE),0),1,0)</f>
        <v>0</v>
      </c>
    </row>
    <row r="56" spans="1:15" x14ac:dyDescent="0.25">
      <c r="A56">
        <v>55</v>
      </c>
      <c r="B56" s="1" t="s">
        <v>43</v>
      </c>
      <c r="C56" s="1">
        <f>car_price_prediction_[[#This Row],[Year2]]</f>
        <v>2013</v>
      </c>
      <c r="D56">
        <v>2013</v>
      </c>
      <c r="E56">
        <f>car_price_prediction_[[#This Row],[Engine Size]]/10</f>
        <v>1.3</v>
      </c>
      <c r="F56">
        <v>13</v>
      </c>
      <c r="G56" s="1" t="s">
        <v>21</v>
      </c>
      <c r="H56" s="1" t="s">
        <v>12</v>
      </c>
      <c r="I56" s="12">
        <f>car_price_prediction_[[#This Row],[Mileage]]/1000</f>
        <v>290.834</v>
      </c>
      <c r="J56" s="5">
        <v>290834</v>
      </c>
      <c r="K56" s="1" t="s">
        <v>25</v>
      </c>
      <c r="L56" s="5">
        <f>car_price_prediction_[[#This Row],[Price]]/100</f>
        <v>18035.41</v>
      </c>
      <c r="M56">
        <v>1803541</v>
      </c>
      <c r="N56" s="1" t="s">
        <v>44</v>
      </c>
      <c r="O56" s="1">
        <f>IF(IFERROR(VLOOKUP(car_price_prediction_[[#This Row],[Car ID]],A57:A2556,1,FALSE),0),1,0)</f>
        <v>0</v>
      </c>
    </row>
    <row r="57" spans="1:15" x14ac:dyDescent="0.25">
      <c r="A57">
        <v>56</v>
      </c>
      <c r="B57" s="1" t="s">
        <v>10</v>
      </c>
      <c r="C57" s="1">
        <f>car_price_prediction_[[#This Row],[Year2]]</f>
        <v>2003</v>
      </c>
      <c r="D57">
        <v>2003</v>
      </c>
      <c r="E57">
        <f>car_price_prediction_[[#This Row],[Engine Size]]/10</f>
        <v>3.3</v>
      </c>
      <c r="F57">
        <v>33</v>
      </c>
      <c r="G57" s="1" t="s">
        <v>11</v>
      </c>
      <c r="H57" s="1" t="s">
        <v>12</v>
      </c>
      <c r="I57" s="12">
        <f>car_price_prediction_[[#This Row],[Mileage]]/1000</f>
        <v>294.97699999999998</v>
      </c>
      <c r="J57" s="5">
        <v>294977</v>
      </c>
      <c r="K57" s="1" t="s">
        <v>13</v>
      </c>
      <c r="L57" s="5">
        <f>car_price_prediction_[[#This Row],[Price]]/100</f>
        <v>60966.05</v>
      </c>
      <c r="M57">
        <v>6096605</v>
      </c>
      <c r="N57" s="1" t="s">
        <v>49</v>
      </c>
      <c r="O57" s="1">
        <f>IF(IFERROR(VLOOKUP(car_price_prediction_[[#This Row],[Car ID]],A58:A2557,1,FALSE),0),1,0)</f>
        <v>0</v>
      </c>
    </row>
    <row r="58" spans="1:15" x14ac:dyDescent="0.25">
      <c r="A58">
        <v>57</v>
      </c>
      <c r="B58" s="1" t="s">
        <v>30</v>
      </c>
      <c r="C58" s="1">
        <f>car_price_prediction_[[#This Row],[Year2]]</f>
        <v>2000</v>
      </c>
      <c r="D58">
        <v>2000</v>
      </c>
      <c r="E58">
        <f>car_price_prediction_[[#This Row],[Engine Size]]/10</f>
        <v>4.7</v>
      </c>
      <c r="F58">
        <v>47</v>
      </c>
      <c r="G58" s="1" t="s">
        <v>21</v>
      </c>
      <c r="H58" s="1" t="s">
        <v>22</v>
      </c>
      <c r="I58" s="12">
        <f>car_price_prediction_[[#This Row],[Mileage]]/1000</f>
        <v>102.566</v>
      </c>
      <c r="J58" s="5">
        <v>102566</v>
      </c>
      <c r="K58" s="1" t="s">
        <v>17</v>
      </c>
      <c r="L58" s="5">
        <f>car_price_prediction_[[#This Row],[Price]]/100</f>
        <v>90321.17</v>
      </c>
      <c r="M58">
        <v>9032117</v>
      </c>
      <c r="N58" s="1" t="s">
        <v>42</v>
      </c>
      <c r="O58" s="1">
        <f>IF(IFERROR(VLOOKUP(car_price_prediction_[[#This Row],[Car ID]],A59:A2558,1,FALSE),0),1,0)</f>
        <v>0</v>
      </c>
    </row>
    <row r="59" spans="1:15" x14ac:dyDescent="0.25">
      <c r="A59">
        <v>58</v>
      </c>
      <c r="B59" s="1" t="s">
        <v>15</v>
      </c>
      <c r="C59" s="1">
        <f>car_price_prediction_[[#This Row],[Year2]]</f>
        <v>2000</v>
      </c>
      <c r="D59">
        <v>2000</v>
      </c>
      <c r="E59">
        <f>car_price_prediction_[[#This Row],[Engine Size]]/10</f>
        <v>4</v>
      </c>
      <c r="F59">
        <v>40</v>
      </c>
      <c r="G59" s="1" t="s">
        <v>21</v>
      </c>
      <c r="H59" s="1" t="s">
        <v>12</v>
      </c>
      <c r="I59" s="12">
        <f>car_price_prediction_[[#This Row],[Mileage]]/1000</f>
        <v>71.239999999999995</v>
      </c>
      <c r="J59" s="5">
        <v>71240</v>
      </c>
      <c r="K59" s="1" t="s">
        <v>13</v>
      </c>
      <c r="L59" s="5">
        <f>car_price_prediction_[[#This Row],[Price]]/100</f>
        <v>80341.84</v>
      </c>
      <c r="M59">
        <v>8034184</v>
      </c>
      <c r="N59" s="1" t="s">
        <v>18</v>
      </c>
      <c r="O59" s="1">
        <f>IF(IFERROR(VLOOKUP(car_price_prediction_[[#This Row],[Car ID]],A60:A2559,1,FALSE),0),1,0)</f>
        <v>0</v>
      </c>
    </row>
    <row r="60" spans="1:15" x14ac:dyDescent="0.25">
      <c r="A60">
        <v>59</v>
      </c>
      <c r="B60" s="1" t="s">
        <v>43</v>
      </c>
      <c r="C60" s="1">
        <f>car_price_prediction_[[#This Row],[Year2]]</f>
        <v>2018</v>
      </c>
      <c r="D60">
        <v>2018</v>
      </c>
      <c r="E60">
        <f>car_price_prediction_[[#This Row],[Engine Size]]/10</f>
        <v>4.4000000000000004</v>
      </c>
      <c r="F60">
        <v>44</v>
      </c>
      <c r="G60" s="1" t="s">
        <v>11</v>
      </c>
      <c r="H60" s="1" t="s">
        <v>22</v>
      </c>
      <c r="I60" s="12">
        <f>car_price_prediction_[[#This Row],[Mileage]]/1000</f>
        <v>106.898</v>
      </c>
      <c r="J60" s="5">
        <v>106898</v>
      </c>
      <c r="K60" s="1" t="s">
        <v>13</v>
      </c>
      <c r="L60" s="5">
        <f>car_price_prediction_[[#This Row],[Price]]/100</f>
        <v>56919.02</v>
      </c>
      <c r="M60">
        <v>5691902</v>
      </c>
      <c r="N60" s="1" t="s">
        <v>50</v>
      </c>
      <c r="O60" s="1">
        <f>IF(IFERROR(VLOOKUP(car_price_prediction_[[#This Row],[Car ID]],A61:A2560,1,FALSE),0),1,0)</f>
        <v>0</v>
      </c>
    </row>
    <row r="61" spans="1:15" x14ac:dyDescent="0.25">
      <c r="A61">
        <v>60</v>
      </c>
      <c r="B61" s="1" t="s">
        <v>15</v>
      </c>
      <c r="C61" s="1">
        <f>car_price_prediction_[[#This Row],[Year2]]</f>
        <v>2015</v>
      </c>
      <c r="D61">
        <v>2015</v>
      </c>
      <c r="E61">
        <f>car_price_prediction_[[#This Row],[Engine Size]]/10</f>
        <v>1.4</v>
      </c>
      <c r="F61">
        <v>14</v>
      </c>
      <c r="G61" s="1" t="s">
        <v>11</v>
      </c>
      <c r="H61" s="1" t="s">
        <v>12</v>
      </c>
      <c r="I61" s="12">
        <f>car_price_prediction_[[#This Row],[Mileage]]/1000</f>
        <v>209.304</v>
      </c>
      <c r="J61" s="5">
        <v>209304</v>
      </c>
      <c r="K61" s="1" t="s">
        <v>25</v>
      </c>
      <c r="L61" s="5">
        <f>car_price_prediction_[[#This Row],[Price]]/100</f>
        <v>45104.74</v>
      </c>
      <c r="M61">
        <v>4510474</v>
      </c>
      <c r="N61" s="1" t="s">
        <v>51</v>
      </c>
      <c r="O61" s="1">
        <f>IF(IFERROR(VLOOKUP(car_price_prediction_[[#This Row],[Car ID]],A62:A2561,1,FALSE),0),1,0)</f>
        <v>0</v>
      </c>
    </row>
    <row r="62" spans="1:15" x14ac:dyDescent="0.25">
      <c r="A62">
        <v>61</v>
      </c>
      <c r="B62" s="1" t="s">
        <v>36</v>
      </c>
      <c r="C62" s="1">
        <f>car_price_prediction_[[#This Row],[Year2]]</f>
        <v>2013</v>
      </c>
      <c r="D62">
        <v>2013</v>
      </c>
      <c r="E62">
        <f>car_price_prediction_[[#This Row],[Engine Size]]/10</f>
        <v>5.8</v>
      </c>
      <c r="F62">
        <v>58</v>
      </c>
      <c r="G62" s="1" t="s">
        <v>11</v>
      </c>
      <c r="H62" s="1" t="s">
        <v>12</v>
      </c>
      <c r="I62" s="12">
        <f>car_price_prediction_[[#This Row],[Mileage]]/1000</f>
        <v>80.522000000000006</v>
      </c>
      <c r="J62" s="5">
        <v>80522</v>
      </c>
      <c r="K62" s="1" t="s">
        <v>17</v>
      </c>
      <c r="L62" s="5">
        <f>car_price_prediction_[[#This Row],[Price]]/100</f>
        <v>63774.29</v>
      </c>
      <c r="M62">
        <v>6377429</v>
      </c>
      <c r="N62" s="1" t="s">
        <v>46</v>
      </c>
      <c r="O62" s="1">
        <f>IF(IFERROR(VLOOKUP(car_price_prediction_[[#This Row],[Car ID]],A63:A2562,1,FALSE),0),1,0)</f>
        <v>0</v>
      </c>
    </row>
    <row r="63" spans="1:15" x14ac:dyDescent="0.25">
      <c r="A63">
        <v>62</v>
      </c>
      <c r="B63" s="1" t="s">
        <v>30</v>
      </c>
      <c r="C63" s="1">
        <f>car_price_prediction_[[#This Row],[Year2]]</f>
        <v>2020</v>
      </c>
      <c r="D63">
        <v>2020</v>
      </c>
      <c r="E63">
        <f>car_price_prediction_[[#This Row],[Engine Size]]/10</f>
        <v>5.2</v>
      </c>
      <c r="F63">
        <v>52</v>
      </c>
      <c r="G63" s="1" t="s">
        <v>21</v>
      </c>
      <c r="H63" s="1" t="s">
        <v>22</v>
      </c>
      <c r="I63" s="12">
        <f>car_price_prediction_[[#This Row],[Mileage]]/1000</f>
        <v>145.512</v>
      </c>
      <c r="J63" s="5">
        <v>145512</v>
      </c>
      <c r="K63" s="1" t="s">
        <v>25</v>
      </c>
      <c r="L63" s="5">
        <f>car_price_prediction_[[#This Row],[Price]]/100</f>
        <v>47162.21</v>
      </c>
      <c r="M63">
        <v>4716221</v>
      </c>
      <c r="N63" s="1" t="s">
        <v>45</v>
      </c>
      <c r="O63" s="1">
        <f>IF(IFERROR(VLOOKUP(car_price_prediction_[[#This Row],[Car ID]],A64:A2563,1,FALSE),0),1,0)</f>
        <v>0</v>
      </c>
    </row>
    <row r="64" spans="1:15" x14ac:dyDescent="0.25">
      <c r="A64">
        <v>63</v>
      </c>
      <c r="B64" s="1" t="s">
        <v>30</v>
      </c>
      <c r="C64" s="1">
        <f>car_price_prediction_[[#This Row],[Year2]]</f>
        <v>2015</v>
      </c>
      <c r="D64">
        <v>2015</v>
      </c>
      <c r="E64">
        <f>car_price_prediction_[[#This Row],[Engine Size]]/10</f>
        <v>5</v>
      </c>
      <c r="F64">
        <v>50</v>
      </c>
      <c r="G64" s="1" t="s">
        <v>21</v>
      </c>
      <c r="H64" s="1" t="s">
        <v>22</v>
      </c>
      <c r="I64" s="12">
        <f>car_price_prediction_[[#This Row],[Mileage]]/1000</f>
        <v>119.107</v>
      </c>
      <c r="J64" s="5">
        <v>119107</v>
      </c>
      <c r="K64" s="1" t="s">
        <v>13</v>
      </c>
      <c r="L64" s="5">
        <f>car_price_prediction_[[#This Row],[Price]]/100</f>
        <v>28379.42</v>
      </c>
      <c r="M64">
        <v>2837942</v>
      </c>
      <c r="N64" s="1" t="s">
        <v>42</v>
      </c>
      <c r="O64" s="1">
        <f>IF(IFERROR(VLOOKUP(car_price_prediction_[[#This Row],[Car ID]],A65:A2564,1,FALSE),0),1,0)</f>
        <v>0</v>
      </c>
    </row>
    <row r="65" spans="1:15" x14ac:dyDescent="0.25">
      <c r="A65">
        <v>64</v>
      </c>
      <c r="B65" s="1" t="s">
        <v>43</v>
      </c>
      <c r="C65" s="1">
        <f>car_price_prediction_[[#This Row],[Year2]]</f>
        <v>2004</v>
      </c>
      <c r="D65">
        <v>2004</v>
      </c>
      <c r="E65">
        <f>car_price_prediction_[[#This Row],[Engine Size]]/10</f>
        <v>5.0999999999999996</v>
      </c>
      <c r="F65">
        <v>51</v>
      </c>
      <c r="G65" s="1" t="s">
        <v>16</v>
      </c>
      <c r="H65" s="1" t="s">
        <v>22</v>
      </c>
      <c r="I65" s="12">
        <f>car_price_prediction_[[#This Row],[Mileage]]/1000</f>
        <v>22.462</v>
      </c>
      <c r="J65" s="5">
        <v>22462</v>
      </c>
      <c r="K65" s="1" t="s">
        <v>17</v>
      </c>
      <c r="L65" s="5">
        <f>car_price_prediction_[[#This Row],[Price]]/100</f>
        <v>69523.759999999995</v>
      </c>
      <c r="M65">
        <v>6952376</v>
      </c>
      <c r="N65" s="1" t="s">
        <v>44</v>
      </c>
      <c r="O65" s="1">
        <f>IF(IFERROR(VLOOKUP(car_price_prediction_[[#This Row],[Car ID]],A66:A2565,1,FALSE),0),1,0)</f>
        <v>0</v>
      </c>
    </row>
    <row r="66" spans="1:15" x14ac:dyDescent="0.25">
      <c r="A66">
        <v>65</v>
      </c>
      <c r="B66" s="1" t="s">
        <v>30</v>
      </c>
      <c r="C66" s="1">
        <f>car_price_prediction_[[#This Row],[Year2]]</f>
        <v>2008</v>
      </c>
      <c r="D66">
        <v>2008</v>
      </c>
      <c r="E66">
        <f>car_price_prediction_[[#This Row],[Engine Size]]/10</f>
        <v>5.7</v>
      </c>
      <c r="F66">
        <v>57</v>
      </c>
      <c r="G66" s="1" t="s">
        <v>29</v>
      </c>
      <c r="H66" s="1" t="s">
        <v>22</v>
      </c>
      <c r="I66" s="12">
        <f>car_price_prediction_[[#This Row],[Mileage]]/1000</f>
        <v>279.96499999999997</v>
      </c>
      <c r="J66" s="5">
        <v>279965</v>
      </c>
      <c r="K66" s="1" t="s">
        <v>13</v>
      </c>
      <c r="L66" s="5">
        <f>car_price_prediction_[[#This Row],[Price]]/100</f>
        <v>87958.17</v>
      </c>
      <c r="M66">
        <v>8795817</v>
      </c>
      <c r="N66" s="1" t="s">
        <v>48</v>
      </c>
      <c r="O66" s="1">
        <f>IF(IFERROR(VLOOKUP(car_price_prediction_[[#This Row],[Car ID]],A67:A2566,1,FALSE),0),1,0)</f>
        <v>0</v>
      </c>
    </row>
    <row r="67" spans="1:15" x14ac:dyDescent="0.25">
      <c r="A67">
        <v>66</v>
      </c>
      <c r="B67" s="1" t="s">
        <v>19</v>
      </c>
      <c r="C67" s="1">
        <f>car_price_prediction_[[#This Row],[Year2]]</f>
        <v>2001</v>
      </c>
      <c r="D67">
        <v>2001</v>
      </c>
      <c r="E67">
        <f>car_price_prediction_[[#This Row],[Engine Size]]/10</f>
        <v>3.7</v>
      </c>
      <c r="F67">
        <v>37</v>
      </c>
      <c r="G67" s="1" t="s">
        <v>21</v>
      </c>
      <c r="H67" s="1" t="s">
        <v>12</v>
      </c>
      <c r="I67" s="12">
        <f>car_price_prediction_[[#This Row],[Mileage]]/1000</f>
        <v>92.888999999999996</v>
      </c>
      <c r="J67" s="5">
        <v>92889</v>
      </c>
      <c r="K67" s="1" t="s">
        <v>13</v>
      </c>
      <c r="L67" s="5">
        <f>car_price_prediction_[[#This Row],[Price]]/100</f>
        <v>40422.68</v>
      </c>
      <c r="M67">
        <v>4042268</v>
      </c>
      <c r="N67" s="1" t="s">
        <v>20</v>
      </c>
      <c r="O67" s="1">
        <f>IF(IFERROR(VLOOKUP(car_price_prediction_[[#This Row],[Car ID]],A68:A2567,1,FALSE),0),1,0)</f>
        <v>0</v>
      </c>
    </row>
    <row r="68" spans="1:15" x14ac:dyDescent="0.25">
      <c r="A68">
        <v>67</v>
      </c>
      <c r="B68" s="1" t="s">
        <v>30</v>
      </c>
      <c r="C68" s="1">
        <f>car_price_prediction_[[#This Row],[Year2]]</f>
        <v>2017</v>
      </c>
      <c r="D68">
        <v>2017</v>
      </c>
      <c r="E68">
        <f>car_price_prediction_[[#This Row],[Engine Size]]/10</f>
        <v>2</v>
      </c>
      <c r="F68">
        <v>20</v>
      </c>
      <c r="G68" s="1" t="s">
        <v>29</v>
      </c>
      <c r="H68" s="1" t="s">
        <v>22</v>
      </c>
      <c r="I68" s="12">
        <f>car_price_prediction_[[#This Row],[Mileage]]/1000</f>
        <v>88.951999999999998</v>
      </c>
      <c r="J68" s="5">
        <v>88952</v>
      </c>
      <c r="K68" s="1" t="s">
        <v>17</v>
      </c>
      <c r="L68" s="5">
        <f>car_price_prediction_[[#This Row],[Price]]/100</f>
        <v>84946.15</v>
      </c>
      <c r="M68">
        <v>8494615</v>
      </c>
      <c r="N68" s="1" t="s">
        <v>42</v>
      </c>
      <c r="O68" s="1">
        <f>IF(IFERROR(VLOOKUP(car_price_prediction_[[#This Row],[Car ID]],A69:A2568,1,FALSE),0),1,0)</f>
        <v>0</v>
      </c>
    </row>
    <row r="69" spans="1:15" x14ac:dyDescent="0.25">
      <c r="A69">
        <v>68</v>
      </c>
      <c r="B69" s="1" t="s">
        <v>15</v>
      </c>
      <c r="C69" s="1">
        <f>car_price_prediction_[[#This Row],[Year2]]</f>
        <v>2005</v>
      </c>
      <c r="D69">
        <v>2005</v>
      </c>
      <c r="E69">
        <f>car_price_prediction_[[#This Row],[Engine Size]]/10</f>
        <v>4.0999999999999996</v>
      </c>
      <c r="F69">
        <v>41</v>
      </c>
      <c r="G69" s="1" t="s">
        <v>11</v>
      </c>
      <c r="H69" s="1" t="s">
        <v>12</v>
      </c>
      <c r="I69" s="12">
        <f>car_price_prediction_[[#This Row],[Mileage]]/1000</f>
        <v>193.596</v>
      </c>
      <c r="J69" s="5">
        <v>193596</v>
      </c>
      <c r="K69" s="1" t="s">
        <v>17</v>
      </c>
      <c r="L69" s="5">
        <f>car_price_prediction_[[#This Row],[Price]]/100</f>
        <v>45952.79</v>
      </c>
      <c r="M69">
        <v>4595279</v>
      </c>
      <c r="N69" s="1" t="s">
        <v>35</v>
      </c>
      <c r="O69" s="1">
        <f>IF(IFERROR(VLOOKUP(car_price_prediction_[[#This Row],[Car ID]],A70:A2569,1,FALSE),0),1,0)</f>
        <v>0</v>
      </c>
    </row>
    <row r="70" spans="1:15" x14ac:dyDescent="0.25">
      <c r="A70">
        <v>69</v>
      </c>
      <c r="B70" s="1" t="s">
        <v>15</v>
      </c>
      <c r="C70" s="1">
        <f>car_price_prediction_[[#This Row],[Year2]]</f>
        <v>2008</v>
      </c>
      <c r="D70">
        <v>2008</v>
      </c>
      <c r="E70">
        <f>car_price_prediction_[[#This Row],[Engine Size]]/10</f>
        <v>4.7</v>
      </c>
      <c r="F70">
        <v>47</v>
      </c>
      <c r="G70" s="1" t="s">
        <v>21</v>
      </c>
      <c r="H70" s="1" t="s">
        <v>12</v>
      </c>
      <c r="I70" s="12">
        <f>car_price_prediction_[[#This Row],[Mileage]]/1000</f>
        <v>177.505</v>
      </c>
      <c r="J70" s="5">
        <v>177505</v>
      </c>
      <c r="K70" s="1" t="s">
        <v>17</v>
      </c>
      <c r="L70" s="5">
        <f>car_price_prediction_[[#This Row],[Price]]/100</f>
        <v>43126.91</v>
      </c>
      <c r="M70">
        <v>4312691</v>
      </c>
      <c r="N70" s="1" t="s">
        <v>18</v>
      </c>
      <c r="O70" s="1">
        <f>IF(IFERROR(VLOOKUP(car_price_prediction_[[#This Row],[Car ID]],A71:A2570,1,FALSE),0),1,0)</f>
        <v>0</v>
      </c>
    </row>
    <row r="71" spans="1:15" x14ac:dyDescent="0.25">
      <c r="A71">
        <v>70</v>
      </c>
      <c r="B71" s="1" t="s">
        <v>10</v>
      </c>
      <c r="C71" s="1">
        <f>car_price_prediction_[[#This Row],[Year2]]</f>
        <v>2000</v>
      </c>
      <c r="D71">
        <v>2000</v>
      </c>
      <c r="E71">
        <f>car_price_prediction_[[#This Row],[Engine Size]]/10</f>
        <v>4.7</v>
      </c>
      <c r="F71">
        <v>47</v>
      </c>
      <c r="G71" s="1" t="s">
        <v>16</v>
      </c>
      <c r="H71" s="1" t="s">
        <v>12</v>
      </c>
      <c r="I71" s="12">
        <f>car_price_prediction_[[#This Row],[Mileage]]/1000</f>
        <v>221.57599999999999</v>
      </c>
      <c r="J71" s="5">
        <v>221576</v>
      </c>
      <c r="K71" s="1" t="s">
        <v>25</v>
      </c>
      <c r="L71" s="5">
        <f>car_price_prediction_[[#This Row],[Price]]/100</f>
        <v>7690.81</v>
      </c>
      <c r="M71">
        <v>769081</v>
      </c>
      <c r="N71" s="1" t="s">
        <v>14</v>
      </c>
      <c r="O71" s="1">
        <f>IF(IFERROR(VLOOKUP(car_price_prediction_[[#This Row],[Car ID]],A72:A2571,1,FALSE),0),1,0)</f>
        <v>0</v>
      </c>
    </row>
    <row r="72" spans="1:15" x14ac:dyDescent="0.25">
      <c r="A72">
        <v>71</v>
      </c>
      <c r="B72" s="1" t="s">
        <v>15</v>
      </c>
      <c r="C72" s="1">
        <f>car_price_prediction_[[#This Row],[Year2]]</f>
        <v>2008</v>
      </c>
      <c r="D72">
        <v>2008</v>
      </c>
      <c r="E72">
        <f>car_price_prediction_[[#This Row],[Engine Size]]/10</f>
        <v>3.6</v>
      </c>
      <c r="F72">
        <v>36</v>
      </c>
      <c r="G72" s="1" t="s">
        <v>16</v>
      </c>
      <c r="H72" s="1" t="s">
        <v>12</v>
      </c>
      <c r="I72" s="12">
        <f>car_price_prediction_[[#This Row],[Mileage]]/1000</f>
        <v>219.393</v>
      </c>
      <c r="J72" s="5">
        <v>219393</v>
      </c>
      <c r="K72" s="1" t="s">
        <v>25</v>
      </c>
      <c r="L72" s="5">
        <f>car_price_prediction_[[#This Row],[Price]]/100</f>
        <v>7105.15</v>
      </c>
      <c r="M72">
        <v>710515</v>
      </c>
      <c r="N72" s="1" t="s">
        <v>18</v>
      </c>
      <c r="O72" s="1">
        <f>IF(IFERROR(VLOOKUP(car_price_prediction_[[#This Row],[Car ID]],A73:A2572,1,FALSE),0),1,0)</f>
        <v>0</v>
      </c>
    </row>
    <row r="73" spans="1:15" x14ac:dyDescent="0.25">
      <c r="A73">
        <v>72</v>
      </c>
      <c r="B73" s="1" t="s">
        <v>10</v>
      </c>
      <c r="C73" s="1">
        <f>car_price_prediction_[[#This Row],[Year2]]</f>
        <v>2015</v>
      </c>
      <c r="D73">
        <v>2015</v>
      </c>
      <c r="E73">
        <f>car_price_prediction_[[#This Row],[Engine Size]]/10</f>
        <v>1.3</v>
      </c>
      <c r="F73">
        <v>13</v>
      </c>
      <c r="G73" s="1" t="s">
        <v>29</v>
      </c>
      <c r="H73" s="1" t="s">
        <v>12</v>
      </c>
      <c r="I73" s="12">
        <f>car_price_prediction_[[#This Row],[Mileage]]/1000</f>
        <v>275.45499999999998</v>
      </c>
      <c r="J73" s="5">
        <v>275455</v>
      </c>
      <c r="K73" s="1" t="s">
        <v>13</v>
      </c>
      <c r="L73" s="5">
        <f>car_price_prediction_[[#This Row],[Price]]/100</f>
        <v>81712.740000000005</v>
      </c>
      <c r="M73">
        <v>8171274</v>
      </c>
      <c r="N73" s="1" t="s">
        <v>49</v>
      </c>
      <c r="O73" s="1">
        <f>IF(IFERROR(VLOOKUP(car_price_prediction_[[#This Row],[Car ID]],A74:A2573,1,FALSE),0),1,0)</f>
        <v>0</v>
      </c>
    </row>
    <row r="74" spans="1:15" x14ac:dyDescent="0.25">
      <c r="A74">
        <v>73</v>
      </c>
      <c r="B74" s="1" t="s">
        <v>15</v>
      </c>
      <c r="C74" s="1">
        <f>car_price_prediction_[[#This Row],[Year2]]</f>
        <v>2012</v>
      </c>
      <c r="D74">
        <v>2012</v>
      </c>
      <c r="E74">
        <f>car_price_prediction_[[#This Row],[Engine Size]]/10</f>
        <v>2.9</v>
      </c>
      <c r="F74">
        <v>29</v>
      </c>
      <c r="G74" s="1" t="s">
        <v>11</v>
      </c>
      <c r="H74" s="1" t="s">
        <v>12</v>
      </c>
      <c r="I74" s="12">
        <f>car_price_prediction_[[#This Row],[Mileage]]/1000</f>
        <v>254.084</v>
      </c>
      <c r="J74" s="5">
        <v>254084</v>
      </c>
      <c r="K74" s="1" t="s">
        <v>17</v>
      </c>
      <c r="L74" s="5">
        <f>car_price_prediction_[[#This Row],[Price]]/100</f>
        <v>68037.91</v>
      </c>
      <c r="M74">
        <v>6803791</v>
      </c>
      <c r="N74" s="1" t="s">
        <v>39</v>
      </c>
      <c r="O74" s="1">
        <f>IF(IFERROR(VLOOKUP(car_price_prediction_[[#This Row],[Car ID]],A75:A2574,1,FALSE),0),1,0)</f>
        <v>0</v>
      </c>
    </row>
    <row r="75" spans="1:15" x14ac:dyDescent="0.25">
      <c r="A75">
        <v>74</v>
      </c>
      <c r="B75" s="1" t="s">
        <v>19</v>
      </c>
      <c r="C75" s="1">
        <f>car_price_prediction_[[#This Row],[Year2]]</f>
        <v>2008</v>
      </c>
      <c r="D75">
        <v>2008</v>
      </c>
      <c r="E75">
        <f>car_price_prediction_[[#This Row],[Engine Size]]/10</f>
        <v>5.6</v>
      </c>
      <c r="F75">
        <v>56</v>
      </c>
      <c r="G75" s="1" t="s">
        <v>29</v>
      </c>
      <c r="H75" s="1" t="s">
        <v>22</v>
      </c>
      <c r="I75" s="12">
        <f>car_price_prediction_[[#This Row],[Mileage]]/1000</f>
        <v>129.46600000000001</v>
      </c>
      <c r="J75" s="5">
        <v>129466</v>
      </c>
      <c r="K75" s="1" t="s">
        <v>13</v>
      </c>
      <c r="L75" s="5">
        <f>car_price_prediction_[[#This Row],[Price]]/100</f>
        <v>19379.29</v>
      </c>
      <c r="M75">
        <v>1937929</v>
      </c>
      <c r="N75" s="1" t="s">
        <v>38</v>
      </c>
      <c r="O75" s="1">
        <f>IF(IFERROR(VLOOKUP(car_price_prediction_[[#This Row],[Car ID]],A76:A2575,1,FALSE),0),1,0)</f>
        <v>0</v>
      </c>
    </row>
    <row r="76" spans="1:15" x14ac:dyDescent="0.25">
      <c r="A76">
        <v>75</v>
      </c>
      <c r="B76" s="1" t="s">
        <v>10</v>
      </c>
      <c r="C76" s="1">
        <f>car_price_prediction_[[#This Row],[Year2]]</f>
        <v>2020</v>
      </c>
      <c r="D76">
        <v>2020</v>
      </c>
      <c r="E76">
        <f>car_price_prediction_[[#This Row],[Engine Size]]/10</f>
        <v>3.9</v>
      </c>
      <c r="F76">
        <v>39</v>
      </c>
      <c r="G76" s="1" t="s">
        <v>11</v>
      </c>
      <c r="H76" s="1" t="s">
        <v>12</v>
      </c>
      <c r="I76" s="12">
        <f>car_price_prediction_[[#This Row],[Mileage]]/1000</f>
        <v>30.530999999999999</v>
      </c>
      <c r="J76" s="5">
        <v>30531</v>
      </c>
      <c r="K76" s="1" t="s">
        <v>13</v>
      </c>
      <c r="L76" s="5">
        <f>car_price_prediction_[[#This Row],[Price]]/100</f>
        <v>14812.88</v>
      </c>
      <c r="M76">
        <v>1481288</v>
      </c>
      <c r="N76" s="1" t="s">
        <v>49</v>
      </c>
      <c r="O76" s="1">
        <f>IF(IFERROR(VLOOKUP(car_price_prediction_[[#This Row],[Car ID]],A77:A2576,1,FALSE),0),1,0)</f>
        <v>0</v>
      </c>
    </row>
    <row r="77" spans="1:15" x14ac:dyDescent="0.25">
      <c r="A77">
        <v>76</v>
      </c>
      <c r="B77" s="1" t="s">
        <v>24</v>
      </c>
      <c r="C77" s="1">
        <f>car_price_prediction_[[#This Row],[Year2]]</f>
        <v>2012</v>
      </c>
      <c r="D77">
        <v>2012</v>
      </c>
      <c r="E77">
        <f>car_price_prediction_[[#This Row],[Engine Size]]/10</f>
        <v>3.7</v>
      </c>
      <c r="F77">
        <v>37</v>
      </c>
      <c r="G77" s="1" t="s">
        <v>16</v>
      </c>
      <c r="H77" s="1" t="s">
        <v>12</v>
      </c>
      <c r="I77" s="12">
        <f>car_price_prediction_[[#This Row],[Mileage]]/1000</f>
        <v>14.587999999999999</v>
      </c>
      <c r="J77" s="5">
        <v>14588</v>
      </c>
      <c r="K77" s="1" t="s">
        <v>13</v>
      </c>
      <c r="L77" s="5">
        <f>car_price_prediction_[[#This Row],[Price]]/100</f>
        <v>59421.58</v>
      </c>
      <c r="M77">
        <v>5942158</v>
      </c>
      <c r="N77" s="1" t="s">
        <v>34</v>
      </c>
      <c r="O77" s="1">
        <f>IF(IFERROR(VLOOKUP(car_price_prediction_[[#This Row],[Car ID]],A78:A2577,1,FALSE),0),1,0)</f>
        <v>0</v>
      </c>
    </row>
    <row r="78" spans="1:15" x14ac:dyDescent="0.25">
      <c r="A78">
        <v>77</v>
      </c>
      <c r="B78" s="1" t="s">
        <v>36</v>
      </c>
      <c r="C78" s="1">
        <f>car_price_prediction_[[#This Row],[Year2]]</f>
        <v>2008</v>
      </c>
      <c r="D78">
        <v>2008</v>
      </c>
      <c r="E78">
        <f>car_price_prediction_[[#This Row],[Engine Size]]/10</f>
        <v>2.2999999999999998</v>
      </c>
      <c r="F78">
        <v>23</v>
      </c>
      <c r="G78" s="1" t="s">
        <v>29</v>
      </c>
      <c r="H78" s="1" t="s">
        <v>12</v>
      </c>
      <c r="I78" s="12">
        <f>car_price_prediction_[[#This Row],[Mileage]]/1000</f>
        <v>143.452</v>
      </c>
      <c r="J78" s="5">
        <v>143452</v>
      </c>
      <c r="K78" s="1" t="s">
        <v>13</v>
      </c>
      <c r="L78" s="5">
        <f>car_price_prediction_[[#This Row],[Price]]/100</f>
        <v>43144.04</v>
      </c>
      <c r="M78">
        <v>4314404</v>
      </c>
      <c r="N78" s="1" t="s">
        <v>46</v>
      </c>
      <c r="O78" s="1">
        <f>IF(IFERROR(VLOOKUP(car_price_prediction_[[#This Row],[Car ID]],A79:A2578,1,FALSE),0),1,0)</f>
        <v>0</v>
      </c>
    </row>
    <row r="79" spans="1:15" x14ac:dyDescent="0.25">
      <c r="A79">
        <v>78</v>
      </c>
      <c r="B79" s="1" t="s">
        <v>43</v>
      </c>
      <c r="C79" s="1">
        <f>car_price_prediction_[[#This Row],[Year2]]</f>
        <v>2010</v>
      </c>
      <c r="D79">
        <v>2010</v>
      </c>
      <c r="E79">
        <f>car_price_prediction_[[#This Row],[Engine Size]]/10</f>
        <v>2.8</v>
      </c>
      <c r="F79">
        <v>28</v>
      </c>
      <c r="G79" s="1" t="s">
        <v>16</v>
      </c>
      <c r="H79" s="1" t="s">
        <v>22</v>
      </c>
      <c r="I79" s="12">
        <f>car_price_prediction_[[#This Row],[Mileage]]/1000</f>
        <v>173.71700000000001</v>
      </c>
      <c r="J79" s="5">
        <v>173717</v>
      </c>
      <c r="K79" s="1" t="s">
        <v>13</v>
      </c>
      <c r="L79" s="5">
        <f>car_price_prediction_[[#This Row],[Price]]/100</f>
        <v>45764.29</v>
      </c>
      <c r="M79">
        <v>4576429</v>
      </c>
      <c r="N79" s="1" t="s">
        <v>52</v>
      </c>
      <c r="O79" s="1">
        <f>IF(IFERROR(VLOOKUP(car_price_prediction_[[#This Row],[Car ID]],A80:A2579,1,FALSE),0),1,0)</f>
        <v>0</v>
      </c>
    </row>
    <row r="80" spans="1:15" x14ac:dyDescent="0.25">
      <c r="A80">
        <v>79</v>
      </c>
      <c r="B80" s="1" t="s">
        <v>15</v>
      </c>
      <c r="C80" s="1">
        <f>car_price_prediction_[[#This Row],[Year2]]</f>
        <v>2003</v>
      </c>
      <c r="D80">
        <v>2003</v>
      </c>
      <c r="E80">
        <f>car_price_prediction_[[#This Row],[Engine Size]]/10</f>
        <v>5.5</v>
      </c>
      <c r="F80">
        <v>55</v>
      </c>
      <c r="G80" s="1" t="s">
        <v>16</v>
      </c>
      <c r="H80" s="1" t="s">
        <v>22</v>
      </c>
      <c r="I80" s="12">
        <f>car_price_prediction_[[#This Row],[Mileage]]/1000</f>
        <v>161.929</v>
      </c>
      <c r="J80" s="5">
        <v>161929</v>
      </c>
      <c r="K80" s="1" t="s">
        <v>17</v>
      </c>
      <c r="L80" s="5">
        <f>car_price_prediction_[[#This Row],[Price]]/100</f>
        <v>96941.02</v>
      </c>
      <c r="M80">
        <v>9694102</v>
      </c>
      <c r="N80" s="1" t="s">
        <v>39</v>
      </c>
      <c r="O80" s="1">
        <f>IF(IFERROR(VLOOKUP(car_price_prediction_[[#This Row],[Car ID]],A81:A2580,1,FALSE),0),1,0)</f>
        <v>0</v>
      </c>
    </row>
    <row r="81" spans="1:15" x14ac:dyDescent="0.25">
      <c r="A81">
        <v>80</v>
      </c>
      <c r="B81" s="1" t="s">
        <v>30</v>
      </c>
      <c r="C81" s="1">
        <f>car_price_prediction_[[#This Row],[Year2]]</f>
        <v>2001</v>
      </c>
      <c r="D81">
        <v>2001</v>
      </c>
      <c r="E81">
        <f>car_price_prediction_[[#This Row],[Engine Size]]/10</f>
        <v>4.3</v>
      </c>
      <c r="F81">
        <v>43</v>
      </c>
      <c r="G81" s="1" t="s">
        <v>11</v>
      </c>
      <c r="H81" s="1" t="s">
        <v>12</v>
      </c>
      <c r="I81" s="12">
        <f>car_price_prediction_[[#This Row],[Mileage]]/1000</f>
        <v>21.710999999999999</v>
      </c>
      <c r="J81" s="5">
        <v>21711</v>
      </c>
      <c r="K81" s="1" t="s">
        <v>25</v>
      </c>
      <c r="L81" s="5">
        <f>car_price_prediction_[[#This Row],[Price]]/100</f>
        <v>73772.649999999994</v>
      </c>
      <c r="M81">
        <v>7377265</v>
      </c>
      <c r="N81" s="1" t="s">
        <v>48</v>
      </c>
      <c r="O81" s="1">
        <f>IF(IFERROR(VLOOKUP(car_price_prediction_[[#This Row],[Car ID]],A82:A2581,1,FALSE),0),1,0)</f>
        <v>0</v>
      </c>
    </row>
    <row r="82" spans="1:15" x14ac:dyDescent="0.25">
      <c r="A82">
        <v>81</v>
      </c>
      <c r="B82" s="1" t="s">
        <v>15</v>
      </c>
      <c r="C82" s="1">
        <f>car_price_prediction_[[#This Row],[Year2]]</f>
        <v>2005</v>
      </c>
      <c r="D82">
        <v>2005</v>
      </c>
      <c r="E82">
        <f>car_price_prediction_[[#This Row],[Engine Size]]/10</f>
        <v>4.9000000000000004</v>
      </c>
      <c r="F82">
        <v>49</v>
      </c>
      <c r="G82" s="1" t="s">
        <v>29</v>
      </c>
      <c r="H82" s="1" t="s">
        <v>22</v>
      </c>
      <c r="I82" s="12">
        <f>car_price_prediction_[[#This Row],[Mileage]]/1000</f>
        <v>136.16900000000001</v>
      </c>
      <c r="J82" s="5">
        <v>136169</v>
      </c>
      <c r="K82" s="1" t="s">
        <v>17</v>
      </c>
      <c r="L82" s="5">
        <f>car_price_prediction_[[#This Row],[Price]]/100</f>
        <v>44119.839999999997</v>
      </c>
      <c r="M82">
        <v>4411984</v>
      </c>
      <c r="N82" s="1" t="s">
        <v>18</v>
      </c>
      <c r="O82" s="1">
        <f>IF(IFERROR(VLOOKUP(car_price_prediction_[[#This Row],[Car ID]],A83:A2582,1,FALSE),0),1,0)</f>
        <v>0</v>
      </c>
    </row>
    <row r="83" spans="1:15" x14ac:dyDescent="0.25">
      <c r="A83">
        <v>82</v>
      </c>
      <c r="B83" s="1" t="s">
        <v>30</v>
      </c>
      <c r="C83" s="1">
        <f>car_price_prediction_[[#This Row],[Year2]]</f>
        <v>2013</v>
      </c>
      <c r="D83">
        <v>2013</v>
      </c>
      <c r="E83">
        <f>car_price_prediction_[[#This Row],[Engine Size]]/10</f>
        <v>3.3</v>
      </c>
      <c r="F83">
        <v>33</v>
      </c>
      <c r="G83" s="1" t="s">
        <v>29</v>
      </c>
      <c r="H83" s="1" t="s">
        <v>12</v>
      </c>
      <c r="I83" s="12">
        <f>car_price_prediction_[[#This Row],[Mileage]]/1000</f>
        <v>159.465</v>
      </c>
      <c r="J83" s="5">
        <v>159465</v>
      </c>
      <c r="K83" s="1" t="s">
        <v>17</v>
      </c>
      <c r="L83" s="5">
        <f>car_price_prediction_[[#This Row],[Price]]/100</f>
        <v>6814.43</v>
      </c>
      <c r="M83">
        <v>681443</v>
      </c>
      <c r="N83" s="1" t="s">
        <v>42</v>
      </c>
      <c r="O83" s="1">
        <f>IF(IFERROR(VLOOKUP(car_price_prediction_[[#This Row],[Car ID]],A84:A2583,1,FALSE),0),1,0)</f>
        <v>0</v>
      </c>
    </row>
    <row r="84" spans="1:15" x14ac:dyDescent="0.25">
      <c r="A84">
        <v>83</v>
      </c>
      <c r="B84" s="1" t="s">
        <v>36</v>
      </c>
      <c r="C84" s="1">
        <f>car_price_prediction_[[#This Row],[Year2]]</f>
        <v>2003</v>
      </c>
      <c r="D84">
        <v>2003</v>
      </c>
      <c r="E84">
        <f>car_price_prediction_[[#This Row],[Engine Size]]/10</f>
        <v>4.2</v>
      </c>
      <c r="F84">
        <v>42</v>
      </c>
      <c r="G84" s="1" t="s">
        <v>16</v>
      </c>
      <c r="H84" s="1" t="s">
        <v>22</v>
      </c>
      <c r="I84" s="12">
        <f>car_price_prediction_[[#This Row],[Mileage]]/1000</f>
        <v>284.22000000000003</v>
      </c>
      <c r="J84" s="5">
        <v>284220</v>
      </c>
      <c r="K84" s="1" t="s">
        <v>17</v>
      </c>
      <c r="L84" s="5">
        <f>car_price_prediction_[[#This Row],[Price]]/100</f>
        <v>8239.09</v>
      </c>
      <c r="M84">
        <v>823909</v>
      </c>
      <c r="N84" s="1" t="s">
        <v>46</v>
      </c>
      <c r="O84" s="1">
        <f>IF(IFERROR(VLOOKUP(car_price_prediction_[[#This Row],[Car ID]],A85:A2584,1,FALSE),0),1,0)</f>
        <v>0</v>
      </c>
    </row>
    <row r="85" spans="1:15" x14ac:dyDescent="0.25">
      <c r="A85">
        <v>84</v>
      </c>
      <c r="B85" s="1" t="s">
        <v>36</v>
      </c>
      <c r="C85" s="1">
        <f>car_price_prediction_[[#This Row],[Year2]]</f>
        <v>2005</v>
      </c>
      <c r="D85">
        <v>2005</v>
      </c>
      <c r="E85">
        <f>car_price_prediction_[[#This Row],[Engine Size]]/10</f>
        <v>2.2000000000000002</v>
      </c>
      <c r="F85">
        <v>22</v>
      </c>
      <c r="G85" s="1" t="s">
        <v>16</v>
      </c>
      <c r="H85" s="1" t="s">
        <v>12</v>
      </c>
      <c r="I85" s="12">
        <f>car_price_prediction_[[#This Row],[Mileage]]/1000</f>
        <v>160.38900000000001</v>
      </c>
      <c r="J85" s="5">
        <v>160389</v>
      </c>
      <c r="K85" s="1" t="s">
        <v>25</v>
      </c>
      <c r="L85" s="5">
        <f>car_price_prediction_[[#This Row],[Price]]/100</f>
        <v>70056.350000000006</v>
      </c>
      <c r="M85">
        <v>7005635</v>
      </c>
      <c r="N85" s="1" t="s">
        <v>41</v>
      </c>
      <c r="O85" s="1">
        <f>IF(IFERROR(VLOOKUP(car_price_prediction_[[#This Row],[Car ID]],A86:A2585,1,FALSE),0),1,0)</f>
        <v>0</v>
      </c>
    </row>
    <row r="86" spans="1:15" x14ac:dyDescent="0.25">
      <c r="A86">
        <v>85</v>
      </c>
      <c r="B86" s="1" t="s">
        <v>36</v>
      </c>
      <c r="C86" s="1">
        <f>car_price_prediction_[[#This Row],[Year2]]</f>
        <v>2018</v>
      </c>
      <c r="D86">
        <v>2018</v>
      </c>
      <c r="E86">
        <f>car_price_prediction_[[#This Row],[Engine Size]]/10</f>
        <v>4.5</v>
      </c>
      <c r="F86">
        <v>45</v>
      </c>
      <c r="G86" s="1" t="s">
        <v>11</v>
      </c>
      <c r="H86" s="1" t="s">
        <v>22</v>
      </c>
      <c r="I86" s="12">
        <f>car_price_prediction_[[#This Row],[Mileage]]/1000</f>
        <v>58.48</v>
      </c>
      <c r="J86" s="5">
        <v>58480</v>
      </c>
      <c r="K86" s="1" t="s">
        <v>25</v>
      </c>
      <c r="L86" s="5">
        <f>car_price_prediction_[[#This Row],[Price]]/100</f>
        <v>84585.18</v>
      </c>
      <c r="M86">
        <v>8458518</v>
      </c>
      <c r="N86" s="1" t="s">
        <v>46</v>
      </c>
      <c r="O86" s="1">
        <f>IF(IFERROR(VLOOKUP(car_price_prediction_[[#This Row],[Car ID]],A87:A2586,1,FALSE),0),1,0)</f>
        <v>0</v>
      </c>
    </row>
    <row r="87" spans="1:15" x14ac:dyDescent="0.25">
      <c r="A87">
        <v>86</v>
      </c>
      <c r="B87" s="1" t="s">
        <v>30</v>
      </c>
      <c r="C87" s="1">
        <f>car_price_prediction_[[#This Row],[Year2]]</f>
        <v>2005</v>
      </c>
      <c r="D87">
        <v>2005</v>
      </c>
      <c r="E87">
        <f>car_price_prediction_[[#This Row],[Engine Size]]/10</f>
        <v>3.1</v>
      </c>
      <c r="F87">
        <v>31</v>
      </c>
      <c r="G87" s="1" t="s">
        <v>21</v>
      </c>
      <c r="H87" s="1" t="s">
        <v>22</v>
      </c>
      <c r="I87" s="12">
        <f>car_price_prediction_[[#This Row],[Mileage]]/1000</f>
        <v>269.18799999999999</v>
      </c>
      <c r="J87" s="5">
        <v>269188</v>
      </c>
      <c r="K87" s="1" t="s">
        <v>25</v>
      </c>
      <c r="L87" s="5">
        <f>car_price_prediction_[[#This Row],[Price]]/100</f>
        <v>72231.75</v>
      </c>
      <c r="M87">
        <v>7223175</v>
      </c>
      <c r="N87" s="1" t="s">
        <v>48</v>
      </c>
      <c r="O87" s="1">
        <f>IF(IFERROR(VLOOKUP(car_price_prediction_[[#This Row],[Car ID]],A88:A2587,1,FALSE),0),1,0)</f>
        <v>0</v>
      </c>
    </row>
    <row r="88" spans="1:15" x14ac:dyDescent="0.25">
      <c r="A88">
        <v>87</v>
      </c>
      <c r="B88" s="1" t="s">
        <v>15</v>
      </c>
      <c r="C88" s="1">
        <f>car_price_prediction_[[#This Row],[Year2]]</f>
        <v>2001</v>
      </c>
      <c r="D88">
        <v>2001</v>
      </c>
      <c r="E88">
        <f>car_price_prediction_[[#This Row],[Engine Size]]/10</f>
        <v>3.2</v>
      </c>
      <c r="F88">
        <v>32</v>
      </c>
      <c r="G88" s="1" t="s">
        <v>21</v>
      </c>
      <c r="H88" s="1" t="s">
        <v>22</v>
      </c>
      <c r="I88" s="12">
        <f>car_price_prediction_[[#This Row],[Mileage]]/1000</f>
        <v>250.309</v>
      </c>
      <c r="J88" s="5">
        <v>250309</v>
      </c>
      <c r="K88" s="1" t="s">
        <v>17</v>
      </c>
      <c r="L88" s="5">
        <f>car_price_prediction_[[#This Row],[Price]]/100</f>
        <v>43559.34</v>
      </c>
      <c r="M88">
        <v>4355934</v>
      </c>
      <c r="N88" s="1" t="s">
        <v>35</v>
      </c>
      <c r="O88" s="1">
        <f>IF(IFERROR(VLOOKUP(car_price_prediction_[[#This Row],[Car ID]],A89:A2588,1,FALSE),0),1,0)</f>
        <v>0</v>
      </c>
    </row>
    <row r="89" spans="1:15" x14ac:dyDescent="0.25">
      <c r="A89">
        <v>88</v>
      </c>
      <c r="B89" s="1" t="s">
        <v>36</v>
      </c>
      <c r="C89" s="1">
        <f>car_price_prediction_[[#This Row],[Year2]]</f>
        <v>2017</v>
      </c>
      <c r="D89">
        <v>2017</v>
      </c>
      <c r="E89">
        <f>car_price_prediction_[[#This Row],[Engine Size]]/10</f>
        <v>4.2</v>
      </c>
      <c r="F89">
        <v>42</v>
      </c>
      <c r="G89" s="1" t="s">
        <v>16</v>
      </c>
      <c r="H89" s="1" t="s">
        <v>12</v>
      </c>
      <c r="I89" s="12">
        <f>car_price_prediction_[[#This Row],[Mileage]]/1000</f>
        <v>55.485999999999997</v>
      </c>
      <c r="J89" s="5">
        <v>55486</v>
      </c>
      <c r="K89" s="1" t="s">
        <v>25</v>
      </c>
      <c r="L89" s="5">
        <f>car_price_prediction_[[#This Row],[Price]]/100</f>
        <v>795.79</v>
      </c>
      <c r="M89">
        <v>79579</v>
      </c>
      <c r="N89" s="1" t="s">
        <v>40</v>
      </c>
      <c r="O89" s="1">
        <f>IF(IFERROR(VLOOKUP(car_price_prediction_[[#This Row],[Car ID]],A90:A2589,1,FALSE),0),1,0)</f>
        <v>0</v>
      </c>
    </row>
    <row r="90" spans="1:15" x14ac:dyDescent="0.25">
      <c r="A90">
        <v>89</v>
      </c>
      <c r="B90" s="1" t="s">
        <v>19</v>
      </c>
      <c r="C90" s="1">
        <f>car_price_prediction_[[#This Row],[Year2]]</f>
        <v>2012</v>
      </c>
      <c r="D90">
        <v>2012</v>
      </c>
      <c r="E90">
        <f>car_price_prediction_[[#This Row],[Engine Size]]/10</f>
        <v>5.7</v>
      </c>
      <c r="F90">
        <v>57</v>
      </c>
      <c r="G90" s="1" t="s">
        <v>21</v>
      </c>
      <c r="H90" s="1" t="s">
        <v>12</v>
      </c>
      <c r="I90" s="12">
        <f>car_price_prediction_[[#This Row],[Mileage]]/1000</f>
        <v>55.161999999999999</v>
      </c>
      <c r="J90" s="5">
        <v>55162</v>
      </c>
      <c r="K90" s="1" t="s">
        <v>13</v>
      </c>
      <c r="L90" s="5">
        <f>car_price_prediction_[[#This Row],[Price]]/100</f>
        <v>96903.15</v>
      </c>
      <c r="M90">
        <v>9690315</v>
      </c>
      <c r="N90" s="1" t="s">
        <v>38</v>
      </c>
      <c r="O90" s="1">
        <f>IF(IFERROR(VLOOKUP(car_price_prediction_[[#This Row],[Car ID]],A91:A2590,1,FALSE),0),1,0)</f>
        <v>0</v>
      </c>
    </row>
    <row r="91" spans="1:15" x14ac:dyDescent="0.25">
      <c r="A91">
        <v>90</v>
      </c>
      <c r="B91" s="1" t="s">
        <v>10</v>
      </c>
      <c r="C91" s="1">
        <f>car_price_prediction_[[#This Row],[Year2]]</f>
        <v>2008</v>
      </c>
      <c r="D91">
        <v>2008</v>
      </c>
      <c r="E91">
        <f>car_price_prediction_[[#This Row],[Engine Size]]/10</f>
        <v>1.3</v>
      </c>
      <c r="F91">
        <v>13</v>
      </c>
      <c r="G91" s="1" t="s">
        <v>21</v>
      </c>
      <c r="H91" s="1" t="s">
        <v>12</v>
      </c>
      <c r="I91" s="12">
        <f>car_price_prediction_[[#This Row],[Mileage]]/1000</f>
        <v>210.35900000000001</v>
      </c>
      <c r="J91" s="5">
        <v>210359</v>
      </c>
      <c r="K91" s="1" t="s">
        <v>25</v>
      </c>
      <c r="L91" s="5">
        <f>car_price_prediction_[[#This Row],[Price]]/100</f>
        <v>98701.93</v>
      </c>
      <c r="M91">
        <v>9870193</v>
      </c>
      <c r="N91" s="1" t="s">
        <v>49</v>
      </c>
      <c r="O91" s="1">
        <f>IF(IFERROR(VLOOKUP(car_price_prediction_[[#This Row],[Car ID]],A92:A2591,1,FALSE),0),1,0)</f>
        <v>0</v>
      </c>
    </row>
    <row r="92" spans="1:15" x14ac:dyDescent="0.25">
      <c r="A92">
        <v>91</v>
      </c>
      <c r="B92" s="1" t="s">
        <v>30</v>
      </c>
      <c r="C92" s="1">
        <f>car_price_prediction_[[#This Row],[Year2]]</f>
        <v>2022</v>
      </c>
      <c r="D92">
        <v>2022</v>
      </c>
      <c r="E92">
        <f>car_price_prediction_[[#This Row],[Engine Size]]/10</f>
        <v>5.0999999999999996</v>
      </c>
      <c r="F92">
        <v>51</v>
      </c>
      <c r="G92" s="1" t="s">
        <v>21</v>
      </c>
      <c r="H92" s="1" t="s">
        <v>22</v>
      </c>
      <c r="I92" s="12">
        <f>car_price_prediction_[[#This Row],[Mileage]]/1000</f>
        <v>29.882000000000001</v>
      </c>
      <c r="J92" s="5">
        <v>29882</v>
      </c>
      <c r="K92" s="1" t="s">
        <v>17</v>
      </c>
      <c r="L92" s="5">
        <f>car_price_prediction_[[#This Row],[Price]]/100</f>
        <v>57189.63</v>
      </c>
      <c r="M92">
        <v>5718963</v>
      </c>
      <c r="N92" s="1" t="s">
        <v>42</v>
      </c>
      <c r="O92" s="1">
        <f>IF(IFERROR(VLOOKUP(car_price_prediction_[[#This Row],[Car ID]],A93:A2592,1,FALSE),0),1,0)</f>
        <v>0</v>
      </c>
    </row>
    <row r="93" spans="1:15" x14ac:dyDescent="0.25">
      <c r="A93">
        <v>92</v>
      </c>
      <c r="B93" s="1" t="s">
        <v>30</v>
      </c>
      <c r="C93" s="1">
        <f>car_price_prediction_[[#This Row],[Year2]]</f>
        <v>2018</v>
      </c>
      <c r="D93">
        <v>2018</v>
      </c>
      <c r="E93">
        <f>car_price_prediction_[[#This Row],[Engine Size]]/10</f>
        <v>2.5</v>
      </c>
      <c r="F93">
        <v>25</v>
      </c>
      <c r="G93" s="1" t="s">
        <v>21</v>
      </c>
      <c r="H93" s="1" t="s">
        <v>22</v>
      </c>
      <c r="I93" s="12">
        <f>car_price_prediction_[[#This Row],[Mileage]]/1000</f>
        <v>54.078000000000003</v>
      </c>
      <c r="J93" s="5">
        <v>54078</v>
      </c>
      <c r="K93" s="1" t="s">
        <v>17</v>
      </c>
      <c r="L93" s="5">
        <f>car_price_prediction_[[#This Row],[Price]]/100</f>
        <v>11713.74</v>
      </c>
      <c r="M93">
        <v>1171374</v>
      </c>
      <c r="N93" s="1" t="s">
        <v>42</v>
      </c>
      <c r="O93" s="1">
        <f>IF(IFERROR(VLOOKUP(car_price_prediction_[[#This Row],[Car ID]],A94:A2593,1,FALSE),0),1,0)</f>
        <v>0</v>
      </c>
    </row>
    <row r="94" spans="1:15" x14ac:dyDescent="0.25">
      <c r="A94">
        <v>93</v>
      </c>
      <c r="B94" s="1" t="s">
        <v>15</v>
      </c>
      <c r="C94" s="1">
        <f>car_price_prediction_[[#This Row],[Year2]]</f>
        <v>2012</v>
      </c>
      <c r="D94">
        <v>2012</v>
      </c>
      <c r="E94">
        <f>car_price_prediction_[[#This Row],[Engine Size]]/10</f>
        <v>3.2</v>
      </c>
      <c r="F94">
        <v>32</v>
      </c>
      <c r="G94" s="1" t="s">
        <v>16</v>
      </c>
      <c r="H94" s="1" t="s">
        <v>12</v>
      </c>
      <c r="I94" s="12">
        <f>car_price_prediction_[[#This Row],[Mileage]]/1000</f>
        <v>238.68</v>
      </c>
      <c r="J94" s="5">
        <v>238680</v>
      </c>
      <c r="K94" s="1" t="s">
        <v>13</v>
      </c>
      <c r="L94" s="5">
        <f>car_price_prediction_[[#This Row],[Price]]/100</f>
        <v>56392.39</v>
      </c>
      <c r="M94">
        <v>5639239</v>
      </c>
      <c r="N94" s="1" t="s">
        <v>51</v>
      </c>
      <c r="O94" s="1">
        <f>IF(IFERROR(VLOOKUP(car_price_prediction_[[#This Row],[Car ID]],A95:A2594,1,FALSE),0),1,0)</f>
        <v>0</v>
      </c>
    </row>
    <row r="95" spans="1:15" x14ac:dyDescent="0.25">
      <c r="A95">
        <v>94</v>
      </c>
      <c r="B95" s="1" t="s">
        <v>30</v>
      </c>
      <c r="C95" s="1">
        <f>car_price_prediction_[[#This Row],[Year2]]</f>
        <v>2010</v>
      </c>
      <c r="D95">
        <v>2010</v>
      </c>
      <c r="E95">
        <f>car_price_prediction_[[#This Row],[Engine Size]]/10</f>
        <v>1.1000000000000001</v>
      </c>
      <c r="F95">
        <v>11</v>
      </c>
      <c r="G95" s="1" t="s">
        <v>21</v>
      </c>
      <c r="H95" s="1" t="s">
        <v>22</v>
      </c>
      <c r="I95" s="12">
        <f>car_price_prediction_[[#This Row],[Mileage]]/1000</f>
        <v>108.73</v>
      </c>
      <c r="J95" s="5">
        <v>108730</v>
      </c>
      <c r="K95" s="1" t="s">
        <v>25</v>
      </c>
      <c r="L95" s="5">
        <f>car_price_prediction_[[#This Row],[Price]]/100</f>
        <v>89772.15</v>
      </c>
      <c r="M95">
        <v>8977215</v>
      </c>
      <c r="N95" s="1" t="s">
        <v>42</v>
      </c>
      <c r="O95" s="1">
        <f>IF(IFERROR(VLOOKUP(car_price_prediction_[[#This Row],[Car ID]],A96:A2595,1,FALSE),0),1,0)</f>
        <v>0</v>
      </c>
    </row>
    <row r="96" spans="1:15" x14ac:dyDescent="0.25">
      <c r="A96">
        <v>95</v>
      </c>
      <c r="B96" s="1" t="s">
        <v>30</v>
      </c>
      <c r="C96" s="1">
        <f>car_price_prediction_[[#This Row],[Year2]]</f>
        <v>2000</v>
      </c>
      <c r="D96">
        <v>2000</v>
      </c>
      <c r="E96">
        <f>car_price_prediction_[[#This Row],[Engine Size]]/10</f>
        <v>2.5</v>
      </c>
      <c r="F96">
        <v>25</v>
      </c>
      <c r="G96" s="1" t="s">
        <v>21</v>
      </c>
      <c r="H96" s="1" t="s">
        <v>12</v>
      </c>
      <c r="I96" s="12">
        <f>car_price_prediction_[[#This Row],[Mileage]]/1000</f>
        <v>174.898</v>
      </c>
      <c r="J96" s="5">
        <v>174898</v>
      </c>
      <c r="K96" s="1" t="s">
        <v>25</v>
      </c>
      <c r="L96" s="5">
        <f>car_price_prediction_[[#This Row],[Price]]/100</f>
        <v>69598.62</v>
      </c>
      <c r="M96">
        <v>6959862</v>
      </c>
      <c r="N96" s="1" t="s">
        <v>48</v>
      </c>
      <c r="O96" s="1">
        <f>IF(IFERROR(VLOOKUP(car_price_prediction_[[#This Row],[Car ID]],A97:A2596,1,FALSE),0),1,0)</f>
        <v>0</v>
      </c>
    </row>
    <row r="97" spans="1:15" x14ac:dyDescent="0.25">
      <c r="A97">
        <v>96</v>
      </c>
      <c r="B97" s="1" t="s">
        <v>36</v>
      </c>
      <c r="C97" s="1">
        <f>car_price_prediction_[[#This Row],[Year2]]</f>
        <v>2023</v>
      </c>
      <c r="D97">
        <v>2023</v>
      </c>
      <c r="E97">
        <f>car_price_prediction_[[#This Row],[Engine Size]]/10</f>
        <v>3.5</v>
      </c>
      <c r="F97">
        <v>35</v>
      </c>
      <c r="G97" s="1" t="s">
        <v>11</v>
      </c>
      <c r="H97" s="1" t="s">
        <v>12</v>
      </c>
      <c r="I97" s="12">
        <f>car_price_prediction_[[#This Row],[Mileage]]/1000</f>
        <v>98.938000000000002</v>
      </c>
      <c r="J97" s="5">
        <v>98938</v>
      </c>
      <c r="K97" s="1" t="s">
        <v>13</v>
      </c>
      <c r="L97" s="5">
        <f>car_price_prediction_[[#This Row],[Price]]/100</f>
        <v>73398.98</v>
      </c>
      <c r="M97">
        <v>7339898</v>
      </c>
      <c r="N97" s="1" t="s">
        <v>40</v>
      </c>
      <c r="O97" s="1">
        <f>IF(IFERROR(VLOOKUP(car_price_prediction_[[#This Row],[Car ID]],A98:A2597,1,FALSE),0),1,0)</f>
        <v>0</v>
      </c>
    </row>
    <row r="98" spans="1:15" x14ac:dyDescent="0.25">
      <c r="A98">
        <v>97</v>
      </c>
      <c r="B98" s="1" t="s">
        <v>15</v>
      </c>
      <c r="C98" s="1">
        <f>car_price_prediction_[[#This Row],[Year2]]</f>
        <v>2021</v>
      </c>
      <c r="D98">
        <v>2021</v>
      </c>
      <c r="E98">
        <f>car_price_prediction_[[#This Row],[Engine Size]]/10</f>
        <v>1.3</v>
      </c>
      <c r="F98">
        <v>13</v>
      </c>
      <c r="G98" s="1" t="s">
        <v>16</v>
      </c>
      <c r="H98" s="1" t="s">
        <v>12</v>
      </c>
      <c r="I98" s="12">
        <f>car_price_prediction_[[#This Row],[Mileage]]/1000</f>
        <v>118.319</v>
      </c>
      <c r="J98" s="5">
        <v>118319</v>
      </c>
      <c r="K98" s="1" t="s">
        <v>17</v>
      </c>
      <c r="L98" s="5">
        <f>car_price_prediction_[[#This Row],[Price]]/100</f>
        <v>13072.13</v>
      </c>
      <c r="M98">
        <v>1307213</v>
      </c>
      <c r="N98" s="1" t="s">
        <v>18</v>
      </c>
      <c r="O98" s="1">
        <f>IF(IFERROR(VLOOKUP(car_price_prediction_[[#This Row],[Car ID]],A99:A2598,1,FALSE),0),1,0)</f>
        <v>0</v>
      </c>
    </row>
    <row r="99" spans="1:15" x14ac:dyDescent="0.25">
      <c r="A99">
        <v>98</v>
      </c>
      <c r="B99" s="1" t="s">
        <v>36</v>
      </c>
      <c r="C99" s="1">
        <f>car_price_prediction_[[#This Row],[Year2]]</f>
        <v>2006</v>
      </c>
      <c r="D99">
        <v>2006</v>
      </c>
      <c r="E99">
        <f>car_price_prediction_[[#This Row],[Engine Size]]/10</f>
        <v>3.5</v>
      </c>
      <c r="F99">
        <v>35</v>
      </c>
      <c r="G99" s="1" t="s">
        <v>29</v>
      </c>
      <c r="H99" s="1" t="s">
        <v>12</v>
      </c>
      <c r="I99" s="12">
        <f>car_price_prediction_[[#This Row],[Mileage]]/1000</f>
        <v>32.542999999999999</v>
      </c>
      <c r="J99" s="5">
        <v>32543</v>
      </c>
      <c r="K99" s="1" t="s">
        <v>17</v>
      </c>
      <c r="L99" s="5">
        <f>car_price_prediction_[[#This Row],[Price]]/100</f>
        <v>15118.61</v>
      </c>
      <c r="M99">
        <v>1511861</v>
      </c>
      <c r="N99" s="1" t="s">
        <v>41</v>
      </c>
      <c r="O99" s="1">
        <f>IF(IFERROR(VLOOKUP(car_price_prediction_[[#This Row],[Car ID]],A100:A2599,1,FALSE),0),1,0)</f>
        <v>0</v>
      </c>
    </row>
    <row r="100" spans="1:15" x14ac:dyDescent="0.25">
      <c r="A100">
        <v>99</v>
      </c>
      <c r="B100" s="1" t="s">
        <v>10</v>
      </c>
      <c r="C100" s="1">
        <f>car_price_prediction_[[#This Row],[Year2]]</f>
        <v>2020</v>
      </c>
      <c r="D100">
        <v>2020</v>
      </c>
      <c r="E100">
        <f>car_price_prediction_[[#This Row],[Engine Size]]/10</f>
        <v>5.6</v>
      </c>
      <c r="F100">
        <v>56</v>
      </c>
      <c r="G100" s="1" t="s">
        <v>29</v>
      </c>
      <c r="H100" s="1" t="s">
        <v>22</v>
      </c>
      <c r="I100" s="12">
        <f>car_price_prediction_[[#This Row],[Mileage]]/1000</f>
        <v>124.279</v>
      </c>
      <c r="J100" s="5">
        <v>124279</v>
      </c>
      <c r="K100" s="1" t="s">
        <v>25</v>
      </c>
      <c r="L100" s="5">
        <f>car_price_prediction_[[#This Row],[Price]]/100</f>
        <v>17098.13</v>
      </c>
      <c r="M100">
        <v>1709813</v>
      </c>
      <c r="N100" s="1" t="s">
        <v>33</v>
      </c>
      <c r="O100" s="1">
        <f>IF(IFERROR(VLOOKUP(car_price_prediction_[[#This Row],[Car ID]],A101:A2600,1,FALSE),0),1,0)</f>
        <v>0</v>
      </c>
    </row>
    <row r="101" spans="1:15" x14ac:dyDescent="0.25">
      <c r="A101">
        <v>100</v>
      </c>
      <c r="B101" s="1" t="s">
        <v>10</v>
      </c>
      <c r="C101" s="1">
        <f>car_price_prediction_[[#This Row],[Year2]]</f>
        <v>2014</v>
      </c>
      <c r="D101">
        <v>2014</v>
      </c>
      <c r="E101">
        <f>car_price_prediction_[[#This Row],[Engine Size]]/10</f>
        <v>1.5</v>
      </c>
      <c r="F101">
        <v>15</v>
      </c>
      <c r="G101" s="1" t="s">
        <v>11</v>
      </c>
      <c r="H101" s="1" t="s">
        <v>22</v>
      </c>
      <c r="I101" s="12">
        <f>car_price_prediction_[[#This Row],[Mileage]]/1000</f>
        <v>29.361999999999998</v>
      </c>
      <c r="J101" s="5">
        <v>29362</v>
      </c>
      <c r="K101" s="1" t="s">
        <v>25</v>
      </c>
      <c r="L101" s="5">
        <f>car_price_prediction_[[#This Row],[Price]]/100</f>
        <v>9091.58</v>
      </c>
      <c r="M101">
        <v>909158</v>
      </c>
      <c r="N101" s="1" t="s">
        <v>33</v>
      </c>
      <c r="O101" s="1">
        <f>IF(IFERROR(VLOOKUP(car_price_prediction_[[#This Row],[Car ID]],A102:A2601,1,FALSE),0),1,0)</f>
        <v>0</v>
      </c>
    </row>
    <row r="102" spans="1:15" x14ac:dyDescent="0.25">
      <c r="A102">
        <v>101</v>
      </c>
      <c r="B102" s="1" t="s">
        <v>36</v>
      </c>
      <c r="C102" s="1">
        <f>car_price_prediction_[[#This Row],[Year2]]</f>
        <v>2000</v>
      </c>
      <c r="D102">
        <v>2000</v>
      </c>
      <c r="E102">
        <f>car_price_prediction_[[#This Row],[Engine Size]]/10</f>
        <v>4.8</v>
      </c>
      <c r="F102">
        <v>48</v>
      </c>
      <c r="G102" s="1" t="s">
        <v>11</v>
      </c>
      <c r="H102" s="1" t="s">
        <v>22</v>
      </c>
      <c r="I102" s="12">
        <f>car_price_prediction_[[#This Row],[Mileage]]/1000</f>
        <v>158.81800000000001</v>
      </c>
      <c r="J102" s="5">
        <v>158818</v>
      </c>
      <c r="K102" s="1" t="s">
        <v>25</v>
      </c>
      <c r="L102" s="5">
        <f>car_price_prediction_[[#This Row],[Price]]/100</f>
        <v>54955.72</v>
      </c>
      <c r="M102">
        <v>5495572</v>
      </c>
      <c r="N102" s="1" t="s">
        <v>37</v>
      </c>
      <c r="O102" s="1">
        <f>IF(IFERROR(VLOOKUP(car_price_prediction_[[#This Row],[Car ID]],A103:A2602,1,FALSE),0),1,0)</f>
        <v>0</v>
      </c>
    </row>
    <row r="103" spans="1:15" x14ac:dyDescent="0.25">
      <c r="A103">
        <v>102</v>
      </c>
      <c r="B103" s="1" t="s">
        <v>10</v>
      </c>
      <c r="C103" s="1">
        <f>car_price_prediction_[[#This Row],[Year2]]</f>
        <v>2011</v>
      </c>
      <c r="D103">
        <v>2011</v>
      </c>
      <c r="E103">
        <f>car_price_prediction_[[#This Row],[Engine Size]]/10</f>
        <v>3</v>
      </c>
      <c r="F103">
        <v>30</v>
      </c>
      <c r="G103" s="1" t="s">
        <v>16</v>
      </c>
      <c r="H103" s="1" t="s">
        <v>12</v>
      </c>
      <c r="I103" s="12">
        <f>car_price_prediction_[[#This Row],[Mileage]]/1000</f>
        <v>242.721</v>
      </c>
      <c r="J103" s="5">
        <v>242721</v>
      </c>
      <c r="K103" s="1" t="s">
        <v>25</v>
      </c>
      <c r="L103" s="5">
        <f>car_price_prediction_[[#This Row],[Price]]/100</f>
        <v>80199.63</v>
      </c>
      <c r="M103">
        <v>8019963</v>
      </c>
      <c r="N103" s="1" t="s">
        <v>49</v>
      </c>
      <c r="O103" s="1">
        <f>IF(IFERROR(VLOOKUP(car_price_prediction_[[#This Row],[Car ID]],A104:A2603,1,FALSE),0),1,0)</f>
        <v>0</v>
      </c>
    </row>
    <row r="104" spans="1:15" x14ac:dyDescent="0.25">
      <c r="A104">
        <v>103</v>
      </c>
      <c r="B104" s="1" t="s">
        <v>15</v>
      </c>
      <c r="C104" s="1">
        <f>car_price_prediction_[[#This Row],[Year2]]</f>
        <v>2006</v>
      </c>
      <c r="D104">
        <v>2006</v>
      </c>
      <c r="E104">
        <f>car_price_prediction_[[#This Row],[Engine Size]]/10</f>
        <v>4.3</v>
      </c>
      <c r="F104">
        <v>43</v>
      </c>
      <c r="G104" s="1" t="s">
        <v>29</v>
      </c>
      <c r="H104" s="1" t="s">
        <v>22</v>
      </c>
      <c r="I104" s="12">
        <f>car_price_prediction_[[#This Row],[Mileage]]/1000</f>
        <v>165.22900000000001</v>
      </c>
      <c r="J104" s="5">
        <v>165229</v>
      </c>
      <c r="K104" s="1" t="s">
        <v>25</v>
      </c>
      <c r="L104" s="5">
        <f>car_price_prediction_[[#This Row],[Price]]/100</f>
        <v>15952.67</v>
      </c>
      <c r="M104">
        <v>1595267</v>
      </c>
      <c r="N104" s="1" t="s">
        <v>39</v>
      </c>
      <c r="O104" s="1">
        <f>IF(IFERROR(VLOOKUP(car_price_prediction_[[#This Row],[Car ID]],A105:A2604,1,FALSE),0),1,0)</f>
        <v>0</v>
      </c>
    </row>
    <row r="105" spans="1:15" x14ac:dyDescent="0.25">
      <c r="A105">
        <v>104</v>
      </c>
      <c r="B105" s="1" t="s">
        <v>43</v>
      </c>
      <c r="C105" s="1">
        <f>car_price_prediction_[[#This Row],[Year2]]</f>
        <v>2014</v>
      </c>
      <c r="D105">
        <v>2014</v>
      </c>
      <c r="E105">
        <f>car_price_prediction_[[#This Row],[Engine Size]]/10</f>
        <v>2.2999999999999998</v>
      </c>
      <c r="F105">
        <v>23</v>
      </c>
      <c r="G105" s="1" t="s">
        <v>21</v>
      </c>
      <c r="H105" s="1" t="s">
        <v>12</v>
      </c>
      <c r="I105" s="12">
        <f>car_price_prediction_[[#This Row],[Mileage]]/1000</f>
        <v>142.39400000000001</v>
      </c>
      <c r="J105" s="5">
        <v>142394</v>
      </c>
      <c r="K105" s="1" t="s">
        <v>17</v>
      </c>
      <c r="L105" s="5">
        <f>car_price_prediction_[[#This Row],[Price]]/100</f>
        <v>93126.06</v>
      </c>
      <c r="M105">
        <v>9312606</v>
      </c>
      <c r="N105" s="1" t="s">
        <v>44</v>
      </c>
      <c r="O105" s="1">
        <f>IF(IFERROR(VLOOKUP(car_price_prediction_[[#This Row],[Car ID]],A106:A2605,1,FALSE),0),1,0)</f>
        <v>0</v>
      </c>
    </row>
    <row r="106" spans="1:15" x14ac:dyDescent="0.25">
      <c r="A106">
        <v>105</v>
      </c>
      <c r="B106" s="1" t="s">
        <v>36</v>
      </c>
      <c r="C106" s="1">
        <f>car_price_prediction_[[#This Row],[Year2]]</f>
        <v>2020</v>
      </c>
      <c r="D106">
        <v>2020</v>
      </c>
      <c r="E106">
        <f>car_price_prediction_[[#This Row],[Engine Size]]/10</f>
        <v>1.8</v>
      </c>
      <c r="F106">
        <v>18</v>
      </c>
      <c r="G106" s="1" t="s">
        <v>11</v>
      </c>
      <c r="H106" s="1" t="s">
        <v>12</v>
      </c>
      <c r="I106" s="12">
        <f>car_price_prediction_[[#This Row],[Mileage]]/1000</f>
        <v>69.811999999999998</v>
      </c>
      <c r="J106" s="5">
        <v>69812</v>
      </c>
      <c r="K106" s="1" t="s">
        <v>17</v>
      </c>
      <c r="L106" s="5">
        <f>car_price_prediction_[[#This Row],[Price]]/100</f>
        <v>8300.85</v>
      </c>
      <c r="M106">
        <v>830085</v>
      </c>
      <c r="N106" s="1" t="s">
        <v>46</v>
      </c>
      <c r="O106" s="1">
        <f>IF(IFERROR(VLOOKUP(car_price_prediction_[[#This Row],[Car ID]],A107:A2606,1,FALSE),0),1,0)</f>
        <v>0</v>
      </c>
    </row>
    <row r="107" spans="1:15" x14ac:dyDescent="0.25">
      <c r="A107">
        <v>106</v>
      </c>
      <c r="B107" s="1" t="s">
        <v>19</v>
      </c>
      <c r="C107" s="1">
        <f>car_price_prediction_[[#This Row],[Year2]]</f>
        <v>2018</v>
      </c>
      <c r="D107">
        <v>2018</v>
      </c>
      <c r="E107">
        <f>car_price_prediction_[[#This Row],[Engine Size]]/10</f>
        <v>1.8</v>
      </c>
      <c r="F107">
        <v>18</v>
      </c>
      <c r="G107" s="1" t="s">
        <v>29</v>
      </c>
      <c r="H107" s="1" t="s">
        <v>12</v>
      </c>
      <c r="I107" s="12">
        <f>car_price_prediction_[[#This Row],[Mileage]]/1000</f>
        <v>296.161</v>
      </c>
      <c r="J107" s="5">
        <v>296161</v>
      </c>
      <c r="K107" s="1" t="s">
        <v>17</v>
      </c>
      <c r="L107" s="5">
        <f>car_price_prediction_[[#This Row],[Price]]/100</f>
        <v>26352.59</v>
      </c>
      <c r="M107">
        <v>2635259</v>
      </c>
      <c r="N107" s="1" t="s">
        <v>20</v>
      </c>
      <c r="O107" s="1">
        <f>IF(IFERROR(VLOOKUP(car_price_prediction_[[#This Row],[Car ID]],A108:A2607,1,FALSE),0),1,0)</f>
        <v>0</v>
      </c>
    </row>
    <row r="108" spans="1:15" x14ac:dyDescent="0.25">
      <c r="A108">
        <v>107</v>
      </c>
      <c r="B108" s="1" t="s">
        <v>19</v>
      </c>
      <c r="C108" s="1">
        <f>car_price_prediction_[[#This Row],[Year2]]</f>
        <v>2000</v>
      </c>
      <c r="D108">
        <v>2000</v>
      </c>
      <c r="E108">
        <f>car_price_prediction_[[#This Row],[Engine Size]]/10</f>
        <v>1.4</v>
      </c>
      <c r="F108">
        <v>14</v>
      </c>
      <c r="G108" s="1" t="s">
        <v>16</v>
      </c>
      <c r="H108" s="1" t="s">
        <v>12</v>
      </c>
      <c r="I108" s="12">
        <f>car_price_prediction_[[#This Row],[Mileage]]/1000</f>
        <v>228.208</v>
      </c>
      <c r="J108" s="5">
        <v>228208</v>
      </c>
      <c r="K108" s="1" t="s">
        <v>17</v>
      </c>
      <c r="L108" s="5">
        <f>car_price_prediction_[[#This Row],[Price]]/100</f>
        <v>88047.31</v>
      </c>
      <c r="M108">
        <v>8804731</v>
      </c>
      <c r="N108" s="1" t="s">
        <v>27</v>
      </c>
      <c r="O108" s="1">
        <f>IF(IFERROR(VLOOKUP(car_price_prediction_[[#This Row],[Car ID]],A109:A2608,1,FALSE),0),1,0)</f>
        <v>0</v>
      </c>
    </row>
    <row r="109" spans="1:15" x14ac:dyDescent="0.25">
      <c r="A109">
        <v>108</v>
      </c>
      <c r="B109" s="1" t="s">
        <v>30</v>
      </c>
      <c r="C109" s="1">
        <f>car_price_prediction_[[#This Row],[Year2]]</f>
        <v>2016</v>
      </c>
      <c r="D109">
        <v>2016</v>
      </c>
      <c r="E109">
        <f>car_price_prediction_[[#This Row],[Engine Size]]/10</f>
        <v>1.9</v>
      </c>
      <c r="F109">
        <v>19</v>
      </c>
      <c r="G109" s="1" t="s">
        <v>21</v>
      </c>
      <c r="H109" s="1" t="s">
        <v>12</v>
      </c>
      <c r="I109" s="12">
        <f>car_price_prediction_[[#This Row],[Mileage]]/1000</f>
        <v>279.77300000000002</v>
      </c>
      <c r="J109" s="5">
        <v>279773</v>
      </c>
      <c r="K109" s="1" t="s">
        <v>13</v>
      </c>
      <c r="L109" s="5">
        <f>car_price_prediction_[[#This Row],[Price]]/100</f>
        <v>30027.06</v>
      </c>
      <c r="M109">
        <v>3002706</v>
      </c>
      <c r="N109" s="1" t="s">
        <v>45</v>
      </c>
      <c r="O109" s="1">
        <f>IF(IFERROR(VLOOKUP(car_price_prediction_[[#This Row],[Car ID]],A110:A2609,1,FALSE),0),1,0)</f>
        <v>0</v>
      </c>
    </row>
    <row r="110" spans="1:15" x14ac:dyDescent="0.25">
      <c r="A110">
        <v>109</v>
      </c>
      <c r="B110" s="1" t="s">
        <v>10</v>
      </c>
      <c r="C110" s="1">
        <f>car_price_prediction_[[#This Row],[Year2]]</f>
        <v>2016</v>
      </c>
      <c r="D110">
        <v>2016</v>
      </c>
      <c r="E110">
        <f>car_price_prediction_[[#This Row],[Engine Size]]/10</f>
        <v>4.3</v>
      </c>
      <c r="F110">
        <v>43</v>
      </c>
      <c r="G110" s="1" t="s">
        <v>16</v>
      </c>
      <c r="H110" s="1" t="s">
        <v>12</v>
      </c>
      <c r="I110" s="12">
        <f>car_price_prediction_[[#This Row],[Mileage]]/1000</f>
        <v>128.614</v>
      </c>
      <c r="J110" s="5">
        <v>128614</v>
      </c>
      <c r="K110" s="1" t="s">
        <v>17</v>
      </c>
      <c r="L110" s="5">
        <f>car_price_prediction_[[#This Row],[Price]]/100</f>
        <v>24507.29</v>
      </c>
      <c r="M110">
        <v>2450729</v>
      </c>
      <c r="N110" s="1" t="s">
        <v>33</v>
      </c>
      <c r="O110" s="1">
        <f>IF(IFERROR(VLOOKUP(car_price_prediction_[[#This Row],[Car ID]],A111:A2610,1,FALSE),0),1,0)</f>
        <v>0</v>
      </c>
    </row>
    <row r="111" spans="1:15" x14ac:dyDescent="0.25">
      <c r="A111">
        <v>110</v>
      </c>
      <c r="B111" s="1" t="s">
        <v>19</v>
      </c>
      <c r="C111" s="1">
        <f>car_price_prediction_[[#This Row],[Year2]]</f>
        <v>2002</v>
      </c>
      <c r="D111">
        <v>2002</v>
      </c>
      <c r="E111">
        <f>car_price_prediction_[[#This Row],[Engine Size]]/10</f>
        <v>5.4</v>
      </c>
      <c r="F111">
        <v>54</v>
      </c>
      <c r="G111" s="1" t="s">
        <v>11</v>
      </c>
      <c r="H111" s="1" t="s">
        <v>22</v>
      </c>
      <c r="I111" s="12">
        <f>car_price_prediction_[[#This Row],[Mileage]]/1000</f>
        <v>96.95</v>
      </c>
      <c r="J111" s="5">
        <v>96950</v>
      </c>
      <c r="K111" s="1" t="s">
        <v>13</v>
      </c>
      <c r="L111" s="5">
        <f>car_price_prediction_[[#This Row],[Price]]/100</f>
        <v>30103.17</v>
      </c>
      <c r="M111">
        <v>3010317</v>
      </c>
      <c r="N111" s="1" t="s">
        <v>28</v>
      </c>
      <c r="O111" s="1">
        <f>IF(IFERROR(VLOOKUP(car_price_prediction_[[#This Row],[Car ID]],A112:A2611,1,FALSE),0),1,0)</f>
        <v>0</v>
      </c>
    </row>
    <row r="112" spans="1:15" x14ac:dyDescent="0.25">
      <c r="A112">
        <v>111</v>
      </c>
      <c r="B112" s="1" t="s">
        <v>30</v>
      </c>
      <c r="C112" s="1">
        <f>car_price_prediction_[[#This Row],[Year2]]</f>
        <v>2011</v>
      </c>
      <c r="D112">
        <v>2011</v>
      </c>
      <c r="E112">
        <f>car_price_prediction_[[#This Row],[Engine Size]]/10</f>
        <v>5.0999999999999996</v>
      </c>
      <c r="F112">
        <v>51</v>
      </c>
      <c r="G112" s="1" t="s">
        <v>29</v>
      </c>
      <c r="H112" s="1" t="s">
        <v>22</v>
      </c>
      <c r="I112" s="12">
        <f>car_price_prediction_[[#This Row],[Mileage]]/1000</f>
        <v>174.94200000000001</v>
      </c>
      <c r="J112" s="5">
        <v>174942</v>
      </c>
      <c r="K112" s="1" t="s">
        <v>17</v>
      </c>
      <c r="L112" s="5">
        <f>car_price_prediction_[[#This Row],[Price]]/100</f>
        <v>91445.73</v>
      </c>
      <c r="M112">
        <v>9144573</v>
      </c>
      <c r="N112" s="1" t="s">
        <v>45</v>
      </c>
      <c r="O112" s="1">
        <f>IF(IFERROR(VLOOKUP(car_price_prediction_[[#This Row],[Car ID]],A113:A2612,1,FALSE),0),1,0)</f>
        <v>0</v>
      </c>
    </row>
    <row r="113" spans="1:15" x14ac:dyDescent="0.25">
      <c r="A113">
        <v>112</v>
      </c>
      <c r="B113" s="1" t="s">
        <v>43</v>
      </c>
      <c r="C113" s="1">
        <f>car_price_prediction_[[#This Row],[Year2]]</f>
        <v>2005</v>
      </c>
      <c r="D113">
        <v>2005</v>
      </c>
      <c r="E113">
        <f>car_price_prediction_[[#This Row],[Engine Size]]/10</f>
        <v>4.4000000000000004</v>
      </c>
      <c r="F113">
        <v>44</v>
      </c>
      <c r="G113" s="1" t="s">
        <v>29</v>
      </c>
      <c r="H113" s="1" t="s">
        <v>22</v>
      </c>
      <c r="I113" s="12">
        <f>car_price_prediction_[[#This Row],[Mileage]]/1000</f>
        <v>64.828999999999994</v>
      </c>
      <c r="J113" s="5">
        <v>64829</v>
      </c>
      <c r="K113" s="1" t="s">
        <v>25</v>
      </c>
      <c r="L113" s="5">
        <f>car_price_prediction_[[#This Row],[Price]]/100</f>
        <v>91981.24</v>
      </c>
      <c r="M113">
        <v>9198124</v>
      </c>
      <c r="N113" s="1" t="s">
        <v>44</v>
      </c>
      <c r="O113" s="1">
        <f>IF(IFERROR(VLOOKUP(car_price_prediction_[[#This Row],[Car ID]],A114:A2613,1,FALSE),0),1,0)</f>
        <v>0</v>
      </c>
    </row>
    <row r="114" spans="1:15" x14ac:dyDescent="0.25">
      <c r="A114">
        <v>113</v>
      </c>
      <c r="B114" s="1" t="s">
        <v>15</v>
      </c>
      <c r="C114" s="1">
        <f>car_price_prediction_[[#This Row],[Year2]]</f>
        <v>2010</v>
      </c>
      <c r="D114">
        <v>2010</v>
      </c>
      <c r="E114">
        <f>car_price_prediction_[[#This Row],[Engine Size]]/10</f>
        <v>1.6</v>
      </c>
      <c r="F114">
        <v>16</v>
      </c>
      <c r="G114" s="1" t="s">
        <v>29</v>
      </c>
      <c r="H114" s="1" t="s">
        <v>22</v>
      </c>
      <c r="I114" s="12">
        <f>car_price_prediction_[[#This Row],[Mileage]]/1000</f>
        <v>245.602</v>
      </c>
      <c r="J114" s="5">
        <v>245602</v>
      </c>
      <c r="K114" s="1" t="s">
        <v>25</v>
      </c>
      <c r="L114" s="5">
        <f>car_price_prediction_[[#This Row],[Price]]/100</f>
        <v>3625.46</v>
      </c>
      <c r="M114">
        <v>362546</v>
      </c>
      <c r="N114" s="1" t="s">
        <v>39</v>
      </c>
      <c r="O114" s="1">
        <f>IF(IFERROR(VLOOKUP(car_price_prediction_[[#This Row],[Car ID]],A115:A2614,1,FALSE),0),1,0)</f>
        <v>0</v>
      </c>
    </row>
    <row r="115" spans="1:15" x14ac:dyDescent="0.25">
      <c r="A115">
        <v>114</v>
      </c>
      <c r="B115" s="1" t="s">
        <v>15</v>
      </c>
      <c r="C115" s="1">
        <f>car_price_prediction_[[#This Row],[Year2]]</f>
        <v>2002</v>
      </c>
      <c r="D115">
        <v>2002</v>
      </c>
      <c r="E115">
        <f>car_price_prediction_[[#This Row],[Engine Size]]/10</f>
        <v>2.4</v>
      </c>
      <c r="F115">
        <v>24</v>
      </c>
      <c r="G115" s="1" t="s">
        <v>29</v>
      </c>
      <c r="H115" s="1" t="s">
        <v>12</v>
      </c>
      <c r="I115" s="12">
        <f>car_price_prediction_[[#This Row],[Mileage]]/1000</f>
        <v>10.587999999999999</v>
      </c>
      <c r="J115" s="5">
        <v>10588</v>
      </c>
      <c r="K115" s="1" t="s">
        <v>25</v>
      </c>
      <c r="L115" s="5">
        <f>car_price_prediction_[[#This Row],[Price]]/100</f>
        <v>72016.25</v>
      </c>
      <c r="M115">
        <v>7201625</v>
      </c>
      <c r="N115" s="1" t="s">
        <v>51</v>
      </c>
      <c r="O115" s="1">
        <f>IF(IFERROR(VLOOKUP(car_price_prediction_[[#This Row],[Car ID]],A116:A2615,1,FALSE),0),1,0)</f>
        <v>0</v>
      </c>
    </row>
    <row r="116" spans="1:15" x14ac:dyDescent="0.25">
      <c r="A116">
        <v>115</v>
      </c>
      <c r="B116" s="1" t="s">
        <v>15</v>
      </c>
      <c r="C116" s="1">
        <f>car_price_prediction_[[#This Row],[Year2]]</f>
        <v>2007</v>
      </c>
      <c r="D116">
        <v>2007</v>
      </c>
      <c r="E116">
        <f>car_price_prediction_[[#This Row],[Engine Size]]/10</f>
        <v>2.5</v>
      </c>
      <c r="F116">
        <v>25</v>
      </c>
      <c r="G116" s="1" t="s">
        <v>21</v>
      </c>
      <c r="H116" s="1" t="s">
        <v>12</v>
      </c>
      <c r="I116" s="12">
        <f>car_price_prediction_[[#This Row],[Mileage]]/1000</f>
        <v>168.21700000000001</v>
      </c>
      <c r="J116" s="5">
        <v>168217</v>
      </c>
      <c r="K116" s="1" t="s">
        <v>13</v>
      </c>
      <c r="L116" s="5">
        <f>car_price_prediction_[[#This Row],[Price]]/100</f>
        <v>6919.58</v>
      </c>
      <c r="M116">
        <v>691958</v>
      </c>
      <c r="N116" s="1" t="s">
        <v>18</v>
      </c>
      <c r="O116" s="1">
        <f>IF(IFERROR(VLOOKUP(car_price_prediction_[[#This Row],[Car ID]],A117:A2616,1,FALSE),0),1,0)</f>
        <v>0</v>
      </c>
    </row>
    <row r="117" spans="1:15" x14ac:dyDescent="0.25">
      <c r="A117">
        <v>116</v>
      </c>
      <c r="B117" s="1" t="s">
        <v>19</v>
      </c>
      <c r="C117" s="1">
        <f>car_price_prediction_[[#This Row],[Year2]]</f>
        <v>2013</v>
      </c>
      <c r="D117">
        <v>2013</v>
      </c>
      <c r="E117">
        <f>car_price_prediction_[[#This Row],[Engine Size]]/10</f>
        <v>2.2000000000000002</v>
      </c>
      <c r="F117">
        <v>22</v>
      </c>
      <c r="G117" s="1" t="s">
        <v>21</v>
      </c>
      <c r="H117" s="1" t="s">
        <v>22</v>
      </c>
      <c r="I117" s="12">
        <f>car_price_prediction_[[#This Row],[Mileage]]/1000</f>
        <v>272.74299999999999</v>
      </c>
      <c r="J117" s="5">
        <v>272743</v>
      </c>
      <c r="K117" s="1" t="s">
        <v>17</v>
      </c>
      <c r="L117" s="5">
        <f>car_price_prediction_[[#This Row],[Price]]/100</f>
        <v>81623.45</v>
      </c>
      <c r="M117">
        <v>8162345</v>
      </c>
      <c r="N117" s="1" t="s">
        <v>38</v>
      </c>
      <c r="O117" s="1">
        <f>IF(IFERROR(VLOOKUP(car_price_prediction_[[#This Row],[Car ID]],A118:A2617,1,FALSE),0),1,0)</f>
        <v>0</v>
      </c>
    </row>
    <row r="118" spans="1:15" x14ac:dyDescent="0.25">
      <c r="A118">
        <v>117</v>
      </c>
      <c r="B118" s="1" t="s">
        <v>43</v>
      </c>
      <c r="C118" s="1">
        <f>car_price_prediction_[[#This Row],[Year2]]</f>
        <v>2013</v>
      </c>
      <c r="D118">
        <v>2013</v>
      </c>
      <c r="E118">
        <f>car_price_prediction_[[#This Row],[Engine Size]]/10</f>
        <v>3.6</v>
      </c>
      <c r="F118">
        <v>36</v>
      </c>
      <c r="G118" s="1" t="s">
        <v>16</v>
      </c>
      <c r="H118" s="1" t="s">
        <v>22</v>
      </c>
      <c r="I118" s="12">
        <f>car_price_prediction_[[#This Row],[Mileage]]/1000</f>
        <v>208.50200000000001</v>
      </c>
      <c r="J118" s="5">
        <v>208502</v>
      </c>
      <c r="K118" s="1" t="s">
        <v>17</v>
      </c>
      <c r="L118" s="5">
        <f>car_price_prediction_[[#This Row],[Price]]/100</f>
        <v>3316.84</v>
      </c>
      <c r="M118">
        <v>331684</v>
      </c>
      <c r="N118" s="1" t="s">
        <v>44</v>
      </c>
      <c r="O118" s="1">
        <f>IF(IFERROR(VLOOKUP(car_price_prediction_[[#This Row],[Car ID]],A119:A2618,1,FALSE),0),1,0)</f>
        <v>0</v>
      </c>
    </row>
    <row r="119" spans="1:15" x14ac:dyDescent="0.25">
      <c r="A119">
        <v>118</v>
      </c>
      <c r="B119" s="1" t="s">
        <v>19</v>
      </c>
      <c r="C119" s="1">
        <f>car_price_prediction_[[#This Row],[Year2]]</f>
        <v>2009</v>
      </c>
      <c r="D119">
        <v>2009</v>
      </c>
      <c r="E119">
        <f>car_price_prediction_[[#This Row],[Engine Size]]/10</f>
        <v>3.7</v>
      </c>
      <c r="F119">
        <v>37</v>
      </c>
      <c r="G119" s="1" t="s">
        <v>21</v>
      </c>
      <c r="H119" s="1" t="s">
        <v>22</v>
      </c>
      <c r="I119" s="12">
        <f>car_price_prediction_[[#This Row],[Mileage]]/1000</f>
        <v>134.011</v>
      </c>
      <c r="J119" s="5">
        <v>134011</v>
      </c>
      <c r="K119" s="1" t="s">
        <v>13</v>
      </c>
      <c r="L119" s="5">
        <f>car_price_prediction_[[#This Row],[Price]]/100</f>
        <v>53463.16</v>
      </c>
      <c r="M119">
        <v>5346316</v>
      </c>
      <c r="N119" s="1" t="s">
        <v>28</v>
      </c>
      <c r="O119" s="1">
        <f>IF(IFERROR(VLOOKUP(car_price_prediction_[[#This Row],[Car ID]],A120:A2619,1,FALSE),0),1,0)</f>
        <v>0</v>
      </c>
    </row>
    <row r="120" spans="1:15" x14ac:dyDescent="0.25">
      <c r="A120">
        <v>119</v>
      </c>
      <c r="B120" s="1" t="s">
        <v>10</v>
      </c>
      <c r="C120" s="1">
        <f>car_price_prediction_[[#This Row],[Year2]]</f>
        <v>2001</v>
      </c>
      <c r="D120">
        <v>2001</v>
      </c>
      <c r="E120">
        <f>car_price_prediction_[[#This Row],[Engine Size]]/10</f>
        <v>2.8</v>
      </c>
      <c r="F120">
        <v>28</v>
      </c>
      <c r="G120" s="1" t="s">
        <v>11</v>
      </c>
      <c r="H120" s="1" t="s">
        <v>22</v>
      </c>
      <c r="I120" s="12">
        <f>car_price_prediction_[[#This Row],[Mileage]]/1000</f>
        <v>252.85599999999999</v>
      </c>
      <c r="J120" s="5">
        <v>252856</v>
      </c>
      <c r="K120" s="1" t="s">
        <v>13</v>
      </c>
      <c r="L120" s="5">
        <f>car_price_prediction_[[#This Row],[Price]]/100</f>
        <v>68429.03</v>
      </c>
      <c r="M120">
        <v>6842903</v>
      </c>
      <c r="N120" s="1" t="s">
        <v>33</v>
      </c>
      <c r="O120" s="1">
        <f>IF(IFERROR(VLOOKUP(car_price_prediction_[[#This Row],[Car ID]],A121:A2620,1,FALSE),0),1,0)</f>
        <v>0</v>
      </c>
    </row>
    <row r="121" spans="1:15" x14ac:dyDescent="0.25">
      <c r="A121">
        <v>120</v>
      </c>
      <c r="B121" s="1" t="s">
        <v>19</v>
      </c>
      <c r="C121" s="1">
        <f>car_price_prediction_[[#This Row],[Year2]]</f>
        <v>2013</v>
      </c>
      <c r="D121">
        <v>2013</v>
      </c>
      <c r="E121">
        <f>car_price_prediction_[[#This Row],[Engine Size]]/10</f>
        <v>2.8</v>
      </c>
      <c r="F121">
        <v>28</v>
      </c>
      <c r="G121" s="1" t="s">
        <v>11</v>
      </c>
      <c r="H121" s="1" t="s">
        <v>22</v>
      </c>
      <c r="I121" s="12">
        <f>car_price_prediction_[[#This Row],[Mileage]]/1000</f>
        <v>284.29300000000001</v>
      </c>
      <c r="J121" s="5">
        <v>284293</v>
      </c>
      <c r="K121" s="1" t="s">
        <v>13</v>
      </c>
      <c r="L121" s="5">
        <f>car_price_prediction_[[#This Row],[Price]]/100</f>
        <v>749.44</v>
      </c>
      <c r="M121">
        <v>74944</v>
      </c>
      <c r="N121" s="1" t="s">
        <v>28</v>
      </c>
      <c r="O121" s="1">
        <f>IF(IFERROR(VLOOKUP(car_price_prediction_[[#This Row],[Car ID]],A122:A2621,1,FALSE),0),1,0)</f>
        <v>0</v>
      </c>
    </row>
    <row r="122" spans="1:15" x14ac:dyDescent="0.25">
      <c r="A122">
        <v>121</v>
      </c>
      <c r="B122" s="1" t="s">
        <v>43</v>
      </c>
      <c r="C122" s="1">
        <f>car_price_prediction_[[#This Row],[Year2]]</f>
        <v>2008</v>
      </c>
      <c r="D122">
        <v>2008</v>
      </c>
      <c r="E122">
        <f>car_price_prediction_[[#This Row],[Engine Size]]/10</f>
        <v>5.0999999999999996</v>
      </c>
      <c r="F122">
        <v>51</v>
      </c>
      <c r="G122" s="1" t="s">
        <v>29</v>
      </c>
      <c r="H122" s="1" t="s">
        <v>22</v>
      </c>
      <c r="I122" s="12">
        <f>car_price_prediction_[[#This Row],[Mileage]]/1000</f>
        <v>197.63900000000001</v>
      </c>
      <c r="J122" s="5">
        <v>197639</v>
      </c>
      <c r="K122" s="1" t="s">
        <v>13</v>
      </c>
      <c r="L122" s="5">
        <f>car_price_prediction_[[#This Row],[Price]]/100</f>
        <v>40790.18</v>
      </c>
      <c r="M122">
        <v>4079018</v>
      </c>
      <c r="N122" s="1" t="s">
        <v>44</v>
      </c>
      <c r="O122" s="1">
        <f>IF(IFERROR(VLOOKUP(car_price_prediction_[[#This Row],[Car ID]],A123:A2622,1,FALSE),0),1,0)</f>
        <v>0</v>
      </c>
    </row>
    <row r="123" spans="1:15" x14ac:dyDescent="0.25">
      <c r="A123">
        <v>122</v>
      </c>
      <c r="B123" s="1" t="s">
        <v>43</v>
      </c>
      <c r="C123" s="1">
        <f>car_price_prediction_[[#This Row],[Year2]]</f>
        <v>2002</v>
      </c>
      <c r="D123">
        <v>2002</v>
      </c>
      <c r="E123">
        <f>car_price_prediction_[[#This Row],[Engine Size]]/10</f>
        <v>4.9000000000000004</v>
      </c>
      <c r="F123">
        <v>49</v>
      </c>
      <c r="G123" s="1" t="s">
        <v>11</v>
      </c>
      <c r="H123" s="1" t="s">
        <v>22</v>
      </c>
      <c r="I123" s="12">
        <f>car_price_prediction_[[#This Row],[Mileage]]/1000</f>
        <v>141.28</v>
      </c>
      <c r="J123" s="5">
        <v>141280</v>
      </c>
      <c r="K123" s="1" t="s">
        <v>13</v>
      </c>
      <c r="L123" s="5">
        <f>car_price_prediction_[[#This Row],[Price]]/100</f>
        <v>71109.39</v>
      </c>
      <c r="M123">
        <v>7110939</v>
      </c>
      <c r="N123" s="1" t="s">
        <v>50</v>
      </c>
      <c r="O123" s="1">
        <f>IF(IFERROR(VLOOKUP(car_price_prediction_[[#This Row],[Car ID]],A124:A2623,1,FALSE),0),1,0)</f>
        <v>0</v>
      </c>
    </row>
    <row r="124" spans="1:15" x14ac:dyDescent="0.25">
      <c r="A124">
        <v>123</v>
      </c>
      <c r="B124" s="1" t="s">
        <v>10</v>
      </c>
      <c r="C124" s="1">
        <f>car_price_prediction_[[#This Row],[Year2]]</f>
        <v>2020</v>
      </c>
      <c r="D124">
        <v>2020</v>
      </c>
      <c r="E124">
        <f>car_price_prediction_[[#This Row],[Engine Size]]/10</f>
        <v>2.5</v>
      </c>
      <c r="F124">
        <v>25</v>
      </c>
      <c r="G124" s="1" t="s">
        <v>16</v>
      </c>
      <c r="H124" s="1" t="s">
        <v>22</v>
      </c>
      <c r="I124" s="12">
        <f>car_price_prediction_[[#This Row],[Mileage]]/1000</f>
        <v>197.17</v>
      </c>
      <c r="J124" s="5">
        <v>197170</v>
      </c>
      <c r="K124" s="1" t="s">
        <v>25</v>
      </c>
      <c r="L124" s="5">
        <f>car_price_prediction_[[#This Row],[Price]]/100</f>
        <v>28996.53</v>
      </c>
      <c r="M124">
        <v>2899653</v>
      </c>
      <c r="N124" s="1" t="s">
        <v>49</v>
      </c>
      <c r="O124" s="1">
        <f>IF(IFERROR(VLOOKUP(car_price_prediction_[[#This Row],[Car ID]],A125:A2624,1,FALSE),0),1,0)</f>
        <v>0</v>
      </c>
    </row>
    <row r="125" spans="1:15" x14ac:dyDescent="0.25">
      <c r="A125">
        <v>124</v>
      </c>
      <c r="B125" s="1" t="s">
        <v>43</v>
      </c>
      <c r="C125" s="1">
        <f>car_price_prediction_[[#This Row],[Year2]]</f>
        <v>2007</v>
      </c>
      <c r="D125">
        <v>2007</v>
      </c>
      <c r="E125">
        <f>car_price_prediction_[[#This Row],[Engine Size]]/10</f>
        <v>5.6</v>
      </c>
      <c r="F125">
        <v>56</v>
      </c>
      <c r="G125" s="1" t="s">
        <v>21</v>
      </c>
      <c r="H125" s="1" t="s">
        <v>12</v>
      </c>
      <c r="I125" s="12">
        <f>car_price_prediction_[[#This Row],[Mileage]]/1000</f>
        <v>180.56399999999999</v>
      </c>
      <c r="J125" s="5">
        <v>180564</v>
      </c>
      <c r="K125" s="1" t="s">
        <v>17</v>
      </c>
      <c r="L125" s="5">
        <f>car_price_prediction_[[#This Row],[Price]]/100</f>
        <v>95981.89</v>
      </c>
      <c r="M125">
        <v>9598189</v>
      </c>
      <c r="N125" s="1" t="s">
        <v>47</v>
      </c>
      <c r="O125" s="1">
        <f>IF(IFERROR(VLOOKUP(car_price_prediction_[[#This Row],[Car ID]],A126:A2625,1,FALSE),0),1,0)</f>
        <v>0</v>
      </c>
    </row>
    <row r="126" spans="1:15" x14ac:dyDescent="0.25">
      <c r="A126">
        <v>125</v>
      </c>
      <c r="B126" s="1" t="s">
        <v>43</v>
      </c>
      <c r="C126" s="1">
        <f>car_price_prediction_[[#This Row],[Year2]]</f>
        <v>2015</v>
      </c>
      <c r="D126">
        <v>2015</v>
      </c>
      <c r="E126">
        <f>car_price_prediction_[[#This Row],[Engine Size]]/10</f>
        <v>5.8</v>
      </c>
      <c r="F126">
        <v>58</v>
      </c>
      <c r="G126" s="1" t="s">
        <v>21</v>
      </c>
      <c r="H126" s="1" t="s">
        <v>12</v>
      </c>
      <c r="I126" s="12">
        <f>car_price_prediction_[[#This Row],[Mileage]]/1000</f>
        <v>20.951000000000001</v>
      </c>
      <c r="J126" s="5">
        <v>20951</v>
      </c>
      <c r="K126" s="1" t="s">
        <v>13</v>
      </c>
      <c r="L126" s="5">
        <f>car_price_prediction_[[#This Row],[Price]]/100</f>
        <v>7865.33</v>
      </c>
      <c r="M126">
        <v>786533</v>
      </c>
      <c r="N126" s="1" t="s">
        <v>47</v>
      </c>
      <c r="O126" s="1">
        <f>IF(IFERROR(VLOOKUP(car_price_prediction_[[#This Row],[Car ID]],A127:A2626,1,FALSE),0),1,0)</f>
        <v>0</v>
      </c>
    </row>
    <row r="127" spans="1:15" x14ac:dyDescent="0.25">
      <c r="A127">
        <v>126</v>
      </c>
      <c r="B127" s="1" t="s">
        <v>15</v>
      </c>
      <c r="C127" s="1">
        <f>car_price_prediction_[[#This Row],[Year2]]</f>
        <v>2001</v>
      </c>
      <c r="D127">
        <v>2001</v>
      </c>
      <c r="E127">
        <f>car_price_prediction_[[#This Row],[Engine Size]]/10</f>
        <v>2.6</v>
      </c>
      <c r="F127">
        <v>26</v>
      </c>
      <c r="G127" s="1" t="s">
        <v>21</v>
      </c>
      <c r="H127" s="1" t="s">
        <v>12</v>
      </c>
      <c r="I127" s="12">
        <f>car_price_prediction_[[#This Row],[Mileage]]/1000</f>
        <v>179.99199999999999</v>
      </c>
      <c r="J127" s="5">
        <v>179992</v>
      </c>
      <c r="K127" s="1" t="s">
        <v>25</v>
      </c>
      <c r="L127" s="5">
        <f>car_price_prediction_[[#This Row],[Price]]/100</f>
        <v>96018.28</v>
      </c>
      <c r="M127">
        <v>9601828</v>
      </c>
      <c r="N127" s="1" t="s">
        <v>35</v>
      </c>
      <c r="O127" s="1">
        <f>IF(IFERROR(VLOOKUP(car_price_prediction_[[#This Row],[Car ID]],A128:A2627,1,FALSE),0),1,0)</f>
        <v>0</v>
      </c>
    </row>
    <row r="128" spans="1:15" x14ac:dyDescent="0.25">
      <c r="A128">
        <v>127</v>
      </c>
      <c r="B128" s="1" t="s">
        <v>10</v>
      </c>
      <c r="C128" s="1">
        <f>car_price_prediction_[[#This Row],[Year2]]</f>
        <v>2005</v>
      </c>
      <c r="D128">
        <v>2005</v>
      </c>
      <c r="E128">
        <f>car_price_prediction_[[#This Row],[Engine Size]]/10</f>
        <v>2.8</v>
      </c>
      <c r="F128">
        <v>28</v>
      </c>
      <c r="G128" s="1" t="s">
        <v>11</v>
      </c>
      <c r="H128" s="1" t="s">
        <v>12</v>
      </c>
      <c r="I128" s="12">
        <f>car_price_prediction_[[#This Row],[Mileage]]/1000</f>
        <v>46.765999999999998</v>
      </c>
      <c r="J128" s="5">
        <v>46766</v>
      </c>
      <c r="K128" s="1" t="s">
        <v>13</v>
      </c>
      <c r="L128" s="5">
        <f>car_price_prediction_[[#This Row],[Price]]/100</f>
        <v>25592.57</v>
      </c>
      <c r="M128">
        <v>2559257</v>
      </c>
      <c r="N128" s="1" t="s">
        <v>14</v>
      </c>
      <c r="O128" s="1">
        <f>IF(IFERROR(VLOOKUP(car_price_prediction_[[#This Row],[Car ID]],A129:A2628,1,FALSE),0),1,0)</f>
        <v>0</v>
      </c>
    </row>
    <row r="129" spans="1:15" x14ac:dyDescent="0.25">
      <c r="A129">
        <v>128</v>
      </c>
      <c r="B129" s="1" t="s">
        <v>24</v>
      </c>
      <c r="C129" s="1">
        <f>car_price_prediction_[[#This Row],[Year2]]</f>
        <v>2020</v>
      </c>
      <c r="D129">
        <v>2020</v>
      </c>
      <c r="E129">
        <f>car_price_prediction_[[#This Row],[Engine Size]]/10</f>
        <v>3.5</v>
      </c>
      <c r="F129">
        <v>35</v>
      </c>
      <c r="G129" s="1" t="s">
        <v>21</v>
      </c>
      <c r="H129" s="1" t="s">
        <v>22</v>
      </c>
      <c r="I129" s="12">
        <f>car_price_prediction_[[#This Row],[Mileage]]/1000</f>
        <v>159.423</v>
      </c>
      <c r="J129" s="5">
        <v>159423</v>
      </c>
      <c r="K129" s="1" t="s">
        <v>25</v>
      </c>
      <c r="L129" s="5">
        <f>car_price_prediction_[[#This Row],[Price]]/100</f>
        <v>9638.09</v>
      </c>
      <c r="M129">
        <v>963809</v>
      </c>
      <c r="N129" s="1" t="s">
        <v>26</v>
      </c>
      <c r="O129" s="1">
        <f>IF(IFERROR(VLOOKUP(car_price_prediction_[[#This Row],[Car ID]],A130:A2629,1,FALSE),0),1,0)</f>
        <v>0</v>
      </c>
    </row>
    <row r="130" spans="1:15" x14ac:dyDescent="0.25">
      <c r="A130">
        <v>129</v>
      </c>
      <c r="B130" s="1" t="s">
        <v>24</v>
      </c>
      <c r="C130" s="1">
        <f>car_price_prediction_[[#This Row],[Year2]]</f>
        <v>2011</v>
      </c>
      <c r="D130">
        <v>2011</v>
      </c>
      <c r="E130">
        <f>car_price_prediction_[[#This Row],[Engine Size]]/10</f>
        <v>5.7</v>
      </c>
      <c r="F130">
        <v>57</v>
      </c>
      <c r="G130" s="1" t="s">
        <v>29</v>
      </c>
      <c r="H130" s="1" t="s">
        <v>12</v>
      </c>
      <c r="I130" s="12">
        <f>car_price_prediction_[[#This Row],[Mileage]]/1000</f>
        <v>87.122</v>
      </c>
      <c r="J130" s="5">
        <v>87122</v>
      </c>
      <c r="K130" s="1" t="s">
        <v>13</v>
      </c>
      <c r="L130" s="5">
        <f>car_price_prediction_[[#This Row],[Price]]/100</f>
        <v>32785.03</v>
      </c>
      <c r="M130">
        <v>3278503</v>
      </c>
      <c r="N130" s="1" t="s">
        <v>32</v>
      </c>
      <c r="O130" s="1">
        <f>IF(IFERROR(VLOOKUP(car_price_prediction_[[#This Row],[Car ID]],A131:A2630,1,FALSE),0),1,0)</f>
        <v>0</v>
      </c>
    </row>
    <row r="131" spans="1:15" x14ac:dyDescent="0.25">
      <c r="A131">
        <v>130</v>
      </c>
      <c r="B131" s="1" t="s">
        <v>43</v>
      </c>
      <c r="C131" s="1">
        <f>car_price_prediction_[[#This Row],[Year2]]</f>
        <v>2004</v>
      </c>
      <c r="D131">
        <v>2004</v>
      </c>
      <c r="E131">
        <f>car_price_prediction_[[#This Row],[Engine Size]]/10</f>
        <v>5.4</v>
      </c>
      <c r="F131">
        <v>54</v>
      </c>
      <c r="G131" s="1" t="s">
        <v>29</v>
      </c>
      <c r="H131" s="1" t="s">
        <v>22</v>
      </c>
      <c r="I131" s="12">
        <f>car_price_prediction_[[#This Row],[Mileage]]/1000</f>
        <v>271.452</v>
      </c>
      <c r="J131" s="5">
        <v>271452</v>
      </c>
      <c r="K131" s="1" t="s">
        <v>17</v>
      </c>
      <c r="L131" s="5">
        <f>car_price_prediction_[[#This Row],[Price]]/100</f>
        <v>79696.820000000007</v>
      </c>
      <c r="M131">
        <v>7969682</v>
      </c>
      <c r="N131" s="1" t="s">
        <v>47</v>
      </c>
      <c r="O131" s="1">
        <f>IF(IFERROR(VLOOKUP(car_price_prediction_[[#This Row],[Car ID]],A132:A2631,1,FALSE),0),1,0)</f>
        <v>0</v>
      </c>
    </row>
    <row r="132" spans="1:15" x14ac:dyDescent="0.25">
      <c r="A132">
        <v>131</v>
      </c>
      <c r="B132" s="1" t="s">
        <v>24</v>
      </c>
      <c r="C132" s="1">
        <f>car_price_prediction_[[#This Row],[Year2]]</f>
        <v>2001</v>
      </c>
      <c r="D132">
        <v>2001</v>
      </c>
      <c r="E132">
        <f>car_price_prediction_[[#This Row],[Engine Size]]/10</f>
        <v>1.5</v>
      </c>
      <c r="F132">
        <v>15</v>
      </c>
      <c r="G132" s="1" t="s">
        <v>29</v>
      </c>
      <c r="H132" s="1" t="s">
        <v>12</v>
      </c>
      <c r="I132" s="12">
        <f>car_price_prediction_[[#This Row],[Mileage]]/1000</f>
        <v>83.210999999999999</v>
      </c>
      <c r="J132" s="5">
        <v>83211</v>
      </c>
      <c r="K132" s="1" t="s">
        <v>13</v>
      </c>
      <c r="L132" s="5">
        <f>car_price_prediction_[[#This Row],[Price]]/100</f>
        <v>76481.990000000005</v>
      </c>
      <c r="M132">
        <v>7648199</v>
      </c>
      <c r="N132" s="1" t="s">
        <v>32</v>
      </c>
      <c r="O132" s="1">
        <f>IF(IFERROR(VLOOKUP(car_price_prediction_[[#This Row],[Car ID]],A133:A2632,1,FALSE),0),1,0)</f>
        <v>0</v>
      </c>
    </row>
    <row r="133" spans="1:15" x14ac:dyDescent="0.25">
      <c r="A133">
        <v>132</v>
      </c>
      <c r="B133" s="1" t="s">
        <v>24</v>
      </c>
      <c r="C133" s="1">
        <f>car_price_prediction_[[#This Row],[Year2]]</f>
        <v>2015</v>
      </c>
      <c r="D133">
        <v>2015</v>
      </c>
      <c r="E133">
        <f>car_price_prediction_[[#This Row],[Engine Size]]/10</f>
        <v>3</v>
      </c>
      <c r="F133">
        <v>30</v>
      </c>
      <c r="G133" s="1" t="s">
        <v>11</v>
      </c>
      <c r="H133" s="1" t="s">
        <v>22</v>
      </c>
      <c r="I133" s="12">
        <f>car_price_prediction_[[#This Row],[Mileage]]/1000</f>
        <v>126.53400000000001</v>
      </c>
      <c r="J133" s="5">
        <v>126534</v>
      </c>
      <c r="K133" s="1" t="s">
        <v>13</v>
      </c>
      <c r="L133" s="5">
        <f>car_price_prediction_[[#This Row],[Price]]/100</f>
        <v>24839.84</v>
      </c>
      <c r="M133">
        <v>2483984</v>
      </c>
      <c r="N133" s="1" t="s">
        <v>53</v>
      </c>
      <c r="O133" s="1">
        <f>IF(IFERROR(VLOOKUP(car_price_prediction_[[#This Row],[Car ID]],A134:A2633,1,FALSE),0),1,0)</f>
        <v>0</v>
      </c>
    </row>
    <row r="134" spans="1:15" x14ac:dyDescent="0.25">
      <c r="A134">
        <v>133</v>
      </c>
      <c r="B134" s="1" t="s">
        <v>43</v>
      </c>
      <c r="C134" s="1">
        <f>car_price_prediction_[[#This Row],[Year2]]</f>
        <v>2004</v>
      </c>
      <c r="D134">
        <v>2004</v>
      </c>
      <c r="E134">
        <f>car_price_prediction_[[#This Row],[Engine Size]]/10</f>
        <v>3.8</v>
      </c>
      <c r="F134">
        <v>38</v>
      </c>
      <c r="G134" s="1" t="s">
        <v>21</v>
      </c>
      <c r="H134" s="1" t="s">
        <v>22</v>
      </c>
      <c r="I134" s="12">
        <f>car_price_prediction_[[#This Row],[Mileage]]/1000</f>
        <v>8.7200000000000006</v>
      </c>
      <c r="J134" s="5">
        <v>8720</v>
      </c>
      <c r="K134" s="1" t="s">
        <v>17</v>
      </c>
      <c r="L134" s="5">
        <f>car_price_prediction_[[#This Row],[Price]]/100</f>
        <v>23695.06</v>
      </c>
      <c r="M134">
        <v>2369506</v>
      </c>
      <c r="N134" s="1" t="s">
        <v>52</v>
      </c>
      <c r="O134" s="1">
        <f>IF(IFERROR(VLOOKUP(car_price_prediction_[[#This Row],[Car ID]],A135:A2634,1,FALSE),0),1,0)</f>
        <v>0</v>
      </c>
    </row>
    <row r="135" spans="1:15" x14ac:dyDescent="0.25">
      <c r="A135">
        <v>134</v>
      </c>
      <c r="B135" s="1" t="s">
        <v>24</v>
      </c>
      <c r="C135" s="1">
        <f>car_price_prediction_[[#This Row],[Year2]]</f>
        <v>2014</v>
      </c>
      <c r="D135">
        <v>2014</v>
      </c>
      <c r="E135">
        <f>car_price_prediction_[[#This Row],[Engine Size]]/10</f>
        <v>3.5</v>
      </c>
      <c r="F135">
        <v>35</v>
      </c>
      <c r="G135" s="1" t="s">
        <v>11</v>
      </c>
      <c r="H135" s="1" t="s">
        <v>12</v>
      </c>
      <c r="I135" s="12">
        <f>car_price_prediction_[[#This Row],[Mileage]]/1000</f>
        <v>79.992999999999995</v>
      </c>
      <c r="J135" s="5">
        <v>79993</v>
      </c>
      <c r="K135" s="1" t="s">
        <v>17</v>
      </c>
      <c r="L135" s="5">
        <f>car_price_prediction_[[#This Row],[Price]]/100</f>
        <v>66045.09</v>
      </c>
      <c r="M135">
        <v>6604509</v>
      </c>
      <c r="N135" s="1" t="s">
        <v>53</v>
      </c>
      <c r="O135" s="1">
        <f>IF(IFERROR(VLOOKUP(car_price_prediction_[[#This Row],[Car ID]],A136:A2635,1,FALSE),0),1,0)</f>
        <v>0</v>
      </c>
    </row>
    <row r="136" spans="1:15" x14ac:dyDescent="0.25">
      <c r="A136">
        <v>135</v>
      </c>
      <c r="B136" s="1" t="s">
        <v>19</v>
      </c>
      <c r="C136" s="1">
        <f>car_price_prediction_[[#This Row],[Year2]]</f>
        <v>2011</v>
      </c>
      <c r="D136">
        <v>2011</v>
      </c>
      <c r="E136">
        <f>car_price_prediction_[[#This Row],[Engine Size]]/10</f>
        <v>2</v>
      </c>
      <c r="F136">
        <v>20</v>
      </c>
      <c r="G136" s="1" t="s">
        <v>21</v>
      </c>
      <c r="H136" s="1" t="s">
        <v>12</v>
      </c>
      <c r="I136" s="12">
        <f>car_price_prediction_[[#This Row],[Mileage]]/1000</f>
        <v>219.97300000000001</v>
      </c>
      <c r="J136" s="5">
        <v>219973</v>
      </c>
      <c r="K136" s="1" t="s">
        <v>13</v>
      </c>
      <c r="L136" s="5">
        <f>car_price_prediction_[[#This Row],[Price]]/100</f>
        <v>48517.86</v>
      </c>
      <c r="M136">
        <v>4851786</v>
      </c>
      <c r="N136" s="1" t="s">
        <v>28</v>
      </c>
      <c r="O136" s="1">
        <f>IF(IFERROR(VLOOKUP(car_price_prediction_[[#This Row],[Car ID]],A137:A2636,1,FALSE),0),1,0)</f>
        <v>0</v>
      </c>
    </row>
    <row r="137" spans="1:15" x14ac:dyDescent="0.25">
      <c r="A137">
        <v>136</v>
      </c>
      <c r="B137" s="1" t="s">
        <v>30</v>
      </c>
      <c r="C137" s="1">
        <f>car_price_prediction_[[#This Row],[Year2]]</f>
        <v>2003</v>
      </c>
      <c r="D137">
        <v>2003</v>
      </c>
      <c r="E137">
        <f>car_price_prediction_[[#This Row],[Engine Size]]/10</f>
        <v>5.3</v>
      </c>
      <c r="F137">
        <v>53</v>
      </c>
      <c r="G137" s="1" t="s">
        <v>16</v>
      </c>
      <c r="H137" s="1" t="s">
        <v>22</v>
      </c>
      <c r="I137" s="12">
        <f>car_price_prediction_[[#This Row],[Mileage]]/1000</f>
        <v>25.905000000000001</v>
      </c>
      <c r="J137" s="5">
        <v>25905</v>
      </c>
      <c r="K137" s="1" t="s">
        <v>17</v>
      </c>
      <c r="L137" s="5">
        <f>car_price_prediction_[[#This Row],[Price]]/100</f>
        <v>80267.55</v>
      </c>
      <c r="M137">
        <v>8026755</v>
      </c>
      <c r="N137" s="1" t="s">
        <v>45</v>
      </c>
      <c r="O137" s="1">
        <f>IF(IFERROR(VLOOKUP(car_price_prediction_[[#This Row],[Car ID]],A138:A2637,1,FALSE),0),1,0)</f>
        <v>0</v>
      </c>
    </row>
    <row r="138" spans="1:15" x14ac:dyDescent="0.25">
      <c r="A138">
        <v>137</v>
      </c>
      <c r="B138" s="1" t="s">
        <v>10</v>
      </c>
      <c r="C138" s="1">
        <f>car_price_prediction_[[#This Row],[Year2]]</f>
        <v>2014</v>
      </c>
      <c r="D138">
        <v>2014</v>
      </c>
      <c r="E138">
        <f>car_price_prediction_[[#This Row],[Engine Size]]/10</f>
        <v>4.4000000000000004</v>
      </c>
      <c r="F138">
        <v>44</v>
      </c>
      <c r="G138" s="1" t="s">
        <v>16</v>
      </c>
      <c r="H138" s="1" t="s">
        <v>22</v>
      </c>
      <c r="I138" s="12">
        <f>car_price_prediction_[[#This Row],[Mileage]]/1000</f>
        <v>204.58</v>
      </c>
      <c r="J138" s="5">
        <v>204580</v>
      </c>
      <c r="K138" s="1" t="s">
        <v>17</v>
      </c>
      <c r="L138" s="5">
        <f>car_price_prediction_[[#This Row],[Price]]/100</f>
        <v>7292.61</v>
      </c>
      <c r="M138">
        <v>729261</v>
      </c>
      <c r="N138" s="1" t="s">
        <v>33</v>
      </c>
      <c r="O138" s="1">
        <f>IF(IFERROR(VLOOKUP(car_price_prediction_[[#This Row],[Car ID]],A139:A2638,1,FALSE),0),1,0)</f>
        <v>0</v>
      </c>
    </row>
    <row r="139" spans="1:15" x14ac:dyDescent="0.25">
      <c r="A139">
        <v>138</v>
      </c>
      <c r="B139" s="1" t="s">
        <v>30</v>
      </c>
      <c r="C139" s="1">
        <f>car_price_prediction_[[#This Row],[Year2]]</f>
        <v>2010</v>
      </c>
      <c r="D139">
        <v>2010</v>
      </c>
      <c r="E139">
        <f>car_price_prediction_[[#This Row],[Engine Size]]/10</f>
        <v>5.2</v>
      </c>
      <c r="F139">
        <v>52</v>
      </c>
      <c r="G139" s="1" t="s">
        <v>11</v>
      </c>
      <c r="H139" s="1" t="s">
        <v>22</v>
      </c>
      <c r="I139" s="12">
        <f>car_price_prediction_[[#This Row],[Mileage]]/1000</f>
        <v>50.384999999999998</v>
      </c>
      <c r="J139" s="5">
        <v>50385</v>
      </c>
      <c r="K139" s="1" t="s">
        <v>25</v>
      </c>
      <c r="L139" s="5">
        <f>car_price_prediction_[[#This Row],[Price]]/100</f>
        <v>62989.13</v>
      </c>
      <c r="M139">
        <v>6298913</v>
      </c>
      <c r="N139" s="1" t="s">
        <v>45</v>
      </c>
      <c r="O139" s="1">
        <f>IF(IFERROR(VLOOKUP(car_price_prediction_[[#This Row],[Car ID]],A140:A2639,1,FALSE),0),1,0)</f>
        <v>0</v>
      </c>
    </row>
    <row r="140" spans="1:15" x14ac:dyDescent="0.25">
      <c r="A140">
        <v>139</v>
      </c>
      <c r="B140" s="1" t="s">
        <v>43</v>
      </c>
      <c r="C140" s="1">
        <f>car_price_prediction_[[#This Row],[Year2]]</f>
        <v>2015</v>
      </c>
      <c r="D140">
        <v>2015</v>
      </c>
      <c r="E140">
        <f>car_price_prediction_[[#This Row],[Engine Size]]/10</f>
        <v>5.3</v>
      </c>
      <c r="F140">
        <v>53</v>
      </c>
      <c r="G140" s="1" t="s">
        <v>29</v>
      </c>
      <c r="H140" s="1" t="s">
        <v>12</v>
      </c>
      <c r="I140" s="12">
        <f>car_price_prediction_[[#This Row],[Mileage]]/1000</f>
        <v>30.652999999999999</v>
      </c>
      <c r="J140" s="5">
        <v>30653</v>
      </c>
      <c r="K140" s="1" t="s">
        <v>17</v>
      </c>
      <c r="L140" s="5">
        <f>car_price_prediction_[[#This Row],[Price]]/100</f>
        <v>74413.84</v>
      </c>
      <c r="M140">
        <v>7441384</v>
      </c>
      <c r="N140" s="1" t="s">
        <v>47</v>
      </c>
      <c r="O140" s="1">
        <f>IF(IFERROR(VLOOKUP(car_price_prediction_[[#This Row],[Car ID]],A141:A2640,1,FALSE),0),1,0)</f>
        <v>0</v>
      </c>
    </row>
    <row r="141" spans="1:15" x14ac:dyDescent="0.25">
      <c r="A141">
        <v>140</v>
      </c>
      <c r="B141" s="1" t="s">
        <v>15</v>
      </c>
      <c r="C141" s="1">
        <f>car_price_prediction_[[#This Row],[Year2]]</f>
        <v>2022</v>
      </c>
      <c r="D141">
        <v>2022</v>
      </c>
      <c r="E141">
        <f>car_price_prediction_[[#This Row],[Engine Size]]/10</f>
        <v>4.7</v>
      </c>
      <c r="F141">
        <v>47</v>
      </c>
      <c r="G141" s="1" t="s">
        <v>11</v>
      </c>
      <c r="H141" s="1" t="s">
        <v>12</v>
      </c>
      <c r="I141" s="12">
        <f>car_price_prediction_[[#This Row],[Mileage]]/1000</f>
        <v>91.864999999999995</v>
      </c>
      <c r="J141" s="5">
        <v>91865</v>
      </c>
      <c r="K141" s="1" t="s">
        <v>17</v>
      </c>
      <c r="L141" s="5">
        <f>car_price_prediction_[[#This Row],[Price]]/100</f>
        <v>99371.68</v>
      </c>
      <c r="M141">
        <v>9937168</v>
      </c>
      <c r="N141" s="1" t="s">
        <v>51</v>
      </c>
      <c r="O141" s="1">
        <f>IF(IFERROR(VLOOKUP(car_price_prediction_[[#This Row],[Car ID]],A142:A2641,1,FALSE),0),1,0)</f>
        <v>0</v>
      </c>
    </row>
    <row r="142" spans="1:15" x14ac:dyDescent="0.25">
      <c r="A142">
        <v>141</v>
      </c>
      <c r="B142" s="1" t="s">
        <v>10</v>
      </c>
      <c r="C142" s="1">
        <f>car_price_prediction_[[#This Row],[Year2]]</f>
        <v>2005</v>
      </c>
      <c r="D142">
        <v>2005</v>
      </c>
      <c r="E142">
        <f>car_price_prediction_[[#This Row],[Engine Size]]/10</f>
        <v>3.2</v>
      </c>
      <c r="F142">
        <v>32</v>
      </c>
      <c r="G142" s="1" t="s">
        <v>29</v>
      </c>
      <c r="H142" s="1" t="s">
        <v>22</v>
      </c>
      <c r="I142" s="12">
        <f>car_price_prediction_[[#This Row],[Mileage]]/1000</f>
        <v>125.813</v>
      </c>
      <c r="J142" s="5">
        <v>125813</v>
      </c>
      <c r="K142" s="1" t="s">
        <v>13</v>
      </c>
      <c r="L142" s="5">
        <f>car_price_prediction_[[#This Row],[Price]]/100</f>
        <v>69484.259999999995</v>
      </c>
      <c r="M142">
        <v>6948426</v>
      </c>
      <c r="N142" s="1" t="s">
        <v>33</v>
      </c>
      <c r="O142" s="1">
        <f>IF(IFERROR(VLOOKUP(car_price_prediction_[[#This Row],[Car ID]],A143:A2642,1,FALSE),0),1,0)</f>
        <v>0</v>
      </c>
    </row>
    <row r="143" spans="1:15" x14ac:dyDescent="0.25">
      <c r="A143">
        <v>142</v>
      </c>
      <c r="B143" s="1" t="s">
        <v>43</v>
      </c>
      <c r="C143" s="1">
        <f>car_price_prediction_[[#This Row],[Year2]]</f>
        <v>2013</v>
      </c>
      <c r="D143">
        <v>2013</v>
      </c>
      <c r="E143">
        <f>car_price_prediction_[[#This Row],[Engine Size]]/10</f>
        <v>4.0999999999999996</v>
      </c>
      <c r="F143">
        <v>41</v>
      </c>
      <c r="G143" s="1" t="s">
        <v>21</v>
      </c>
      <c r="H143" s="1" t="s">
        <v>12</v>
      </c>
      <c r="I143" s="12">
        <f>car_price_prediction_[[#This Row],[Mileage]]/1000</f>
        <v>145.87100000000001</v>
      </c>
      <c r="J143" s="5">
        <v>145871</v>
      </c>
      <c r="K143" s="1" t="s">
        <v>13</v>
      </c>
      <c r="L143" s="5">
        <f>car_price_prediction_[[#This Row],[Price]]/100</f>
        <v>27025.29</v>
      </c>
      <c r="M143">
        <v>2702529</v>
      </c>
      <c r="N143" s="1" t="s">
        <v>50</v>
      </c>
      <c r="O143" s="1">
        <f>IF(IFERROR(VLOOKUP(car_price_prediction_[[#This Row],[Car ID]],A144:A2643,1,FALSE),0),1,0)</f>
        <v>0</v>
      </c>
    </row>
    <row r="144" spans="1:15" x14ac:dyDescent="0.25">
      <c r="A144">
        <v>143</v>
      </c>
      <c r="B144" s="1" t="s">
        <v>15</v>
      </c>
      <c r="C144" s="1">
        <f>car_price_prediction_[[#This Row],[Year2]]</f>
        <v>2017</v>
      </c>
      <c r="D144">
        <v>2017</v>
      </c>
      <c r="E144">
        <f>car_price_prediction_[[#This Row],[Engine Size]]/10</f>
        <v>1.8</v>
      </c>
      <c r="F144">
        <v>18</v>
      </c>
      <c r="G144" s="1" t="s">
        <v>29</v>
      </c>
      <c r="H144" s="1" t="s">
        <v>22</v>
      </c>
      <c r="I144" s="12">
        <f>car_price_prediction_[[#This Row],[Mileage]]/1000</f>
        <v>191.17500000000001</v>
      </c>
      <c r="J144" s="5">
        <v>191175</v>
      </c>
      <c r="K144" s="1" t="s">
        <v>25</v>
      </c>
      <c r="L144" s="5">
        <f>car_price_prediction_[[#This Row],[Price]]/100</f>
        <v>15277.69</v>
      </c>
      <c r="M144">
        <v>1527769</v>
      </c>
      <c r="N144" s="1" t="s">
        <v>18</v>
      </c>
      <c r="O144" s="1">
        <f>IF(IFERROR(VLOOKUP(car_price_prediction_[[#This Row],[Car ID]],A145:A2644,1,FALSE),0),1,0)</f>
        <v>0</v>
      </c>
    </row>
    <row r="145" spans="1:15" x14ac:dyDescent="0.25">
      <c r="A145">
        <v>144</v>
      </c>
      <c r="B145" s="1" t="s">
        <v>30</v>
      </c>
      <c r="C145" s="1">
        <f>car_price_prediction_[[#This Row],[Year2]]</f>
        <v>2011</v>
      </c>
      <c r="D145">
        <v>2011</v>
      </c>
      <c r="E145">
        <f>car_price_prediction_[[#This Row],[Engine Size]]/10</f>
        <v>4.4000000000000004</v>
      </c>
      <c r="F145">
        <v>44</v>
      </c>
      <c r="G145" s="1" t="s">
        <v>29</v>
      </c>
      <c r="H145" s="1" t="s">
        <v>12</v>
      </c>
      <c r="I145" s="12">
        <f>car_price_prediction_[[#This Row],[Mileage]]/1000</f>
        <v>248.535</v>
      </c>
      <c r="J145" s="5">
        <v>248535</v>
      </c>
      <c r="K145" s="1" t="s">
        <v>13</v>
      </c>
      <c r="L145" s="5">
        <f>car_price_prediction_[[#This Row],[Price]]/100</f>
        <v>65887.09</v>
      </c>
      <c r="M145">
        <v>6588709</v>
      </c>
      <c r="N145" s="1" t="s">
        <v>48</v>
      </c>
      <c r="O145" s="1">
        <f>IF(IFERROR(VLOOKUP(car_price_prediction_[[#This Row],[Car ID]],A146:A2645,1,FALSE),0),1,0)</f>
        <v>0</v>
      </c>
    </row>
    <row r="146" spans="1:15" x14ac:dyDescent="0.25">
      <c r="A146">
        <v>145</v>
      </c>
      <c r="B146" s="1" t="s">
        <v>43</v>
      </c>
      <c r="C146" s="1">
        <f>car_price_prediction_[[#This Row],[Year2]]</f>
        <v>2010</v>
      </c>
      <c r="D146">
        <v>2010</v>
      </c>
      <c r="E146">
        <f>car_price_prediction_[[#This Row],[Engine Size]]/10</f>
        <v>1.9</v>
      </c>
      <c r="F146">
        <v>19</v>
      </c>
      <c r="G146" s="1" t="s">
        <v>21</v>
      </c>
      <c r="H146" s="1" t="s">
        <v>12</v>
      </c>
      <c r="I146" s="12">
        <f>car_price_prediction_[[#This Row],[Mileage]]/1000</f>
        <v>15.052</v>
      </c>
      <c r="J146" s="5">
        <v>15052</v>
      </c>
      <c r="K146" s="1" t="s">
        <v>17</v>
      </c>
      <c r="L146" s="5">
        <f>car_price_prediction_[[#This Row],[Price]]/100</f>
        <v>54702.39</v>
      </c>
      <c r="M146">
        <v>5470239</v>
      </c>
      <c r="N146" s="1" t="s">
        <v>44</v>
      </c>
      <c r="O146" s="1">
        <f>IF(IFERROR(VLOOKUP(car_price_prediction_[[#This Row],[Car ID]],A147:A2646,1,FALSE),0),1,0)</f>
        <v>0</v>
      </c>
    </row>
    <row r="147" spans="1:15" x14ac:dyDescent="0.25">
      <c r="A147">
        <v>146</v>
      </c>
      <c r="B147" s="1" t="s">
        <v>10</v>
      </c>
      <c r="C147" s="1">
        <f>car_price_prediction_[[#This Row],[Year2]]</f>
        <v>2012</v>
      </c>
      <c r="D147">
        <v>2012</v>
      </c>
      <c r="E147">
        <f>car_price_prediction_[[#This Row],[Engine Size]]/10</f>
        <v>4.5</v>
      </c>
      <c r="F147">
        <v>45</v>
      </c>
      <c r="G147" s="1" t="s">
        <v>16</v>
      </c>
      <c r="H147" s="1" t="s">
        <v>12</v>
      </c>
      <c r="I147" s="12">
        <f>car_price_prediction_[[#This Row],[Mileage]]/1000</f>
        <v>137.11600000000001</v>
      </c>
      <c r="J147" s="5">
        <v>137116</v>
      </c>
      <c r="K147" s="1" t="s">
        <v>17</v>
      </c>
      <c r="L147" s="5">
        <f>car_price_prediction_[[#This Row],[Price]]/100</f>
        <v>9041.8799999999992</v>
      </c>
      <c r="M147">
        <v>904188</v>
      </c>
      <c r="N147" s="1" t="s">
        <v>23</v>
      </c>
      <c r="O147" s="1">
        <f>IF(IFERROR(VLOOKUP(car_price_prediction_[[#This Row],[Car ID]],A148:A2647,1,FALSE),0),1,0)</f>
        <v>0</v>
      </c>
    </row>
    <row r="148" spans="1:15" x14ac:dyDescent="0.25">
      <c r="A148">
        <v>147</v>
      </c>
      <c r="B148" s="1" t="s">
        <v>10</v>
      </c>
      <c r="C148" s="1">
        <f>car_price_prediction_[[#This Row],[Year2]]</f>
        <v>2020</v>
      </c>
      <c r="D148">
        <v>2020</v>
      </c>
      <c r="E148">
        <f>car_price_prediction_[[#This Row],[Engine Size]]/10</f>
        <v>2.1</v>
      </c>
      <c r="F148">
        <v>21</v>
      </c>
      <c r="G148" s="1" t="s">
        <v>21</v>
      </c>
      <c r="H148" s="1" t="s">
        <v>12</v>
      </c>
      <c r="I148" s="12">
        <f>car_price_prediction_[[#This Row],[Mileage]]/1000</f>
        <v>150.94300000000001</v>
      </c>
      <c r="J148" s="5">
        <v>150943</v>
      </c>
      <c r="K148" s="1" t="s">
        <v>17</v>
      </c>
      <c r="L148" s="5">
        <f>car_price_prediction_[[#This Row],[Price]]/100</f>
        <v>74027.759999999995</v>
      </c>
      <c r="M148">
        <v>7402776</v>
      </c>
      <c r="N148" s="1" t="s">
        <v>33</v>
      </c>
      <c r="O148" s="1">
        <f>IF(IFERROR(VLOOKUP(car_price_prediction_[[#This Row],[Car ID]],A149:A2648,1,FALSE),0),1,0)</f>
        <v>0</v>
      </c>
    </row>
    <row r="149" spans="1:15" x14ac:dyDescent="0.25">
      <c r="A149">
        <v>148</v>
      </c>
      <c r="B149" s="1" t="s">
        <v>36</v>
      </c>
      <c r="C149" s="1">
        <f>car_price_prediction_[[#This Row],[Year2]]</f>
        <v>2022</v>
      </c>
      <c r="D149">
        <v>2022</v>
      </c>
      <c r="E149">
        <f>car_price_prediction_[[#This Row],[Engine Size]]/10</f>
        <v>1.6</v>
      </c>
      <c r="F149">
        <v>16</v>
      </c>
      <c r="G149" s="1" t="s">
        <v>11</v>
      </c>
      <c r="H149" s="1" t="s">
        <v>12</v>
      </c>
      <c r="I149" s="12">
        <f>car_price_prediction_[[#This Row],[Mileage]]/1000</f>
        <v>220.375</v>
      </c>
      <c r="J149" s="5">
        <v>220375</v>
      </c>
      <c r="K149" s="1" t="s">
        <v>13</v>
      </c>
      <c r="L149" s="5">
        <f>car_price_prediction_[[#This Row],[Price]]/100</f>
        <v>53425.53</v>
      </c>
      <c r="M149">
        <v>5342553</v>
      </c>
      <c r="N149" s="1" t="s">
        <v>41</v>
      </c>
      <c r="O149" s="1">
        <f>IF(IFERROR(VLOOKUP(car_price_prediction_[[#This Row],[Car ID]],A150:A2649,1,FALSE),0),1,0)</f>
        <v>0</v>
      </c>
    </row>
    <row r="150" spans="1:15" x14ac:dyDescent="0.25">
      <c r="A150">
        <v>149</v>
      </c>
      <c r="B150" s="1" t="s">
        <v>19</v>
      </c>
      <c r="C150" s="1">
        <f>car_price_prediction_[[#This Row],[Year2]]</f>
        <v>2010</v>
      </c>
      <c r="D150">
        <v>2010</v>
      </c>
      <c r="E150">
        <f>car_price_prediction_[[#This Row],[Engine Size]]/10</f>
        <v>1.8</v>
      </c>
      <c r="F150">
        <v>18</v>
      </c>
      <c r="G150" s="1" t="s">
        <v>11</v>
      </c>
      <c r="H150" s="1" t="s">
        <v>22</v>
      </c>
      <c r="I150" s="12">
        <f>car_price_prediction_[[#This Row],[Mileage]]/1000</f>
        <v>21.381</v>
      </c>
      <c r="J150" s="5">
        <v>21381</v>
      </c>
      <c r="K150" s="1" t="s">
        <v>17</v>
      </c>
      <c r="L150" s="5">
        <f>car_price_prediction_[[#This Row],[Price]]/100</f>
        <v>4334.1000000000004</v>
      </c>
      <c r="M150">
        <v>433410</v>
      </c>
      <c r="N150" s="1" t="s">
        <v>27</v>
      </c>
      <c r="O150" s="1">
        <f>IF(IFERROR(VLOOKUP(car_price_prediction_[[#This Row],[Car ID]],A151:A2650,1,FALSE),0),1,0)</f>
        <v>0</v>
      </c>
    </row>
    <row r="151" spans="1:15" x14ac:dyDescent="0.25">
      <c r="A151">
        <v>150</v>
      </c>
      <c r="B151" s="1" t="s">
        <v>24</v>
      </c>
      <c r="C151" s="1">
        <f>car_price_prediction_[[#This Row],[Year2]]</f>
        <v>2022</v>
      </c>
      <c r="D151">
        <v>2022</v>
      </c>
      <c r="E151">
        <f>car_price_prediction_[[#This Row],[Engine Size]]/10</f>
        <v>1</v>
      </c>
      <c r="F151">
        <v>10</v>
      </c>
      <c r="G151" s="1" t="s">
        <v>11</v>
      </c>
      <c r="H151" s="1" t="s">
        <v>22</v>
      </c>
      <c r="I151" s="12">
        <f>car_price_prediction_[[#This Row],[Mileage]]/1000</f>
        <v>148.346</v>
      </c>
      <c r="J151" s="5">
        <v>148346</v>
      </c>
      <c r="K151" s="1" t="s">
        <v>17</v>
      </c>
      <c r="L151" s="5">
        <f>car_price_prediction_[[#This Row],[Price]]/100</f>
        <v>4341.5600000000004</v>
      </c>
      <c r="M151">
        <v>434156</v>
      </c>
      <c r="N151" s="1" t="s">
        <v>53</v>
      </c>
      <c r="O151" s="1">
        <f>IF(IFERROR(VLOOKUP(car_price_prediction_[[#This Row],[Car ID]],A152:A2651,1,FALSE),0),1,0)</f>
        <v>0</v>
      </c>
    </row>
    <row r="152" spans="1:15" x14ac:dyDescent="0.25">
      <c r="A152">
        <v>151</v>
      </c>
      <c r="B152" s="1" t="s">
        <v>15</v>
      </c>
      <c r="C152" s="1">
        <f>car_price_prediction_[[#This Row],[Year2]]</f>
        <v>2015</v>
      </c>
      <c r="D152">
        <v>2015</v>
      </c>
      <c r="E152">
        <f>car_price_prediction_[[#This Row],[Engine Size]]/10</f>
        <v>4.5999999999999996</v>
      </c>
      <c r="F152">
        <v>46</v>
      </c>
      <c r="G152" s="1" t="s">
        <v>11</v>
      </c>
      <c r="H152" s="1" t="s">
        <v>12</v>
      </c>
      <c r="I152" s="12">
        <f>car_price_prediction_[[#This Row],[Mileage]]/1000</f>
        <v>243.23400000000001</v>
      </c>
      <c r="J152" s="5">
        <v>243234</v>
      </c>
      <c r="K152" s="1" t="s">
        <v>25</v>
      </c>
      <c r="L152" s="5">
        <f>car_price_prediction_[[#This Row],[Price]]/100</f>
        <v>26498.91</v>
      </c>
      <c r="M152">
        <v>2649891</v>
      </c>
      <c r="N152" s="1" t="s">
        <v>51</v>
      </c>
      <c r="O152" s="1">
        <f>IF(IFERROR(VLOOKUP(car_price_prediction_[[#This Row],[Car ID]],A153:A2652,1,FALSE),0),1,0)</f>
        <v>0</v>
      </c>
    </row>
    <row r="153" spans="1:15" x14ac:dyDescent="0.25">
      <c r="A153">
        <v>152</v>
      </c>
      <c r="B153" s="1" t="s">
        <v>36</v>
      </c>
      <c r="C153" s="1">
        <f>car_price_prediction_[[#This Row],[Year2]]</f>
        <v>2014</v>
      </c>
      <c r="D153">
        <v>2014</v>
      </c>
      <c r="E153">
        <f>car_price_prediction_[[#This Row],[Engine Size]]/10</f>
        <v>4.7</v>
      </c>
      <c r="F153">
        <v>47</v>
      </c>
      <c r="G153" s="1" t="s">
        <v>11</v>
      </c>
      <c r="H153" s="1" t="s">
        <v>22</v>
      </c>
      <c r="I153" s="12">
        <f>car_price_prediction_[[#This Row],[Mileage]]/1000</f>
        <v>256.017</v>
      </c>
      <c r="J153" s="5">
        <v>256017</v>
      </c>
      <c r="K153" s="1" t="s">
        <v>25</v>
      </c>
      <c r="L153" s="5">
        <f>car_price_prediction_[[#This Row],[Price]]/100</f>
        <v>6645.97</v>
      </c>
      <c r="M153">
        <v>664597</v>
      </c>
      <c r="N153" s="1" t="s">
        <v>37</v>
      </c>
      <c r="O153" s="1">
        <f>IF(IFERROR(VLOOKUP(car_price_prediction_[[#This Row],[Car ID]],A154:A2653,1,FALSE),0),1,0)</f>
        <v>0</v>
      </c>
    </row>
    <row r="154" spans="1:15" x14ac:dyDescent="0.25">
      <c r="A154">
        <v>153</v>
      </c>
      <c r="B154" s="1" t="s">
        <v>24</v>
      </c>
      <c r="C154" s="1">
        <f>car_price_prediction_[[#This Row],[Year2]]</f>
        <v>2020</v>
      </c>
      <c r="D154">
        <v>2020</v>
      </c>
      <c r="E154">
        <f>car_price_prediction_[[#This Row],[Engine Size]]/10</f>
        <v>3.6</v>
      </c>
      <c r="F154">
        <v>36</v>
      </c>
      <c r="G154" s="1" t="s">
        <v>16</v>
      </c>
      <c r="H154" s="1" t="s">
        <v>22</v>
      </c>
      <c r="I154" s="12">
        <f>car_price_prediction_[[#This Row],[Mileage]]/1000</f>
        <v>235.02</v>
      </c>
      <c r="J154" s="5">
        <v>235020</v>
      </c>
      <c r="K154" s="1" t="s">
        <v>25</v>
      </c>
      <c r="L154" s="5">
        <f>car_price_prediction_[[#This Row],[Price]]/100</f>
        <v>59616.51</v>
      </c>
      <c r="M154">
        <v>5961651</v>
      </c>
      <c r="N154" s="1" t="s">
        <v>26</v>
      </c>
      <c r="O154" s="1">
        <f>IF(IFERROR(VLOOKUP(car_price_prediction_[[#This Row],[Car ID]],A155:A2654,1,FALSE),0),1,0)</f>
        <v>0</v>
      </c>
    </row>
    <row r="155" spans="1:15" x14ac:dyDescent="0.25">
      <c r="A155">
        <v>154</v>
      </c>
      <c r="B155" s="1" t="s">
        <v>24</v>
      </c>
      <c r="C155" s="1">
        <f>car_price_prediction_[[#This Row],[Year2]]</f>
        <v>2014</v>
      </c>
      <c r="D155">
        <v>2014</v>
      </c>
      <c r="E155">
        <f>car_price_prediction_[[#This Row],[Engine Size]]/10</f>
        <v>1.8</v>
      </c>
      <c r="F155">
        <v>18</v>
      </c>
      <c r="G155" s="1" t="s">
        <v>16</v>
      </c>
      <c r="H155" s="1" t="s">
        <v>12</v>
      </c>
      <c r="I155" s="12">
        <f>car_price_prediction_[[#This Row],[Mileage]]/1000</f>
        <v>49.892000000000003</v>
      </c>
      <c r="J155" s="5">
        <v>49892</v>
      </c>
      <c r="K155" s="1" t="s">
        <v>13</v>
      </c>
      <c r="L155" s="5">
        <f>car_price_prediction_[[#This Row],[Price]]/100</f>
        <v>2517.94</v>
      </c>
      <c r="M155">
        <v>251794</v>
      </c>
      <c r="N155" s="1" t="s">
        <v>26</v>
      </c>
      <c r="O155" s="1">
        <f>IF(IFERROR(VLOOKUP(car_price_prediction_[[#This Row],[Car ID]],A156:A2655,1,FALSE),0),1,0)</f>
        <v>0</v>
      </c>
    </row>
    <row r="156" spans="1:15" x14ac:dyDescent="0.25">
      <c r="A156">
        <v>155</v>
      </c>
      <c r="B156" s="1" t="s">
        <v>43</v>
      </c>
      <c r="C156" s="1">
        <f>car_price_prediction_[[#This Row],[Year2]]</f>
        <v>2003</v>
      </c>
      <c r="D156">
        <v>2003</v>
      </c>
      <c r="E156">
        <f>car_price_prediction_[[#This Row],[Engine Size]]/10</f>
        <v>1.4</v>
      </c>
      <c r="F156">
        <v>14</v>
      </c>
      <c r="G156" s="1" t="s">
        <v>29</v>
      </c>
      <c r="H156" s="1" t="s">
        <v>22</v>
      </c>
      <c r="I156" s="12">
        <f>car_price_prediction_[[#This Row],[Mileage]]/1000</f>
        <v>181.59299999999999</v>
      </c>
      <c r="J156" s="5">
        <v>181593</v>
      </c>
      <c r="K156" s="1" t="s">
        <v>17</v>
      </c>
      <c r="L156" s="5">
        <f>car_price_prediction_[[#This Row],[Price]]/100</f>
        <v>24791.06</v>
      </c>
      <c r="M156">
        <v>2479106</v>
      </c>
      <c r="N156" s="1" t="s">
        <v>44</v>
      </c>
      <c r="O156" s="1">
        <f>IF(IFERROR(VLOOKUP(car_price_prediction_[[#This Row],[Car ID]],A157:A2656,1,FALSE),0),1,0)</f>
        <v>0</v>
      </c>
    </row>
    <row r="157" spans="1:15" x14ac:dyDescent="0.25">
      <c r="A157">
        <v>156</v>
      </c>
      <c r="B157" s="1" t="s">
        <v>24</v>
      </c>
      <c r="C157" s="1">
        <f>car_price_prediction_[[#This Row],[Year2]]</f>
        <v>2010</v>
      </c>
      <c r="D157">
        <v>2010</v>
      </c>
      <c r="E157">
        <f>car_price_prediction_[[#This Row],[Engine Size]]/10</f>
        <v>1.1000000000000001</v>
      </c>
      <c r="F157">
        <v>11</v>
      </c>
      <c r="G157" s="1" t="s">
        <v>11</v>
      </c>
      <c r="H157" s="1" t="s">
        <v>12</v>
      </c>
      <c r="I157" s="12">
        <f>car_price_prediction_[[#This Row],[Mileage]]/1000</f>
        <v>214.99199999999999</v>
      </c>
      <c r="J157" s="5">
        <v>214992</v>
      </c>
      <c r="K157" s="1" t="s">
        <v>17</v>
      </c>
      <c r="L157" s="5">
        <f>car_price_prediction_[[#This Row],[Price]]/100</f>
        <v>16911.22</v>
      </c>
      <c r="M157">
        <v>1691122</v>
      </c>
      <c r="N157" s="1" t="s">
        <v>26</v>
      </c>
      <c r="O157" s="1">
        <f>IF(IFERROR(VLOOKUP(car_price_prediction_[[#This Row],[Car ID]],A158:A2657,1,FALSE),0),1,0)</f>
        <v>0</v>
      </c>
    </row>
    <row r="158" spans="1:15" x14ac:dyDescent="0.25">
      <c r="A158">
        <v>157</v>
      </c>
      <c r="B158" s="1" t="s">
        <v>19</v>
      </c>
      <c r="C158" s="1">
        <f>car_price_prediction_[[#This Row],[Year2]]</f>
        <v>2018</v>
      </c>
      <c r="D158">
        <v>2018</v>
      </c>
      <c r="E158">
        <f>car_price_prediction_[[#This Row],[Engine Size]]/10</f>
        <v>1.8</v>
      </c>
      <c r="F158">
        <v>18</v>
      </c>
      <c r="G158" s="1" t="s">
        <v>21</v>
      </c>
      <c r="H158" s="1" t="s">
        <v>22</v>
      </c>
      <c r="I158" s="12">
        <f>car_price_prediction_[[#This Row],[Mileage]]/1000</f>
        <v>280.06400000000002</v>
      </c>
      <c r="J158" s="5">
        <v>280064</v>
      </c>
      <c r="K158" s="1" t="s">
        <v>17</v>
      </c>
      <c r="L158" s="5">
        <f>car_price_prediction_[[#This Row],[Price]]/100</f>
        <v>23011.57</v>
      </c>
      <c r="M158">
        <v>2301157</v>
      </c>
      <c r="N158" s="1" t="s">
        <v>38</v>
      </c>
      <c r="O158" s="1">
        <f>IF(IFERROR(VLOOKUP(car_price_prediction_[[#This Row],[Car ID]],A159:A2658,1,FALSE),0),1,0)</f>
        <v>0</v>
      </c>
    </row>
    <row r="159" spans="1:15" x14ac:dyDescent="0.25">
      <c r="A159">
        <v>158</v>
      </c>
      <c r="B159" s="1" t="s">
        <v>10</v>
      </c>
      <c r="C159" s="1">
        <f>car_price_prediction_[[#This Row],[Year2]]</f>
        <v>2014</v>
      </c>
      <c r="D159">
        <v>2014</v>
      </c>
      <c r="E159">
        <f>car_price_prediction_[[#This Row],[Engine Size]]/10</f>
        <v>5.5</v>
      </c>
      <c r="F159">
        <v>55</v>
      </c>
      <c r="G159" s="1" t="s">
        <v>11</v>
      </c>
      <c r="H159" s="1" t="s">
        <v>22</v>
      </c>
      <c r="I159" s="12">
        <f>car_price_prediction_[[#This Row],[Mileage]]/1000</f>
        <v>278.846</v>
      </c>
      <c r="J159" s="5">
        <v>278846</v>
      </c>
      <c r="K159" s="1" t="s">
        <v>25</v>
      </c>
      <c r="L159" s="5">
        <f>car_price_prediction_[[#This Row],[Price]]/100</f>
        <v>8019.97</v>
      </c>
      <c r="M159">
        <v>801997</v>
      </c>
      <c r="N159" s="1" t="s">
        <v>33</v>
      </c>
      <c r="O159" s="1">
        <f>IF(IFERROR(VLOOKUP(car_price_prediction_[[#This Row],[Car ID]],A160:A2659,1,FALSE),0),1,0)</f>
        <v>0</v>
      </c>
    </row>
    <row r="160" spans="1:15" x14ac:dyDescent="0.25">
      <c r="A160">
        <v>159</v>
      </c>
      <c r="B160" s="1" t="s">
        <v>36</v>
      </c>
      <c r="C160" s="1">
        <f>car_price_prediction_[[#This Row],[Year2]]</f>
        <v>2003</v>
      </c>
      <c r="D160">
        <v>2003</v>
      </c>
      <c r="E160">
        <f>car_price_prediction_[[#This Row],[Engine Size]]/10</f>
        <v>2.2000000000000002</v>
      </c>
      <c r="F160">
        <v>22</v>
      </c>
      <c r="G160" s="1" t="s">
        <v>16</v>
      </c>
      <c r="H160" s="1" t="s">
        <v>22</v>
      </c>
      <c r="I160" s="12">
        <f>car_price_prediction_[[#This Row],[Mileage]]/1000</f>
        <v>256.21600000000001</v>
      </c>
      <c r="J160" s="5">
        <v>256216</v>
      </c>
      <c r="K160" s="1" t="s">
        <v>17</v>
      </c>
      <c r="L160" s="5">
        <f>car_price_prediction_[[#This Row],[Price]]/100</f>
        <v>69051.990000000005</v>
      </c>
      <c r="M160">
        <v>6905199</v>
      </c>
      <c r="N160" s="1" t="s">
        <v>40</v>
      </c>
      <c r="O160" s="1">
        <f>IF(IFERROR(VLOOKUP(car_price_prediction_[[#This Row],[Car ID]],A161:A2660,1,FALSE),0),1,0)</f>
        <v>0</v>
      </c>
    </row>
    <row r="161" spans="1:15" x14ac:dyDescent="0.25">
      <c r="A161">
        <v>160</v>
      </c>
      <c r="B161" s="1" t="s">
        <v>24</v>
      </c>
      <c r="C161" s="1">
        <f>car_price_prediction_[[#This Row],[Year2]]</f>
        <v>2020</v>
      </c>
      <c r="D161">
        <v>2020</v>
      </c>
      <c r="E161">
        <f>car_price_prediction_[[#This Row],[Engine Size]]/10</f>
        <v>2.8</v>
      </c>
      <c r="F161">
        <v>28</v>
      </c>
      <c r="G161" s="1" t="s">
        <v>11</v>
      </c>
      <c r="H161" s="1" t="s">
        <v>22</v>
      </c>
      <c r="I161" s="12">
        <f>car_price_prediction_[[#This Row],[Mileage]]/1000</f>
        <v>264.03800000000001</v>
      </c>
      <c r="J161" s="5">
        <v>264038</v>
      </c>
      <c r="K161" s="1" t="s">
        <v>17</v>
      </c>
      <c r="L161" s="5">
        <f>car_price_prediction_[[#This Row],[Price]]/100</f>
        <v>43132.73</v>
      </c>
      <c r="M161">
        <v>4313273</v>
      </c>
      <c r="N161" s="1" t="s">
        <v>34</v>
      </c>
      <c r="O161" s="1">
        <f>IF(IFERROR(VLOOKUP(car_price_prediction_[[#This Row],[Car ID]],A162:A2661,1,FALSE),0),1,0)</f>
        <v>0</v>
      </c>
    </row>
    <row r="162" spans="1:15" x14ac:dyDescent="0.25">
      <c r="A162">
        <v>161</v>
      </c>
      <c r="B162" s="1" t="s">
        <v>43</v>
      </c>
      <c r="C162" s="1">
        <f>car_price_prediction_[[#This Row],[Year2]]</f>
        <v>2012</v>
      </c>
      <c r="D162">
        <v>2012</v>
      </c>
      <c r="E162">
        <f>car_price_prediction_[[#This Row],[Engine Size]]/10</f>
        <v>1.5</v>
      </c>
      <c r="F162">
        <v>15</v>
      </c>
      <c r="G162" s="1" t="s">
        <v>16</v>
      </c>
      <c r="H162" s="1" t="s">
        <v>22</v>
      </c>
      <c r="I162" s="12">
        <f>car_price_prediction_[[#This Row],[Mileage]]/1000</f>
        <v>293.12900000000002</v>
      </c>
      <c r="J162" s="5">
        <v>293129</v>
      </c>
      <c r="K162" s="1" t="s">
        <v>17</v>
      </c>
      <c r="L162" s="5">
        <f>car_price_prediction_[[#This Row],[Price]]/100</f>
        <v>58344.84</v>
      </c>
      <c r="M162">
        <v>5834484</v>
      </c>
      <c r="N162" s="1" t="s">
        <v>44</v>
      </c>
      <c r="O162" s="1">
        <f>IF(IFERROR(VLOOKUP(car_price_prediction_[[#This Row],[Car ID]],A163:A2662,1,FALSE),0),1,0)</f>
        <v>0</v>
      </c>
    </row>
    <row r="163" spans="1:15" x14ac:dyDescent="0.25">
      <c r="A163">
        <v>162</v>
      </c>
      <c r="B163" s="1" t="s">
        <v>19</v>
      </c>
      <c r="C163" s="1">
        <f>car_price_prediction_[[#This Row],[Year2]]</f>
        <v>2021</v>
      </c>
      <c r="D163">
        <v>2021</v>
      </c>
      <c r="E163">
        <f>car_price_prediction_[[#This Row],[Engine Size]]/10</f>
        <v>2.1</v>
      </c>
      <c r="F163">
        <v>21</v>
      </c>
      <c r="G163" s="1" t="s">
        <v>29</v>
      </c>
      <c r="H163" s="1" t="s">
        <v>22</v>
      </c>
      <c r="I163" s="12">
        <f>car_price_prediction_[[#This Row],[Mileage]]/1000</f>
        <v>159.35900000000001</v>
      </c>
      <c r="J163" s="5">
        <v>159359</v>
      </c>
      <c r="K163" s="1" t="s">
        <v>17</v>
      </c>
      <c r="L163" s="5">
        <f>car_price_prediction_[[#This Row],[Price]]/100</f>
        <v>65510.97</v>
      </c>
      <c r="M163">
        <v>6551097</v>
      </c>
      <c r="N163" s="1" t="s">
        <v>20</v>
      </c>
      <c r="O163" s="1">
        <f>IF(IFERROR(VLOOKUP(car_price_prediction_[[#This Row],[Car ID]],A164:A2663,1,FALSE),0),1,0)</f>
        <v>0</v>
      </c>
    </row>
    <row r="164" spans="1:15" x14ac:dyDescent="0.25">
      <c r="A164">
        <v>163</v>
      </c>
      <c r="B164" s="1" t="s">
        <v>30</v>
      </c>
      <c r="C164" s="1">
        <f>car_price_prediction_[[#This Row],[Year2]]</f>
        <v>2018</v>
      </c>
      <c r="D164">
        <v>2018</v>
      </c>
      <c r="E164">
        <f>car_price_prediction_[[#This Row],[Engine Size]]/10</f>
        <v>3.6</v>
      </c>
      <c r="F164">
        <v>36</v>
      </c>
      <c r="G164" s="1" t="s">
        <v>29</v>
      </c>
      <c r="H164" s="1" t="s">
        <v>22</v>
      </c>
      <c r="I164" s="12">
        <f>car_price_prediction_[[#This Row],[Mileage]]/1000</f>
        <v>258.77100000000002</v>
      </c>
      <c r="J164" s="5">
        <v>258771</v>
      </c>
      <c r="K164" s="1" t="s">
        <v>17</v>
      </c>
      <c r="L164" s="5">
        <f>car_price_prediction_[[#This Row],[Price]]/100</f>
        <v>97386.03</v>
      </c>
      <c r="M164">
        <v>9738603</v>
      </c>
      <c r="N164" s="1" t="s">
        <v>31</v>
      </c>
      <c r="O164" s="1">
        <f>IF(IFERROR(VLOOKUP(car_price_prediction_[[#This Row],[Car ID]],A165:A2664,1,FALSE),0),1,0)</f>
        <v>0</v>
      </c>
    </row>
    <row r="165" spans="1:15" x14ac:dyDescent="0.25">
      <c r="A165">
        <v>164</v>
      </c>
      <c r="B165" s="1" t="s">
        <v>10</v>
      </c>
      <c r="C165" s="1">
        <f>car_price_prediction_[[#This Row],[Year2]]</f>
        <v>2001</v>
      </c>
      <c r="D165">
        <v>2001</v>
      </c>
      <c r="E165">
        <f>car_price_prediction_[[#This Row],[Engine Size]]/10</f>
        <v>4</v>
      </c>
      <c r="F165">
        <v>40</v>
      </c>
      <c r="G165" s="1" t="s">
        <v>29</v>
      </c>
      <c r="H165" s="1" t="s">
        <v>12</v>
      </c>
      <c r="I165" s="12">
        <f>car_price_prediction_[[#This Row],[Mileage]]/1000</f>
        <v>125.702</v>
      </c>
      <c r="J165" s="5">
        <v>125702</v>
      </c>
      <c r="K165" s="1" t="s">
        <v>13</v>
      </c>
      <c r="L165" s="5">
        <f>car_price_prediction_[[#This Row],[Price]]/100</f>
        <v>11485.26</v>
      </c>
      <c r="M165">
        <v>1148526</v>
      </c>
      <c r="N165" s="1" t="s">
        <v>23</v>
      </c>
      <c r="O165" s="1">
        <f>IF(IFERROR(VLOOKUP(car_price_prediction_[[#This Row],[Car ID]],A166:A2665,1,FALSE),0),1,0)</f>
        <v>0</v>
      </c>
    </row>
    <row r="166" spans="1:15" x14ac:dyDescent="0.25">
      <c r="A166">
        <v>165</v>
      </c>
      <c r="B166" s="1" t="s">
        <v>10</v>
      </c>
      <c r="C166" s="1">
        <f>car_price_prediction_[[#This Row],[Year2]]</f>
        <v>2013</v>
      </c>
      <c r="D166">
        <v>2013</v>
      </c>
      <c r="E166">
        <f>car_price_prediction_[[#This Row],[Engine Size]]/10</f>
        <v>2.2000000000000002</v>
      </c>
      <c r="F166">
        <v>22</v>
      </c>
      <c r="G166" s="1" t="s">
        <v>16</v>
      </c>
      <c r="H166" s="1" t="s">
        <v>12</v>
      </c>
      <c r="I166" s="12">
        <f>car_price_prediction_[[#This Row],[Mileage]]/1000</f>
        <v>73.527000000000001</v>
      </c>
      <c r="J166" s="5">
        <v>73527</v>
      </c>
      <c r="K166" s="1" t="s">
        <v>17</v>
      </c>
      <c r="L166" s="5">
        <f>car_price_prediction_[[#This Row],[Price]]/100</f>
        <v>44702.18</v>
      </c>
      <c r="M166">
        <v>4470218</v>
      </c>
      <c r="N166" s="1" t="s">
        <v>33</v>
      </c>
      <c r="O166" s="1">
        <f>IF(IFERROR(VLOOKUP(car_price_prediction_[[#This Row],[Car ID]],A167:A2666,1,FALSE),0),1,0)</f>
        <v>0</v>
      </c>
    </row>
    <row r="167" spans="1:15" x14ac:dyDescent="0.25">
      <c r="A167">
        <v>166</v>
      </c>
      <c r="B167" s="1" t="s">
        <v>36</v>
      </c>
      <c r="C167" s="1">
        <f>car_price_prediction_[[#This Row],[Year2]]</f>
        <v>2003</v>
      </c>
      <c r="D167">
        <v>2003</v>
      </c>
      <c r="E167">
        <f>car_price_prediction_[[#This Row],[Engine Size]]/10</f>
        <v>1.3</v>
      </c>
      <c r="F167">
        <v>13</v>
      </c>
      <c r="G167" s="1" t="s">
        <v>11</v>
      </c>
      <c r="H167" s="1" t="s">
        <v>12</v>
      </c>
      <c r="I167" s="12">
        <f>car_price_prediction_[[#This Row],[Mileage]]/1000</f>
        <v>146.511</v>
      </c>
      <c r="J167" s="5">
        <v>146511</v>
      </c>
      <c r="K167" s="1" t="s">
        <v>13</v>
      </c>
      <c r="L167" s="5">
        <f>car_price_prediction_[[#This Row],[Price]]/100</f>
        <v>2836.03</v>
      </c>
      <c r="M167">
        <v>283603</v>
      </c>
      <c r="N167" s="1" t="s">
        <v>41</v>
      </c>
      <c r="O167" s="1">
        <f>IF(IFERROR(VLOOKUP(car_price_prediction_[[#This Row],[Car ID]],A168:A2667,1,FALSE),0),1,0)</f>
        <v>0</v>
      </c>
    </row>
    <row r="168" spans="1:15" x14ac:dyDescent="0.25">
      <c r="A168">
        <v>167</v>
      </c>
      <c r="B168" s="1" t="s">
        <v>10</v>
      </c>
      <c r="C168" s="1">
        <f>car_price_prediction_[[#This Row],[Year2]]</f>
        <v>2015</v>
      </c>
      <c r="D168">
        <v>2015</v>
      </c>
      <c r="E168">
        <f>car_price_prediction_[[#This Row],[Engine Size]]/10</f>
        <v>3</v>
      </c>
      <c r="F168">
        <v>30</v>
      </c>
      <c r="G168" s="1" t="s">
        <v>11</v>
      </c>
      <c r="H168" s="1" t="s">
        <v>12</v>
      </c>
      <c r="I168" s="12">
        <f>car_price_prediction_[[#This Row],[Mileage]]/1000</f>
        <v>225.69200000000001</v>
      </c>
      <c r="J168" s="5">
        <v>225692</v>
      </c>
      <c r="K168" s="1" t="s">
        <v>17</v>
      </c>
      <c r="L168" s="5">
        <f>car_price_prediction_[[#This Row],[Price]]/100</f>
        <v>50287.63</v>
      </c>
      <c r="M168">
        <v>5028763</v>
      </c>
      <c r="N168" s="1" t="s">
        <v>23</v>
      </c>
      <c r="O168" s="1">
        <f>IF(IFERROR(VLOOKUP(car_price_prediction_[[#This Row],[Car ID]],A169:A2668,1,FALSE),0),1,0)</f>
        <v>0</v>
      </c>
    </row>
    <row r="169" spans="1:15" x14ac:dyDescent="0.25">
      <c r="A169">
        <v>168</v>
      </c>
      <c r="B169" s="1" t="s">
        <v>24</v>
      </c>
      <c r="C169" s="1">
        <f>car_price_prediction_[[#This Row],[Year2]]</f>
        <v>2020</v>
      </c>
      <c r="D169">
        <v>2020</v>
      </c>
      <c r="E169">
        <f>car_price_prediction_[[#This Row],[Engine Size]]/10</f>
        <v>2.2000000000000002</v>
      </c>
      <c r="F169">
        <v>22</v>
      </c>
      <c r="G169" s="1" t="s">
        <v>21</v>
      </c>
      <c r="H169" s="1" t="s">
        <v>22</v>
      </c>
      <c r="I169" s="12">
        <f>car_price_prediction_[[#This Row],[Mileage]]/1000</f>
        <v>158.73099999999999</v>
      </c>
      <c r="J169" s="5">
        <v>158731</v>
      </c>
      <c r="K169" s="1" t="s">
        <v>13</v>
      </c>
      <c r="L169" s="5">
        <f>car_price_prediction_[[#This Row],[Price]]/100</f>
        <v>92444.87</v>
      </c>
      <c r="M169">
        <v>9244487</v>
      </c>
      <c r="N169" s="1" t="s">
        <v>32</v>
      </c>
      <c r="O169" s="1">
        <f>IF(IFERROR(VLOOKUP(car_price_prediction_[[#This Row],[Car ID]],A170:A2669,1,FALSE),0),1,0)</f>
        <v>0</v>
      </c>
    </row>
    <row r="170" spans="1:15" x14ac:dyDescent="0.25">
      <c r="A170">
        <v>169</v>
      </c>
      <c r="B170" s="1" t="s">
        <v>43</v>
      </c>
      <c r="C170" s="1">
        <f>car_price_prediction_[[#This Row],[Year2]]</f>
        <v>2019</v>
      </c>
      <c r="D170">
        <v>2019</v>
      </c>
      <c r="E170">
        <f>car_price_prediction_[[#This Row],[Engine Size]]/10</f>
        <v>2.1</v>
      </c>
      <c r="F170">
        <v>21</v>
      </c>
      <c r="G170" s="1" t="s">
        <v>16</v>
      </c>
      <c r="H170" s="1" t="s">
        <v>22</v>
      </c>
      <c r="I170" s="12">
        <f>car_price_prediction_[[#This Row],[Mileage]]/1000</f>
        <v>287.12</v>
      </c>
      <c r="J170" s="5">
        <v>287120</v>
      </c>
      <c r="K170" s="1" t="s">
        <v>17</v>
      </c>
      <c r="L170" s="5">
        <f>car_price_prediction_[[#This Row],[Price]]/100</f>
        <v>73778.509999999995</v>
      </c>
      <c r="M170">
        <v>7377851</v>
      </c>
      <c r="N170" s="1" t="s">
        <v>47</v>
      </c>
      <c r="O170" s="1">
        <f>IF(IFERROR(VLOOKUP(car_price_prediction_[[#This Row],[Car ID]],A171:A2670,1,FALSE),0),1,0)</f>
        <v>0</v>
      </c>
    </row>
    <row r="171" spans="1:15" x14ac:dyDescent="0.25">
      <c r="A171">
        <v>170</v>
      </c>
      <c r="B171" s="1" t="s">
        <v>10</v>
      </c>
      <c r="C171" s="1">
        <f>car_price_prediction_[[#This Row],[Year2]]</f>
        <v>2013</v>
      </c>
      <c r="D171">
        <v>2013</v>
      </c>
      <c r="E171">
        <f>car_price_prediction_[[#This Row],[Engine Size]]/10</f>
        <v>5.8</v>
      </c>
      <c r="F171">
        <v>58</v>
      </c>
      <c r="G171" s="1" t="s">
        <v>21</v>
      </c>
      <c r="H171" s="1" t="s">
        <v>22</v>
      </c>
      <c r="I171" s="12">
        <f>car_price_prediction_[[#This Row],[Mileage]]/1000</f>
        <v>235.31100000000001</v>
      </c>
      <c r="J171" s="5">
        <v>235311</v>
      </c>
      <c r="K171" s="1" t="s">
        <v>17</v>
      </c>
      <c r="L171" s="5">
        <f>car_price_prediction_[[#This Row],[Price]]/100</f>
        <v>67885.210000000006</v>
      </c>
      <c r="M171">
        <v>6788521</v>
      </c>
      <c r="N171" s="1" t="s">
        <v>23</v>
      </c>
      <c r="O171" s="1">
        <f>IF(IFERROR(VLOOKUP(car_price_prediction_[[#This Row],[Car ID]],A172:A2671,1,FALSE),0),1,0)</f>
        <v>0</v>
      </c>
    </row>
    <row r="172" spans="1:15" x14ac:dyDescent="0.25">
      <c r="A172">
        <v>171</v>
      </c>
      <c r="B172" s="1" t="s">
        <v>10</v>
      </c>
      <c r="C172" s="1">
        <f>car_price_prediction_[[#This Row],[Year2]]</f>
        <v>2014</v>
      </c>
      <c r="D172">
        <v>2014</v>
      </c>
      <c r="E172">
        <f>car_price_prediction_[[#This Row],[Engine Size]]/10</f>
        <v>4.0999999999999996</v>
      </c>
      <c r="F172">
        <v>41</v>
      </c>
      <c r="G172" s="1" t="s">
        <v>29</v>
      </c>
      <c r="H172" s="1" t="s">
        <v>12</v>
      </c>
      <c r="I172" s="12">
        <f>car_price_prediction_[[#This Row],[Mileage]]/1000</f>
        <v>198.93700000000001</v>
      </c>
      <c r="J172" s="5">
        <v>198937</v>
      </c>
      <c r="K172" s="1" t="s">
        <v>17</v>
      </c>
      <c r="L172" s="5">
        <f>car_price_prediction_[[#This Row],[Price]]/100</f>
        <v>46918.36</v>
      </c>
      <c r="M172">
        <v>4691836</v>
      </c>
      <c r="N172" s="1" t="s">
        <v>49</v>
      </c>
      <c r="O172" s="1">
        <f>IF(IFERROR(VLOOKUP(car_price_prediction_[[#This Row],[Car ID]],A173:A2672,1,FALSE),0),1,0)</f>
        <v>0</v>
      </c>
    </row>
    <row r="173" spans="1:15" x14ac:dyDescent="0.25">
      <c r="A173">
        <v>172</v>
      </c>
      <c r="B173" s="1" t="s">
        <v>30</v>
      </c>
      <c r="C173" s="1">
        <f>car_price_prediction_[[#This Row],[Year2]]</f>
        <v>2002</v>
      </c>
      <c r="D173">
        <v>2002</v>
      </c>
      <c r="E173">
        <f>car_price_prediction_[[#This Row],[Engine Size]]/10</f>
        <v>3.8</v>
      </c>
      <c r="F173">
        <v>38</v>
      </c>
      <c r="G173" s="1" t="s">
        <v>11</v>
      </c>
      <c r="H173" s="1" t="s">
        <v>12</v>
      </c>
      <c r="I173" s="12">
        <f>car_price_prediction_[[#This Row],[Mileage]]/1000</f>
        <v>199.37799999999999</v>
      </c>
      <c r="J173" s="5">
        <v>199378</v>
      </c>
      <c r="K173" s="1" t="s">
        <v>17</v>
      </c>
      <c r="L173" s="5">
        <f>car_price_prediction_[[#This Row],[Price]]/100</f>
        <v>68755.69</v>
      </c>
      <c r="M173">
        <v>6875569</v>
      </c>
      <c r="N173" s="1" t="s">
        <v>42</v>
      </c>
      <c r="O173" s="1">
        <f>IF(IFERROR(VLOOKUP(car_price_prediction_[[#This Row],[Car ID]],A174:A2673,1,FALSE),0),1,0)</f>
        <v>0</v>
      </c>
    </row>
    <row r="174" spans="1:15" x14ac:dyDescent="0.25">
      <c r="A174">
        <v>173</v>
      </c>
      <c r="B174" s="1" t="s">
        <v>30</v>
      </c>
      <c r="C174" s="1">
        <f>car_price_prediction_[[#This Row],[Year2]]</f>
        <v>2007</v>
      </c>
      <c r="D174">
        <v>2007</v>
      </c>
      <c r="E174">
        <f>car_price_prediction_[[#This Row],[Engine Size]]/10</f>
        <v>3.1</v>
      </c>
      <c r="F174">
        <v>31</v>
      </c>
      <c r="G174" s="1" t="s">
        <v>16</v>
      </c>
      <c r="H174" s="1" t="s">
        <v>12</v>
      </c>
      <c r="I174" s="12">
        <f>car_price_prediction_[[#This Row],[Mileage]]/1000</f>
        <v>56.697000000000003</v>
      </c>
      <c r="J174" s="5">
        <v>56697</v>
      </c>
      <c r="K174" s="1" t="s">
        <v>25</v>
      </c>
      <c r="L174" s="5">
        <f>car_price_prediction_[[#This Row],[Price]]/100</f>
        <v>8075.66</v>
      </c>
      <c r="M174">
        <v>807566</v>
      </c>
      <c r="N174" s="1" t="s">
        <v>42</v>
      </c>
      <c r="O174" s="1">
        <f>IF(IFERROR(VLOOKUP(car_price_prediction_[[#This Row],[Car ID]],A175:A2674,1,FALSE),0),1,0)</f>
        <v>0</v>
      </c>
    </row>
    <row r="175" spans="1:15" x14ac:dyDescent="0.25">
      <c r="A175">
        <v>174</v>
      </c>
      <c r="B175" s="1" t="s">
        <v>15</v>
      </c>
      <c r="C175" s="1">
        <f>car_price_prediction_[[#This Row],[Year2]]</f>
        <v>2015</v>
      </c>
      <c r="D175">
        <v>2015</v>
      </c>
      <c r="E175">
        <f>car_price_prediction_[[#This Row],[Engine Size]]/10</f>
        <v>3.1</v>
      </c>
      <c r="F175">
        <v>31</v>
      </c>
      <c r="G175" s="1" t="s">
        <v>21</v>
      </c>
      <c r="H175" s="1" t="s">
        <v>22</v>
      </c>
      <c r="I175" s="12">
        <f>car_price_prediction_[[#This Row],[Mileage]]/1000</f>
        <v>70.382000000000005</v>
      </c>
      <c r="J175" s="5">
        <v>70382</v>
      </c>
      <c r="K175" s="1" t="s">
        <v>17</v>
      </c>
      <c r="L175" s="5">
        <f>car_price_prediction_[[#This Row],[Price]]/100</f>
        <v>60692.67</v>
      </c>
      <c r="M175">
        <v>6069267</v>
      </c>
      <c r="N175" s="1" t="s">
        <v>35</v>
      </c>
      <c r="O175" s="1">
        <f>IF(IFERROR(VLOOKUP(car_price_prediction_[[#This Row],[Car ID]],A176:A2675,1,FALSE),0),1,0)</f>
        <v>0</v>
      </c>
    </row>
    <row r="176" spans="1:15" x14ac:dyDescent="0.25">
      <c r="A176">
        <v>175</v>
      </c>
      <c r="B176" s="1" t="s">
        <v>19</v>
      </c>
      <c r="C176" s="1">
        <f>car_price_prediction_[[#This Row],[Year2]]</f>
        <v>2009</v>
      </c>
      <c r="D176">
        <v>2009</v>
      </c>
      <c r="E176">
        <f>car_price_prediction_[[#This Row],[Engine Size]]/10</f>
        <v>3.7</v>
      </c>
      <c r="F176">
        <v>37</v>
      </c>
      <c r="G176" s="1" t="s">
        <v>21</v>
      </c>
      <c r="H176" s="1" t="s">
        <v>12</v>
      </c>
      <c r="I176" s="12">
        <f>car_price_prediction_[[#This Row],[Mileage]]/1000</f>
        <v>278.79500000000002</v>
      </c>
      <c r="J176" s="5">
        <v>278795</v>
      </c>
      <c r="K176" s="1" t="s">
        <v>13</v>
      </c>
      <c r="L176" s="5">
        <f>car_price_prediction_[[#This Row],[Price]]/100</f>
        <v>57608.77</v>
      </c>
      <c r="M176">
        <v>5760877</v>
      </c>
      <c r="N176" s="1" t="s">
        <v>38</v>
      </c>
      <c r="O176" s="1">
        <f>IF(IFERROR(VLOOKUP(car_price_prediction_[[#This Row],[Car ID]],A177:A2676,1,FALSE),0),1,0)</f>
        <v>0</v>
      </c>
    </row>
    <row r="177" spans="1:15" x14ac:dyDescent="0.25">
      <c r="A177">
        <v>176</v>
      </c>
      <c r="B177" s="1" t="s">
        <v>24</v>
      </c>
      <c r="C177" s="1">
        <f>car_price_prediction_[[#This Row],[Year2]]</f>
        <v>2003</v>
      </c>
      <c r="D177">
        <v>2003</v>
      </c>
      <c r="E177">
        <f>car_price_prediction_[[#This Row],[Engine Size]]/10</f>
        <v>4.5</v>
      </c>
      <c r="F177">
        <v>45</v>
      </c>
      <c r="G177" s="1" t="s">
        <v>21</v>
      </c>
      <c r="H177" s="1" t="s">
        <v>22</v>
      </c>
      <c r="I177" s="12">
        <f>car_price_prediction_[[#This Row],[Mileage]]/1000</f>
        <v>180.11600000000001</v>
      </c>
      <c r="J177" s="5">
        <v>180116</v>
      </c>
      <c r="K177" s="1" t="s">
        <v>25</v>
      </c>
      <c r="L177" s="5">
        <f>car_price_prediction_[[#This Row],[Price]]/100</f>
        <v>37930.839999999997</v>
      </c>
      <c r="M177">
        <v>3793084</v>
      </c>
      <c r="N177" s="1" t="s">
        <v>34</v>
      </c>
      <c r="O177" s="1">
        <f>IF(IFERROR(VLOOKUP(car_price_prediction_[[#This Row],[Car ID]],A178:A2677,1,FALSE),0),1,0)</f>
        <v>0</v>
      </c>
    </row>
    <row r="178" spans="1:15" x14ac:dyDescent="0.25">
      <c r="A178">
        <v>177</v>
      </c>
      <c r="B178" s="1" t="s">
        <v>10</v>
      </c>
      <c r="C178" s="1">
        <f>car_price_prediction_[[#This Row],[Year2]]</f>
        <v>2017</v>
      </c>
      <c r="D178">
        <v>2017</v>
      </c>
      <c r="E178">
        <f>car_price_prediction_[[#This Row],[Engine Size]]/10</f>
        <v>4.5</v>
      </c>
      <c r="F178">
        <v>45</v>
      </c>
      <c r="G178" s="1" t="s">
        <v>11</v>
      </c>
      <c r="H178" s="1" t="s">
        <v>12</v>
      </c>
      <c r="I178" s="12">
        <f>car_price_prediction_[[#This Row],[Mileage]]/1000</f>
        <v>14.632999999999999</v>
      </c>
      <c r="J178" s="5">
        <v>14633</v>
      </c>
      <c r="K178" s="1" t="s">
        <v>25</v>
      </c>
      <c r="L178" s="5">
        <f>car_price_prediction_[[#This Row],[Price]]/100</f>
        <v>24143.84</v>
      </c>
      <c r="M178">
        <v>2414384</v>
      </c>
      <c r="N178" s="1" t="s">
        <v>33</v>
      </c>
      <c r="O178" s="1">
        <f>IF(IFERROR(VLOOKUP(car_price_prediction_[[#This Row],[Car ID]],A179:A2678,1,FALSE),0),1,0)</f>
        <v>0</v>
      </c>
    </row>
    <row r="179" spans="1:15" x14ac:dyDescent="0.25">
      <c r="A179">
        <v>178</v>
      </c>
      <c r="B179" s="1" t="s">
        <v>10</v>
      </c>
      <c r="C179" s="1">
        <f>car_price_prediction_[[#This Row],[Year2]]</f>
        <v>2001</v>
      </c>
      <c r="D179">
        <v>2001</v>
      </c>
      <c r="E179">
        <f>car_price_prediction_[[#This Row],[Engine Size]]/10</f>
        <v>1.9</v>
      </c>
      <c r="F179">
        <v>19</v>
      </c>
      <c r="G179" s="1" t="s">
        <v>11</v>
      </c>
      <c r="H179" s="1" t="s">
        <v>22</v>
      </c>
      <c r="I179" s="12">
        <f>car_price_prediction_[[#This Row],[Mileage]]/1000</f>
        <v>79.164000000000001</v>
      </c>
      <c r="J179" s="5">
        <v>79164</v>
      </c>
      <c r="K179" s="1" t="s">
        <v>17</v>
      </c>
      <c r="L179" s="5">
        <f>car_price_prediction_[[#This Row],[Price]]/100</f>
        <v>81717.78</v>
      </c>
      <c r="M179">
        <v>8171778</v>
      </c>
      <c r="N179" s="1" t="s">
        <v>49</v>
      </c>
      <c r="O179" s="1">
        <f>IF(IFERROR(VLOOKUP(car_price_prediction_[[#This Row],[Car ID]],A180:A2679,1,FALSE),0),1,0)</f>
        <v>0</v>
      </c>
    </row>
    <row r="180" spans="1:15" x14ac:dyDescent="0.25">
      <c r="A180">
        <v>179</v>
      </c>
      <c r="B180" s="1" t="s">
        <v>43</v>
      </c>
      <c r="C180" s="1">
        <f>car_price_prediction_[[#This Row],[Year2]]</f>
        <v>2016</v>
      </c>
      <c r="D180">
        <v>2016</v>
      </c>
      <c r="E180">
        <f>car_price_prediction_[[#This Row],[Engine Size]]/10</f>
        <v>3.5</v>
      </c>
      <c r="F180">
        <v>35</v>
      </c>
      <c r="G180" s="1" t="s">
        <v>11</v>
      </c>
      <c r="H180" s="1" t="s">
        <v>12</v>
      </c>
      <c r="I180" s="12">
        <f>car_price_prediction_[[#This Row],[Mileage]]/1000</f>
        <v>262.71300000000002</v>
      </c>
      <c r="J180" s="5">
        <v>262713</v>
      </c>
      <c r="K180" s="1" t="s">
        <v>13</v>
      </c>
      <c r="L180" s="5">
        <f>car_price_prediction_[[#This Row],[Price]]/100</f>
        <v>1011.69</v>
      </c>
      <c r="M180">
        <v>101169</v>
      </c>
      <c r="N180" s="1" t="s">
        <v>50</v>
      </c>
      <c r="O180" s="1">
        <f>IF(IFERROR(VLOOKUP(car_price_prediction_[[#This Row],[Car ID]],A181:A2680,1,FALSE),0),1,0)</f>
        <v>0</v>
      </c>
    </row>
    <row r="181" spans="1:15" x14ac:dyDescent="0.25">
      <c r="A181">
        <v>180</v>
      </c>
      <c r="B181" s="1" t="s">
        <v>15</v>
      </c>
      <c r="C181" s="1">
        <f>car_price_prediction_[[#This Row],[Year2]]</f>
        <v>2012</v>
      </c>
      <c r="D181">
        <v>2012</v>
      </c>
      <c r="E181">
        <f>car_price_prediction_[[#This Row],[Engine Size]]/10</f>
        <v>3.1</v>
      </c>
      <c r="F181">
        <v>31</v>
      </c>
      <c r="G181" s="1" t="s">
        <v>16</v>
      </c>
      <c r="H181" s="1" t="s">
        <v>22</v>
      </c>
      <c r="I181" s="12">
        <f>car_price_prediction_[[#This Row],[Mileage]]/1000</f>
        <v>123.425</v>
      </c>
      <c r="J181" s="5">
        <v>123425</v>
      </c>
      <c r="K181" s="1" t="s">
        <v>13</v>
      </c>
      <c r="L181" s="5">
        <f>car_price_prediction_[[#This Row],[Price]]/100</f>
        <v>11618.92</v>
      </c>
      <c r="M181">
        <v>1161892</v>
      </c>
      <c r="N181" s="1" t="s">
        <v>39</v>
      </c>
      <c r="O181" s="1">
        <f>IF(IFERROR(VLOOKUP(car_price_prediction_[[#This Row],[Car ID]],A182:A2681,1,FALSE),0),1,0)</f>
        <v>0</v>
      </c>
    </row>
    <row r="182" spans="1:15" x14ac:dyDescent="0.25">
      <c r="A182">
        <v>181</v>
      </c>
      <c r="B182" s="1" t="s">
        <v>19</v>
      </c>
      <c r="C182" s="1">
        <f>car_price_prediction_[[#This Row],[Year2]]</f>
        <v>2003</v>
      </c>
      <c r="D182">
        <v>2003</v>
      </c>
      <c r="E182">
        <f>car_price_prediction_[[#This Row],[Engine Size]]/10</f>
        <v>5.4</v>
      </c>
      <c r="F182">
        <v>54</v>
      </c>
      <c r="G182" s="1" t="s">
        <v>11</v>
      </c>
      <c r="H182" s="1" t="s">
        <v>12</v>
      </c>
      <c r="I182" s="12">
        <f>car_price_prediction_[[#This Row],[Mileage]]/1000</f>
        <v>250.22</v>
      </c>
      <c r="J182" s="5">
        <v>250220</v>
      </c>
      <c r="K182" s="1" t="s">
        <v>25</v>
      </c>
      <c r="L182" s="5">
        <f>car_price_prediction_[[#This Row],[Price]]/100</f>
        <v>46849.57</v>
      </c>
      <c r="M182">
        <v>4684957</v>
      </c>
      <c r="N182" s="1" t="s">
        <v>27</v>
      </c>
      <c r="O182" s="1">
        <f>IF(IFERROR(VLOOKUP(car_price_prediction_[[#This Row],[Car ID]],A183:A2682,1,FALSE),0),1,0)</f>
        <v>0</v>
      </c>
    </row>
    <row r="183" spans="1:15" x14ac:dyDescent="0.25">
      <c r="A183">
        <v>182</v>
      </c>
      <c r="B183" s="1" t="s">
        <v>15</v>
      </c>
      <c r="C183" s="1">
        <f>car_price_prediction_[[#This Row],[Year2]]</f>
        <v>2010</v>
      </c>
      <c r="D183">
        <v>2010</v>
      </c>
      <c r="E183">
        <f>car_price_prediction_[[#This Row],[Engine Size]]/10</f>
        <v>4.2</v>
      </c>
      <c r="F183">
        <v>42</v>
      </c>
      <c r="G183" s="1" t="s">
        <v>16</v>
      </c>
      <c r="H183" s="1" t="s">
        <v>12</v>
      </c>
      <c r="I183" s="12">
        <f>car_price_prediction_[[#This Row],[Mileage]]/1000</f>
        <v>295.18200000000002</v>
      </c>
      <c r="J183" s="5">
        <v>295182</v>
      </c>
      <c r="K183" s="1" t="s">
        <v>13</v>
      </c>
      <c r="L183" s="5">
        <f>car_price_prediction_[[#This Row],[Price]]/100</f>
        <v>28992.68</v>
      </c>
      <c r="M183">
        <v>2899268</v>
      </c>
      <c r="N183" s="1" t="s">
        <v>18</v>
      </c>
      <c r="O183" s="1">
        <f>IF(IFERROR(VLOOKUP(car_price_prediction_[[#This Row],[Car ID]],A184:A2683,1,FALSE),0),1,0)</f>
        <v>0</v>
      </c>
    </row>
    <row r="184" spans="1:15" x14ac:dyDescent="0.25">
      <c r="A184">
        <v>183</v>
      </c>
      <c r="B184" s="1" t="s">
        <v>36</v>
      </c>
      <c r="C184" s="1">
        <f>car_price_prediction_[[#This Row],[Year2]]</f>
        <v>2006</v>
      </c>
      <c r="D184">
        <v>2006</v>
      </c>
      <c r="E184">
        <f>car_price_prediction_[[#This Row],[Engine Size]]/10</f>
        <v>3.7</v>
      </c>
      <c r="F184">
        <v>37</v>
      </c>
      <c r="G184" s="1" t="s">
        <v>21</v>
      </c>
      <c r="H184" s="1" t="s">
        <v>22</v>
      </c>
      <c r="I184" s="12">
        <f>car_price_prediction_[[#This Row],[Mileage]]/1000</f>
        <v>180.16</v>
      </c>
      <c r="J184" s="5">
        <v>180160</v>
      </c>
      <c r="K184" s="1" t="s">
        <v>17</v>
      </c>
      <c r="L184" s="5">
        <f>car_price_prediction_[[#This Row],[Price]]/100</f>
        <v>75817.98</v>
      </c>
      <c r="M184">
        <v>7581798</v>
      </c>
      <c r="N184" s="1" t="s">
        <v>37</v>
      </c>
      <c r="O184" s="1">
        <f>IF(IFERROR(VLOOKUP(car_price_prediction_[[#This Row],[Car ID]],A185:A2684,1,FALSE),0),1,0)</f>
        <v>0</v>
      </c>
    </row>
    <row r="185" spans="1:15" x14ac:dyDescent="0.25">
      <c r="A185">
        <v>184</v>
      </c>
      <c r="B185" s="1" t="s">
        <v>19</v>
      </c>
      <c r="C185" s="1">
        <f>car_price_prediction_[[#This Row],[Year2]]</f>
        <v>2011</v>
      </c>
      <c r="D185">
        <v>2011</v>
      </c>
      <c r="E185">
        <f>car_price_prediction_[[#This Row],[Engine Size]]/10</f>
        <v>1.6</v>
      </c>
      <c r="F185">
        <v>16</v>
      </c>
      <c r="G185" s="1" t="s">
        <v>21</v>
      </c>
      <c r="H185" s="1" t="s">
        <v>22</v>
      </c>
      <c r="I185" s="12">
        <f>car_price_prediction_[[#This Row],[Mileage]]/1000</f>
        <v>204.249</v>
      </c>
      <c r="J185" s="5">
        <v>204249</v>
      </c>
      <c r="K185" s="1" t="s">
        <v>17</v>
      </c>
      <c r="L185" s="5">
        <f>car_price_prediction_[[#This Row],[Price]]/100</f>
        <v>65248.06</v>
      </c>
      <c r="M185">
        <v>6524806</v>
      </c>
      <c r="N185" s="1" t="s">
        <v>27</v>
      </c>
      <c r="O185" s="1">
        <f>IF(IFERROR(VLOOKUP(car_price_prediction_[[#This Row],[Car ID]],A186:A2685,1,FALSE),0),1,0)</f>
        <v>0</v>
      </c>
    </row>
    <row r="186" spans="1:15" x14ac:dyDescent="0.25">
      <c r="A186">
        <v>185</v>
      </c>
      <c r="B186" s="1" t="s">
        <v>10</v>
      </c>
      <c r="C186" s="1">
        <f>car_price_prediction_[[#This Row],[Year2]]</f>
        <v>2009</v>
      </c>
      <c r="D186">
        <v>2009</v>
      </c>
      <c r="E186">
        <f>car_price_prediction_[[#This Row],[Engine Size]]/10</f>
        <v>4</v>
      </c>
      <c r="F186">
        <v>40</v>
      </c>
      <c r="G186" s="1" t="s">
        <v>29</v>
      </c>
      <c r="H186" s="1" t="s">
        <v>12</v>
      </c>
      <c r="I186" s="12">
        <f>car_price_prediction_[[#This Row],[Mileage]]/1000</f>
        <v>205.53800000000001</v>
      </c>
      <c r="J186" s="5">
        <v>205538</v>
      </c>
      <c r="K186" s="1" t="s">
        <v>17</v>
      </c>
      <c r="L186" s="5">
        <f>car_price_prediction_[[#This Row],[Price]]/100</f>
        <v>78390.81</v>
      </c>
      <c r="M186">
        <v>7839081</v>
      </c>
      <c r="N186" s="1" t="s">
        <v>23</v>
      </c>
      <c r="O186" s="1">
        <f>IF(IFERROR(VLOOKUP(car_price_prediction_[[#This Row],[Car ID]],A187:A2686,1,FALSE),0),1,0)</f>
        <v>0</v>
      </c>
    </row>
    <row r="187" spans="1:15" x14ac:dyDescent="0.25">
      <c r="A187">
        <v>186</v>
      </c>
      <c r="B187" s="1" t="s">
        <v>10</v>
      </c>
      <c r="C187" s="1">
        <f>car_price_prediction_[[#This Row],[Year2]]</f>
        <v>2006</v>
      </c>
      <c r="D187">
        <v>2006</v>
      </c>
      <c r="E187">
        <f>car_price_prediction_[[#This Row],[Engine Size]]/10</f>
        <v>1.6</v>
      </c>
      <c r="F187">
        <v>16</v>
      </c>
      <c r="G187" s="1" t="s">
        <v>11</v>
      </c>
      <c r="H187" s="1" t="s">
        <v>22</v>
      </c>
      <c r="I187" s="12">
        <f>car_price_prediction_[[#This Row],[Mileage]]/1000</f>
        <v>197.86500000000001</v>
      </c>
      <c r="J187" s="5">
        <v>197865</v>
      </c>
      <c r="K187" s="1" t="s">
        <v>17</v>
      </c>
      <c r="L187" s="5">
        <f>car_price_prediction_[[#This Row],[Price]]/100</f>
        <v>3584.45</v>
      </c>
      <c r="M187">
        <v>358445</v>
      </c>
      <c r="N187" s="1" t="s">
        <v>14</v>
      </c>
      <c r="O187" s="1">
        <f>IF(IFERROR(VLOOKUP(car_price_prediction_[[#This Row],[Car ID]],A188:A2687,1,FALSE),0),1,0)</f>
        <v>0</v>
      </c>
    </row>
    <row r="188" spans="1:15" x14ac:dyDescent="0.25">
      <c r="A188">
        <v>187</v>
      </c>
      <c r="B188" s="1" t="s">
        <v>19</v>
      </c>
      <c r="C188" s="1">
        <f>car_price_prediction_[[#This Row],[Year2]]</f>
        <v>2012</v>
      </c>
      <c r="D188">
        <v>2012</v>
      </c>
      <c r="E188">
        <f>car_price_prediction_[[#This Row],[Engine Size]]/10</f>
        <v>2.7</v>
      </c>
      <c r="F188">
        <v>27</v>
      </c>
      <c r="G188" s="1" t="s">
        <v>21</v>
      </c>
      <c r="H188" s="1" t="s">
        <v>12</v>
      </c>
      <c r="I188" s="12">
        <f>car_price_prediction_[[#This Row],[Mileage]]/1000</f>
        <v>201.46600000000001</v>
      </c>
      <c r="J188" s="5">
        <v>201466</v>
      </c>
      <c r="K188" s="1" t="s">
        <v>17</v>
      </c>
      <c r="L188" s="5">
        <f>car_price_prediction_[[#This Row],[Price]]/100</f>
        <v>7534.93</v>
      </c>
      <c r="M188">
        <v>753493</v>
      </c>
      <c r="N188" s="1" t="s">
        <v>20</v>
      </c>
      <c r="O188" s="1">
        <f>IF(IFERROR(VLOOKUP(car_price_prediction_[[#This Row],[Car ID]],A189:A2688,1,FALSE),0),1,0)</f>
        <v>0</v>
      </c>
    </row>
    <row r="189" spans="1:15" x14ac:dyDescent="0.25">
      <c r="A189">
        <v>188</v>
      </c>
      <c r="B189" s="1" t="s">
        <v>10</v>
      </c>
      <c r="C189" s="1">
        <f>car_price_prediction_[[#This Row],[Year2]]</f>
        <v>2006</v>
      </c>
      <c r="D189">
        <v>2006</v>
      </c>
      <c r="E189">
        <f>car_price_prediction_[[#This Row],[Engine Size]]/10</f>
        <v>1.7</v>
      </c>
      <c r="F189">
        <v>17</v>
      </c>
      <c r="G189" s="1" t="s">
        <v>11</v>
      </c>
      <c r="H189" s="1" t="s">
        <v>22</v>
      </c>
      <c r="I189" s="12">
        <f>car_price_prediction_[[#This Row],[Mileage]]/1000</f>
        <v>187.22300000000001</v>
      </c>
      <c r="J189" s="5">
        <v>187223</v>
      </c>
      <c r="K189" s="1" t="s">
        <v>25</v>
      </c>
      <c r="L189" s="5">
        <f>car_price_prediction_[[#This Row],[Price]]/100</f>
        <v>86918.81</v>
      </c>
      <c r="M189">
        <v>8691881</v>
      </c>
      <c r="N189" s="1" t="s">
        <v>23</v>
      </c>
      <c r="O189" s="1">
        <f>IF(IFERROR(VLOOKUP(car_price_prediction_[[#This Row],[Car ID]],A190:A2689,1,FALSE),0),1,0)</f>
        <v>0</v>
      </c>
    </row>
    <row r="190" spans="1:15" x14ac:dyDescent="0.25">
      <c r="A190">
        <v>189</v>
      </c>
      <c r="B190" s="1" t="s">
        <v>24</v>
      </c>
      <c r="C190" s="1">
        <f>car_price_prediction_[[#This Row],[Year2]]</f>
        <v>2023</v>
      </c>
      <c r="D190">
        <v>2023</v>
      </c>
      <c r="E190">
        <f>car_price_prediction_[[#This Row],[Engine Size]]/10</f>
        <v>4.5</v>
      </c>
      <c r="F190">
        <v>45</v>
      </c>
      <c r="G190" s="1" t="s">
        <v>16</v>
      </c>
      <c r="H190" s="1" t="s">
        <v>12</v>
      </c>
      <c r="I190" s="12">
        <f>car_price_prediction_[[#This Row],[Mileage]]/1000</f>
        <v>111.17400000000001</v>
      </c>
      <c r="J190" s="5">
        <v>111174</v>
      </c>
      <c r="K190" s="1" t="s">
        <v>17</v>
      </c>
      <c r="L190" s="5">
        <f>car_price_prediction_[[#This Row],[Price]]/100</f>
        <v>37801.08</v>
      </c>
      <c r="M190">
        <v>3780108</v>
      </c>
      <c r="N190" s="1" t="s">
        <v>34</v>
      </c>
      <c r="O190" s="1">
        <f>IF(IFERROR(VLOOKUP(car_price_prediction_[[#This Row],[Car ID]],A191:A2690,1,FALSE),0),1,0)</f>
        <v>0</v>
      </c>
    </row>
    <row r="191" spans="1:15" x14ac:dyDescent="0.25">
      <c r="A191">
        <v>190</v>
      </c>
      <c r="B191" s="1" t="s">
        <v>19</v>
      </c>
      <c r="C191" s="1">
        <f>car_price_prediction_[[#This Row],[Year2]]</f>
        <v>2016</v>
      </c>
      <c r="D191">
        <v>2016</v>
      </c>
      <c r="E191">
        <f>car_price_prediction_[[#This Row],[Engine Size]]/10</f>
        <v>2</v>
      </c>
      <c r="F191">
        <v>20</v>
      </c>
      <c r="G191" s="1" t="s">
        <v>21</v>
      </c>
      <c r="H191" s="1" t="s">
        <v>22</v>
      </c>
      <c r="I191" s="12">
        <f>car_price_prediction_[[#This Row],[Mileage]]/1000</f>
        <v>137.97999999999999</v>
      </c>
      <c r="J191" s="5">
        <v>137980</v>
      </c>
      <c r="K191" s="1" t="s">
        <v>17</v>
      </c>
      <c r="L191" s="5">
        <f>car_price_prediction_[[#This Row],[Price]]/100</f>
        <v>3729.01</v>
      </c>
      <c r="M191">
        <v>372901</v>
      </c>
      <c r="N191" s="1" t="s">
        <v>28</v>
      </c>
      <c r="O191" s="1">
        <f>IF(IFERROR(VLOOKUP(car_price_prediction_[[#This Row],[Car ID]],A192:A2691,1,FALSE),0),1,0)</f>
        <v>0</v>
      </c>
    </row>
    <row r="192" spans="1:15" x14ac:dyDescent="0.25">
      <c r="A192">
        <v>191</v>
      </c>
      <c r="B192" s="1" t="s">
        <v>15</v>
      </c>
      <c r="C192" s="1">
        <f>car_price_prediction_[[#This Row],[Year2]]</f>
        <v>2009</v>
      </c>
      <c r="D192">
        <v>2009</v>
      </c>
      <c r="E192">
        <f>car_price_prediction_[[#This Row],[Engine Size]]/10</f>
        <v>3</v>
      </c>
      <c r="F192">
        <v>30</v>
      </c>
      <c r="G192" s="1" t="s">
        <v>11</v>
      </c>
      <c r="H192" s="1" t="s">
        <v>12</v>
      </c>
      <c r="I192" s="12">
        <f>car_price_prediction_[[#This Row],[Mileage]]/1000</f>
        <v>68.447000000000003</v>
      </c>
      <c r="J192" s="5">
        <v>68447</v>
      </c>
      <c r="K192" s="1" t="s">
        <v>25</v>
      </c>
      <c r="L192" s="5">
        <f>car_price_prediction_[[#This Row],[Price]]/100</f>
        <v>90495.38</v>
      </c>
      <c r="M192">
        <v>9049538</v>
      </c>
      <c r="N192" s="1" t="s">
        <v>35</v>
      </c>
      <c r="O192" s="1">
        <f>IF(IFERROR(VLOOKUP(car_price_prediction_[[#This Row],[Car ID]],A193:A2692,1,FALSE),0),1,0)</f>
        <v>0</v>
      </c>
    </row>
    <row r="193" spans="1:15" x14ac:dyDescent="0.25">
      <c r="A193">
        <v>192</v>
      </c>
      <c r="B193" s="1" t="s">
        <v>19</v>
      </c>
      <c r="C193" s="1">
        <f>car_price_prediction_[[#This Row],[Year2]]</f>
        <v>2009</v>
      </c>
      <c r="D193">
        <v>2009</v>
      </c>
      <c r="E193">
        <f>car_price_prediction_[[#This Row],[Engine Size]]/10</f>
        <v>5.5</v>
      </c>
      <c r="F193">
        <v>55</v>
      </c>
      <c r="G193" s="1" t="s">
        <v>21</v>
      </c>
      <c r="H193" s="1" t="s">
        <v>12</v>
      </c>
      <c r="I193" s="12">
        <f>car_price_prediction_[[#This Row],[Mileage]]/1000</f>
        <v>205.59899999999999</v>
      </c>
      <c r="J193" s="5">
        <v>205599</v>
      </c>
      <c r="K193" s="1" t="s">
        <v>25</v>
      </c>
      <c r="L193" s="5">
        <f>car_price_prediction_[[#This Row],[Price]]/100</f>
        <v>9730.07</v>
      </c>
      <c r="M193">
        <v>973007</v>
      </c>
      <c r="N193" s="1" t="s">
        <v>28</v>
      </c>
      <c r="O193" s="1">
        <f>IF(IFERROR(VLOOKUP(car_price_prediction_[[#This Row],[Car ID]],A194:A2693,1,FALSE),0),1,0)</f>
        <v>0</v>
      </c>
    </row>
    <row r="194" spans="1:15" x14ac:dyDescent="0.25">
      <c r="A194">
        <v>193</v>
      </c>
      <c r="B194" s="1" t="s">
        <v>10</v>
      </c>
      <c r="C194" s="1">
        <f>car_price_prediction_[[#This Row],[Year2]]</f>
        <v>2023</v>
      </c>
      <c r="D194">
        <v>2023</v>
      </c>
      <c r="E194">
        <f>car_price_prediction_[[#This Row],[Engine Size]]/10</f>
        <v>2</v>
      </c>
      <c r="F194">
        <v>20</v>
      </c>
      <c r="G194" s="1" t="s">
        <v>21</v>
      </c>
      <c r="H194" s="1" t="s">
        <v>12</v>
      </c>
      <c r="I194" s="12">
        <f>car_price_prediction_[[#This Row],[Mileage]]/1000</f>
        <v>226.30099999999999</v>
      </c>
      <c r="J194" s="5">
        <v>226301</v>
      </c>
      <c r="K194" s="1" t="s">
        <v>25</v>
      </c>
      <c r="L194" s="5">
        <f>car_price_prediction_[[#This Row],[Price]]/100</f>
        <v>38267.99</v>
      </c>
      <c r="M194">
        <v>3826799</v>
      </c>
      <c r="N194" s="1" t="s">
        <v>14</v>
      </c>
      <c r="O194" s="1">
        <f>IF(IFERROR(VLOOKUP(car_price_prediction_[[#This Row],[Car ID]],A195:A2694,1,FALSE),0),1,0)</f>
        <v>0</v>
      </c>
    </row>
    <row r="195" spans="1:15" x14ac:dyDescent="0.25">
      <c r="A195">
        <v>194</v>
      </c>
      <c r="B195" s="1" t="s">
        <v>24</v>
      </c>
      <c r="C195" s="1">
        <f>car_price_prediction_[[#This Row],[Year2]]</f>
        <v>2003</v>
      </c>
      <c r="D195">
        <v>2003</v>
      </c>
      <c r="E195">
        <f>car_price_prediction_[[#This Row],[Engine Size]]/10</f>
        <v>3.5</v>
      </c>
      <c r="F195">
        <v>35</v>
      </c>
      <c r="G195" s="1" t="s">
        <v>11</v>
      </c>
      <c r="H195" s="1" t="s">
        <v>22</v>
      </c>
      <c r="I195" s="12">
        <f>car_price_prediction_[[#This Row],[Mileage]]/1000</f>
        <v>279.77800000000002</v>
      </c>
      <c r="J195" s="5">
        <v>279778</v>
      </c>
      <c r="K195" s="1" t="s">
        <v>13</v>
      </c>
      <c r="L195" s="5">
        <f>car_price_prediction_[[#This Row],[Price]]/100</f>
        <v>16273.89</v>
      </c>
      <c r="M195">
        <v>1627389</v>
      </c>
      <c r="N195" s="1" t="s">
        <v>34</v>
      </c>
      <c r="O195" s="1">
        <f>IF(IFERROR(VLOOKUP(car_price_prediction_[[#This Row],[Car ID]],A196:A2695,1,FALSE),0),1,0)</f>
        <v>0</v>
      </c>
    </row>
    <row r="196" spans="1:15" x14ac:dyDescent="0.25">
      <c r="A196">
        <v>195</v>
      </c>
      <c r="B196" s="1" t="s">
        <v>24</v>
      </c>
      <c r="C196" s="1">
        <f>car_price_prediction_[[#This Row],[Year2]]</f>
        <v>2019</v>
      </c>
      <c r="D196">
        <v>2019</v>
      </c>
      <c r="E196">
        <f>car_price_prediction_[[#This Row],[Engine Size]]/10</f>
        <v>3.1</v>
      </c>
      <c r="F196">
        <v>31</v>
      </c>
      <c r="G196" s="1" t="s">
        <v>21</v>
      </c>
      <c r="H196" s="1" t="s">
        <v>12</v>
      </c>
      <c r="I196" s="12">
        <f>car_price_prediction_[[#This Row],[Mileage]]/1000</f>
        <v>286.70499999999998</v>
      </c>
      <c r="J196" s="5">
        <v>286705</v>
      </c>
      <c r="K196" s="1" t="s">
        <v>13</v>
      </c>
      <c r="L196" s="5">
        <f>car_price_prediction_[[#This Row],[Price]]/100</f>
        <v>7753.16</v>
      </c>
      <c r="M196">
        <v>775316</v>
      </c>
      <c r="N196" s="1" t="s">
        <v>34</v>
      </c>
      <c r="O196" s="1">
        <f>IF(IFERROR(VLOOKUP(car_price_prediction_[[#This Row],[Car ID]],A197:A2696,1,FALSE),0),1,0)</f>
        <v>0</v>
      </c>
    </row>
    <row r="197" spans="1:15" x14ac:dyDescent="0.25">
      <c r="A197">
        <v>196</v>
      </c>
      <c r="B197" s="1" t="s">
        <v>36</v>
      </c>
      <c r="C197" s="1">
        <f>car_price_prediction_[[#This Row],[Year2]]</f>
        <v>2003</v>
      </c>
      <c r="D197">
        <v>2003</v>
      </c>
      <c r="E197">
        <f>car_price_prediction_[[#This Row],[Engine Size]]/10</f>
        <v>1.1000000000000001</v>
      </c>
      <c r="F197">
        <v>11</v>
      </c>
      <c r="G197" s="1" t="s">
        <v>21</v>
      </c>
      <c r="H197" s="1" t="s">
        <v>22</v>
      </c>
      <c r="I197" s="12">
        <f>car_price_prediction_[[#This Row],[Mileage]]/1000</f>
        <v>55.063000000000002</v>
      </c>
      <c r="J197" s="5">
        <v>55063</v>
      </c>
      <c r="K197" s="1" t="s">
        <v>17</v>
      </c>
      <c r="L197" s="5">
        <f>car_price_prediction_[[#This Row],[Price]]/100</f>
        <v>15722.59</v>
      </c>
      <c r="M197">
        <v>1572259</v>
      </c>
      <c r="N197" s="1" t="s">
        <v>37</v>
      </c>
      <c r="O197" s="1">
        <f>IF(IFERROR(VLOOKUP(car_price_prediction_[[#This Row],[Car ID]],A198:A2697,1,FALSE),0),1,0)</f>
        <v>0</v>
      </c>
    </row>
    <row r="198" spans="1:15" x14ac:dyDescent="0.25">
      <c r="A198">
        <v>197</v>
      </c>
      <c r="B198" s="1" t="s">
        <v>15</v>
      </c>
      <c r="C198" s="1">
        <f>car_price_prediction_[[#This Row],[Year2]]</f>
        <v>2021</v>
      </c>
      <c r="D198">
        <v>2021</v>
      </c>
      <c r="E198">
        <f>car_price_prediction_[[#This Row],[Engine Size]]/10</f>
        <v>5</v>
      </c>
      <c r="F198">
        <v>50</v>
      </c>
      <c r="G198" s="1" t="s">
        <v>21</v>
      </c>
      <c r="H198" s="1" t="s">
        <v>22</v>
      </c>
      <c r="I198" s="12">
        <f>car_price_prediction_[[#This Row],[Mileage]]/1000</f>
        <v>288.065</v>
      </c>
      <c r="J198" s="5">
        <v>288065</v>
      </c>
      <c r="K198" s="1" t="s">
        <v>17</v>
      </c>
      <c r="L198" s="5">
        <f>car_price_prediction_[[#This Row],[Price]]/100</f>
        <v>45968.35</v>
      </c>
      <c r="M198">
        <v>4596835</v>
      </c>
      <c r="N198" s="1" t="s">
        <v>35</v>
      </c>
      <c r="O198" s="1">
        <f>IF(IFERROR(VLOOKUP(car_price_prediction_[[#This Row],[Car ID]],A199:A2698,1,FALSE),0),1,0)</f>
        <v>0</v>
      </c>
    </row>
    <row r="199" spans="1:15" x14ac:dyDescent="0.25">
      <c r="A199">
        <v>198</v>
      </c>
      <c r="B199" s="1" t="s">
        <v>30</v>
      </c>
      <c r="C199" s="1">
        <f>car_price_prediction_[[#This Row],[Year2]]</f>
        <v>2006</v>
      </c>
      <c r="D199">
        <v>2006</v>
      </c>
      <c r="E199">
        <f>car_price_prediction_[[#This Row],[Engine Size]]/10</f>
        <v>1.3</v>
      </c>
      <c r="F199">
        <v>13</v>
      </c>
      <c r="G199" s="1" t="s">
        <v>21</v>
      </c>
      <c r="H199" s="1" t="s">
        <v>22</v>
      </c>
      <c r="I199" s="12">
        <f>car_price_prediction_[[#This Row],[Mileage]]/1000</f>
        <v>19.34</v>
      </c>
      <c r="J199" s="5">
        <v>19340</v>
      </c>
      <c r="K199" s="1" t="s">
        <v>17</v>
      </c>
      <c r="L199" s="5">
        <f>car_price_prediction_[[#This Row],[Price]]/100</f>
        <v>70260.83</v>
      </c>
      <c r="M199">
        <v>7026083</v>
      </c>
      <c r="N199" s="1" t="s">
        <v>45</v>
      </c>
      <c r="O199" s="1">
        <f>IF(IFERROR(VLOOKUP(car_price_prediction_[[#This Row],[Car ID]],A200:A2699,1,FALSE),0),1,0)</f>
        <v>0</v>
      </c>
    </row>
    <row r="200" spans="1:15" x14ac:dyDescent="0.25">
      <c r="A200">
        <v>199</v>
      </c>
      <c r="B200" s="1" t="s">
        <v>30</v>
      </c>
      <c r="C200" s="1">
        <f>car_price_prediction_[[#This Row],[Year2]]</f>
        <v>2021</v>
      </c>
      <c r="D200">
        <v>2021</v>
      </c>
      <c r="E200">
        <f>car_price_prediction_[[#This Row],[Engine Size]]/10</f>
        <v>3.4</v>
      </c>
      <c r="F200">
        <v>34</v>
      </c>
      <c r="G200" s="1" t="s">
        <v>16</v>
      </c>
      <c r="H200" s="1" t="s">
        <v>12</v>
      </c>
      <c r="I200" s="12">
        <f>car_price_prediction_[[#This Row],[Mileage]]/1000</f>
        <v>62.780999999999999</v>
      </c>
      <c r="J200" s="5">
        <v>62781</v>
      </c>
      <c r="K200" s="1" t="s">
        <v>13</v>
      </c>
      <c r="L200" s="5">
        <f>car_price_prediction_[[#This Row],[Price]]/100</f>
        <v>32481.83</v>
      </c>
      <c r="M200">
        <v>3248183</v>
      </c>
      <c r="N200" s="1" t="s">
        <v>42</v>
      </c>
      <c r="O200" s="1">
        <f>IF(IFERROR(VLOOKUP(car_price_prediction_[[#This Row],[Car ID]],A201:A2700,1,FALSE),0),1,0)</f>
        <v>0</v>
      </c>
    </row>
    <row r="201" spans="1:15" x14ac:dyDescent="0.25">
      <c r="A201">
        <v>200</v>
      </c>
      <c r="B201" s="1" t="s">
        <v>19</v>
      </c>
      <c r="C201" s="1">
        <f>car_price_prediction_[[#This Row],[Year2]]</f>
        <v>2000</v>
      </c>
      <c r="D201">
        <v>2000</v>
      </c>
      <c r="E201">
        <f>car_price_prediction_[[#This Row],[Engine Size]]/10</f>
        <v>3.8</v>
      </c>
      <c r="F201">
        <v>38</v>
      </c>
      <c r="G201" s="1" t="s">
        <v>21</v>
      </c>
      <c r="H201" s="1" t="s">
        <v>22</v>
      </c>
      <c r="I201" s="12">
        <f>car_price_prediction_[[#This Row],[Mileage]]/1000</f>
        <v>277.04500000000002</v>
      </c>
      <c r="J201" s="5">
        <v>277045</v>
      </c>
      <c r="K201" s="1" t="s">
        <v>17</v>
      </c>
      <c r="L201" s="5">
        <f>car_price_prediction_[[#This Row],[Price]]/100</f>
        <v>85719.15</v>
      </c>
      <c r="M201">
        <v>8571915</v>
      </c>
      <c r="N201" s="1" t="s">
        <v>28</v>
      </c>
      <c r="O201" s="1">
        <f>IF(IFERROR(VLOOKUP(car_price_prediction_[[#This Row],[Car ID]],A202:A2701,1,FALSE),0),1,0)</f>
        <v>0</v>
      </c>
    </row>
    <row r="202" spans="1:15" x14ac:dyDescent="0.25">
      <c r="A202">
        <v>201</v>
      </c>
      <c r="B202" s="1" t="s">
        <v>36</v>
      </c>
      <c r="C202" s="1">
        <f>car_price_prediction_[[#This Row],[Year2]]</f>
        <v>2011</v>
      </c>
      <c r="D202">
        <v>2011</v>
      </c>
      <c r="E202">
        <f>car_price_prediction_[[#This Row],[Engine Size]]/10</f>
        <v>4.0999999999999996</v>
      </c>
      <c r="F202">
        <v>41</v>
      </c>
      <c r="G202" s="1" t="s">
        <v>29</v>
      </c>
      <c r="H202" s="1" t="s">
        <v>22</v>
      </c>
      <c r="I202" s="12">
        <f>car_price_prediction_[[#This Row],[Mileage]]/1000</f>
        <v>10.638</v>
      </c>
      <c r="J202" s="5">
        <v>10638</v>
      </c>
      <c r="K202" s="1" t="s">
        <v>17</v>
      </c>
      <c r="L202" s="5">
        <f>car_price_prediction_[[#This Row],[Price]]/100</f>
        <v>46573.48</v>
      </c>
      <c r="M202">
        <v>4657348</v>
      </c>
      <c r="N202" s="1" t="s">
        <v>37</v>
      </c>
      <c r="O202" s="1">
        <f>IF(IFERROR(VLOOKUP(car_price_prediction_[[#This Row],[Car ID]],A203:A2702,1,FALSE),0),1,0)</f>
        <v>0</v>
      </c>
    </row>
    <row r="203" spans="1:15" x14ac:dyDescent="0.25">
      <c r="A203">
        <v>202</v>
      </c>
      <c r="B203" s="1" t="s">
        <v>43</v>
      </c>
      <c r="C203" s="1">
        <f>car_price_prediction_[[#This Row],[Year2]]</f>
        <v>2023</v>
      </c>
      <c r="D203">
        <v>2023</v>
      </c>
      <c r="E203">
        <f>car_price_prediction_[[#This Row],[Engine Size]]/10</f>
        <v>4.4000000000000004</v>
      </c>
      <c r="F203">
        <v>44</v>
      </c>
      <c r="G203" s="1" t="s">
        <v>21</v>
      </c>
      <c r="H203" s="1" t="s">
        <v>22</v>
      </c>
      <c r="I203" s="12">
        <f>car_price_prediction_[[#This Row],[Mileage]]/1000</f>
        <v>217.98599999999999</v>
      </c>
      <c r="J203" s="5">
        <v>217986</v>
      </c>
      <c r="K203" s="1" t="s">
        <v>13</v>
      </c>
      <c r="L203" s="5">
        <f>car_price_prediction_[[#This Row],[Price]]/100</f>
        <v>96981.66</v>
      </c>
      <c r="M203">
        <v>9698166</v>
      </c>
      <c r="N203" s="1" t="s">
        <v>50</v>
      </c>
      <c r="O203" s="1">
        <f>IF(IFERROR(VLOOKUP(car_price_prediction_[[#This Row],[Car ID]],A204:A2703,1,FALSE),0),1,0)</f>
        <v>0</v>
      </c>
    </row>
    <row r="204" spans="1:15" x14ac:dyDescent="0.25">
      <c r="A204">
        <v>203</v>
      </c>
      <c r="B204" s="1" t="s">
        <v>19</v>
      </c>
      <c r="C204" s="1">
        <f>car_price_prediction_[[#This Row],[Year2]]</f>
        <v>2012</v>
      </c>
      <c r="D204">
        <v>2012</v>
      </c>
      <c r="E204">
        <f>car_price_prediction_[[#This Row],[Engine Size]]/10</f>
        <v>2.2999999999999998</v>
      </c>
      <c r="F204">
        <v>23</v>
      </c>
      <c r="G204" s="1" t="s">
        <v>11</v>
      </c>
      <c r="H204" s="1" t="s">
        <v>12</v>
      </c>
      <c r="I204" s="12">
        <f>car_price_prediction_[[#This Row],[Mileage]]/1000</f>
        <v>221.66800000000001</v>
      </c>
      <c r="J204" s="5">
        <v>221668</v>
      </c>
      <c r="K204" s="1" t="s">
        <v>25</v>
      </c>
      <c r="L204" s="5">
        <f>car_price_prediction_[[#This Row],[Price]]/100</f>
        <v>95644.79</v>
      </c>
      <c r="M204">
        <v>9564479</v>
      </c>
      <c r="N204" s="1" t="s">
        <v>38</v>
      </c>
      <c r="O204" s="1">
        <f>IF(IFERROR(VLOOKUP(car_price_prediction_[[#This Row],[Car ID]],A205:A2704,1,FALSE),0),1,0)</f>
        <v>0</v>
      </c>
    </row>
    <row r="205" spans="1:15" x14ac:dyDescent="0.25">
      <c r="A205">
        <v>204</v>
      </c>
      <c r="B205" s="1" t="s">
        <v>36</v>
      </c>
      <c r="C205" s="1">
        <f>car_price_prediction_[[#This Row],[Year2]]</f>
        <v>2009</v>
      </c>
      <c r="D205">
        <v>2009</v>
      </c>
      <c r="E205">
        <f>car_price_prediction_[[#This Row],[Engine Size]]/10</f>
        <v>1</v>
      </c>
      <c r="F205">
        <v>10</v>
      </c>
      <c r="G205" s="1" t="s">
        <v>29</v>
      </c>
      <c r="H205" s="1" t="s">
        <v>22</v>
      </c>
      <c r="I205" s="12">
        <f>car_price_prediction_[[#This Row],[Mileage]]/1000</f>
        <v>294.786</v>
      </c>
      <c r="J205" s="5">
        <v>294786</v>
      </c>
      <c r="K205" s="1" t="s">
        <v>13</v>
      </c>
      <c r="L205" s="5">
        <f>car_price_prediction_[[#This Row],[Price]]/100</f>
        <v>78461.240000000005</v>
      </c>
      <c r="M205">
        <v>7846124</v>
      </c>
      <c r="N205" s="1" t="s">
        <v>46</v>
      </c>
      <c r="O205" s="1">
        <f>IF(IFERROR(VLOOKUP(car_price_prediction_[[#This Row],[Car ID]],A206:A2705,1,FALSE),0),1,0)</f>
        <v>0</v>
      </c>
    </row>
    <row r="206" spans="1:15" x14ac:dyDescent="0.25">
      <c r="A206">
        <v>205</v>
      </c>
      <c r="B206" s="1" t="s">
        <v>15</v>
      </c>
      <c r="C206" s="1">
        <f>car_price_prediction_[[#This Row],[Year2]]</f>
        <v>2014</v>
      </c>
      <c r="D206">
        <v>2014</v>
      </c>
      <c r="E206">
        <f>car_price_prediction_[[#This Row],[Engine Size]]/10</f>
        <v>4.5999999999999996</v>
      </c>
      <c r="F206">
        <v>46</v>
      </c>
      <c r="G206" s="1" t="s">
        <v>16</v>
      </c>
      <c r="H206" s="1" t="s">
        <v>22</v>
      </c>
      <c r="I206" s="12">
        <f>car_price_prediction_[[#This Row],[Mileage]]/1000</f>
        <v>25.378</v>
      </c>
      <c r="J206" s="5">
        <v>25378</v>
      </c>
      <c r="K206" s="1" t="s">
        <v>17</v>
      </c>
      <c r="L206" s="5">
        <f>car_price_prediction_[[#This Row],[Price]]/100</f>
        <v>93578.52</v>
      </c>
      <c r="M206">
        <v>9357852</v>
      </c>
      <c r="N206" s="1" t="s">
        <v>51</v>
      </c>
      <c r="O206" s="1">
        <f>IF(IFERROR(VLOOKUP(car_price_prediction_[[#This Row],[Car ID]],A207:A2706,1,FALSE),0),1,0)</f>
        <v>0</v>
      </c>
    </row>
    <row r="207" spans="1:15" x14ac:dyDescent="0.25">
      <c r="A207">
        <v>206</v>
      </c>
      <c r="B207" s="1" t="s">
        <v>15</v>
      </c>
      <c r="C207" s="1">
        <f>car_price_prediction_[[#This Row],[Year2]]</f>
        <v>2012</v>
      </c>
      <c r="D207">
        <v>2012</v>
      </c>
      <c r="E207">
        <f>car_price_prediction_[[#This Row],[Engine Size]]/10</f>
        <v>3.7</v>
      </c>
      <c r="F207">
        <v>37</v>
      </c>
      <c r="G207" s="1" t="s">
        <v>29</v>
      </c>
      <c r="H207" s="1" t="s">
        <v>22</v>
      </c>
      <c r="I207" s="12">
        <f>car_price_prediction_[[#This Row],[Mileage]]/1000</f>
        <v>118.17100000000001</v>
      </c>
      <c r="J207" s="5">
        <v>118171</v>
      </c>
      <c r="K207" s="1" t="s">
        <v>13</v>
      </c>
      <c r="L207" s="5">
        <f>car_price_prediction_[[#This Row],[Price]]/100</f>
        <v>72174.13</v>
      </c>
      <c r="M207">
        <v>7217413</v>
      </c>
      <c r="N207" s="1" t="s">
        <v>35</v>
      </c>
      <c r="O207" s="1">
        <f>IF(IFERROR(VLOOKUP(car_price_prediction_[[#This Row],[Car ID]],A208:A2707,1,FALSE),0),1,0)</f>
        <v>0</v>
      </c>
    </row>
    <row r="208" spans="1:15" x14ac:dyDescent="0.25">
      <c r="A208">
        <v>207</v>
      </c>
      <c r="B208" s="1" t="s">
        <v>15</v>
      </c>
      <c r="C208" s="1">
        <f>car_price_prediction_[[#This Row],[Year2]]</f>
        <v>2022</v>
      </c>
      <c r="D208">
        <v>2022</v>
      </c>
      <c r="E208">
        <f>car_price_prediction_[[#This Row],[Engine Size]]/10</f>
        <v>5.2</v>
      </c>
      <c r="F208">
        <v>52</v>
      </c>
      <c r="G208" s="1" t="s">
        <v>29</v>
      </c>
      <c r="H208" s="1" t="s">
        <v>22</v>
      </c>
      <c r="I208" s="12">
        <f>car_price_prediction_[[#This Row],[Mileage]]/1000</f>
        <v>214.80099999999999</v>
      </c>
      <c r="J208" s="5">
        <v>214801</v>
      </c>
      <c r="K208" s="1" t="s">
        <v>25</v>
      </c>
      <c r="L208" s="5">
        <f>car_price_prediction_[[#This Row],[Price]]/100</f>
        <v>9008.0400000000009</v>
      </c>
      <c r="M208">
        <v>900804</v>
      </c>
      <c r="N208" s="1" t="s">
        <v>35</v>
      </c>
      <c r="O208" s="1">
        <f>IF(IFERROR(VLOOKUP(car_price_prediction_[[#This Row],[Car ID]],A209:A2708,1,FALSE),0),1,0)</f>
        <v>0</v>
      </c>
    </row>
    <row r="209" spans="1:15" x14ac:dyDescent="0.25">
      <c r="A209">
        <v>208</v>
      </c>
      <c r="B209" s="1" t="s">
        <v>15</v>
      </c>
      <c r="C209" s="1">
        <f>car_price_prediction_[[#This Row],[Year2]]</f>
        <v>2021</v>
      </c>
      <c r="D209">
        <v>2021</v>
      </c>
      <c r="E209">
        <f>car_price_prediction_[[#This Row],[Engine Size]]/10</f>
        <v>5.0999999999999996</v>
      </c>
      <c r="F209">
        <v>51</v>
      </c>
      <c r="G209" s="1" t="s">
        <v>29</v>
      </c>
      <c r="H209" s="1" t="s">
        <v>12</v>
      </c>
      <c r="I209" s="12">
        <f>car_price_prediction_[[#This Row],[Mileage]]/1000</f>
        <v>64.376999999999995</v>
      </c>
      <c r="J209" s="5">
        <v>64377</v>
      </c>
      <c r="K209" s="1" t="s">
        <v>25</v>
      </c>
      <c r="L209" s="5">
        <f>car_price_prediction_[[#This Row],[Price]]/100</f>
        <v>2746.5</v>
      </c>
      <c r="M209">
        <v>274650</v>
      </c>
      <c r="N209" s="1" t="s">
        <v>51</v>
      </c>
      <c r="O209" s="1">
        <f>IF(IFERROR(VLOOKUP(car_price_prediction_[[#This Row],[Car ID]],A210:A2709,1,FALSE),0),1,0)</f>
        <v>0</v>
      </c>
    </row>
    <row r="210" spans="1:15" x14ac:dyDescent="0.25">
      <c r="A210">
        <v>209</v>
      </c>
      <c r="B210" s="1" t="s">
        <v>15</v>
      </c>
      <c r="C210" s="1">
        <f>car_price_prediction_[[#This Row],[Year2]]</f>
        <v>2021</v>
      </c>
      <c r="D210">
        <v>2021</v>
      </c>
      <c r="E210">
        <f>car_price_prediction_[[#This Row],[Engine Size]]/10</f>
        <v>5.2</v>
      </c>
      <c r="F210">
        <v>52</v>
      </c>
      <c r="G210" s="1" t="s">
        <v>11</v>
      </c>
      <c r="H210" s="1" t="s">
        <v>12</v>
      </c>
      <c r="I210" s="12">
        <f>car_price_prediction_[[#This Row],[Mileage]]/1000</f>
        <v>260.339</v>
      </c>
      <c r="J210" s="5">
        <v>260339</v>
      </c>
      <c r="K210" s="1" t="s">
        <v>25</v>
      </c>
      <c r="L210" s="5">
        <f>car_price_prediction_[[#This Row],[Price]]/100</f>
        <v>37814.92</v>
      </c>
      <c r="M210">
        <v>3781492</v>
      </c>
      <c r="N210" s="1" t="s">
        <v>39</v>
      </c>
      <c r="O210" s="1">
        <f>IF(IFERROR(VLOOKUP(car_price_prediction_[[#This Row],[Car ID]],A211:A2710,1,FALSE),0),1,0)</f>
        <v>0</v>
      </c>
    </row>
    <row r="211" spans="1:15" x14ac:dyDescent="0.25">
      <c r="A211">
        <v>210</v>
      </c>
      <c r="B211" s="1" t="s">
        <v>36</v>
      </c>
      <c r="C211" s="1">
        <f>car_price_prediction_[[#This Row],[Year2]]</f>
        <v>2020</v>
      </c>
      <c r="D211">
        <v>2020</v>
      </c>
      <c r="E211">
        <f>car_price_prediction_[[#This Row],[Engine Size]]/10</f>
        <v>3.4</v>
      </c>
      <c r="F211">
        <v>34</v>
      </c>
      <c r="G211" s="1" t="s">
        <v>11</v>
      </c>
      <c r="H211" s="1" t="s">
        <v>22</v>
      </c>
      <c r="I211" s="12">
        <f>car_price_prediction_[[#This Row],[Mileage]]/1000</f>
        <v>54.691000000000003</v>
      </c>
      <c r="J211" s="5">
        <v>54691</v>
      </c>
      <c r="K211" s="1" t="s">
        <v>25</v>
      </c>
      <c r="L211" s="5">
        <f>car_price_prediction_[[#This Row],[Price]]/100</f>
        <v>76528.36</v>
      </c>
      <c r="M211">
        <v>7652836</v>
      </c>
      <c r="N211" s="1" t="s">
        <v>40</v>
      </c>
      <c r="O211" s="1">
        <f>IF(IFERROR(VLOOKUP(car_price_prediction_[[#This Row],[Car ID]],A212:A2711,1,FALSE),0),1,0)</f>
        <v>0</v>
      </c>
    </row>
    <row r="212" spans="1:15" x14ac:dyDescent="0.25">
      <c r="A212">
        <v>211</v>
      </c>
      <c r="B212" s="1" t="s">
        <v>36</v>
      </c>
      <c r="C212" s="1">
        <f>car_price_prediction_[[#This Row],[Year2]]</f>
        <v>2021</v>
      </c>
      <c r="D212">
        <v>2021</v>
      </c>
      <c r="E212">
        <f>car_price_prediction_[[#This Row],[Engine Size]]/10</f>
        <v>2.7</v>
      </c>
      <c r="F212">
        <v>27</v>
      </c>
      <c r="G212" s="1" t="s">
        <v>11</v>
      </c>
      <c r="H212" s="1" t="s">
        <v>22</v>
      </c>
      <c r="I212" s="12">
        <f>car_price_prediction_[[#This Row],[Mileage]]/1000</f>
        <v>91.781999999999996</v>
      </c>
      <c r="J212" s="5">
        <v>91782</v>
      </c>
      <c r="K212" s="1" t="s">
        <v>25</v>
      </c>
      <c r="L212" s="5">
        <f>car_price_prediction_[[#This Row],[Price]]/100</f>
        <v>45333.32</v>
      </c>
      <c r="M212">
        <v>4533332</v>
      </c>
      <c r="N212" s="1" t="s">
        <v>41</v>
      </c>
      <c r="O212" s="1">
        <f>IF(IFERROR(VLOOKUP(car_price_prediction_[[#This Row],[Car ID]],A213:A2712,1,FALSE),0),1,0)</f>
        <v>0</v>
      </c>
    </row>
    <row r="213" spans="1:15" x14ac:dyDescent="0.25">
      <c r="A213">
        <v>212</v>
      </c>
      <c r="B213" s="1" t="s">
        <v>24</v>
      </c>
      <c r="C213" s="1">
        <f>car_price_prediction_[[#This Row],[Year2]]</f>
        <v>2008</v>
      </c>
      <c r="D213">
        <v>2008</v>
      </c>
      <c r="E213">
        <f>car_price_prediction_[[#This Row],[Engine Size]]/10</f>
        <v>5</v>
      </c>
      <c r="F213">
        <v>50</v>
      </c>
      <c r="G213" s="1" t="s">
        <v>16</v>
      </c>
      <c r="H213" s="1" t="s">
        <v>22</v>
      </c>
      <c r="I213" s="12">
        <f>car_price_prediction_[[#This Row],[Mileage]]/1000</f>
        <v>259.89600000000002</v>
      </c>
      <c r="J213" s="5">
        <v>259896</v>
      </c>
      <c r="K213" s="1" t="s">
        <v>25</v>
      </c>
      <c r="L213" s="5">
        <f>car_price_prediction_[[#This Row],[Price]]/100</f>
        <v>84546.11</v>
      </c>
      <c r="M213">
        <v>8454611</v>
      </c>
      <c r="N213" s="1" t="s">
        <v>53</v>
      </c>
      <c r="O213" s="1">
        <f>IF(IFERROR(VLOOKUP(car_price_prediction_[[#This Row],[Car ID]],A214:A2713,1,FALSE),0),1,0)</f>
        <v>0</v>
      </c>
    </row>
    <row r="214" spans="1:15" x14ac:dyDescent="0.25">
      <c r="A214">
        <v>213</v>
      </c>
      <c r="B214" s="1" t="s">
        <v>30</v>
      </c>
      <c r="C214" s="1">
        <f>car_price_prediction_[[#This Row],[Year2]]</f>
        <v>2008</v>
      </c>
      <c r="D214">
        <v>2008</v>
      </c>
      <c r="E214">
        <f>car_price_prediction_[[#This Row],[Engine Size]]/10</f>
        <v>3.3</v>
      </c>
      <c r="F214">
        <v>33</v>
      </c>
      <c r="G214" s="1" t="s">
        <v>11</v>
      </c>
      <c r="H214" s="1" t="s">
        <v>22</v>
      </c>
      <c r="I214" s="12">
        <f>car_price_prediction_[[#This Row],[Mileage]]/1000</f>
        <v>78.343000000000004</v>
      </c>
      <c r="J214" s="5">
        <v>78343</v>
      </c>
      <c r="K214" s="1" t="s">
        <v>17</v>
      </c>
      <c r="L214" s="5">
        <f>car_price_prediction_[[#This Row],[Price]]/100</f>
        <v>88375.69</v>
      </c>
      <c r="M214">
        <v>8837569</v>
      </c>
      <c r="N214" s="1" t="s">
        <v>48</v>
      </c>
      <c r="O214" s="1">
        <f>IF(IFERROR(VLOOKUP(car_price_prediction_[[#This Row],[Car ID]],A215:A2714,1,FALSE),0),1,0)</f>
        <v>0</v>
      </c>
    </row>
    <row r="215" spans="1:15" x14ac:dyDescent="0.25">
      <c r="A215">
        <v>214</v>
      </c>
      <c r="B215" s="1" t="s">
        <v>10</v>
      </c>
      <c r="C215" s="1">
        <f>car_price_prediction_[[#This Row],[Year2]]</f>
        <v>2014</v>
      </c>
      <c r="D215">
        <v>2014</v>
      </c>
      <c r="E215">
        <f>car_price_prediction_[[#This Row],[Engine Size]]/10</f>
        <v>1.9</v>
      </c>
      <c r="F215">
        <v>19</v>
      </c>
      <c r="G215" s="1" t="s">
        <v>11</v>
      </c>
      <c r="H215" s="1" t="s">
        <v>12</v>
      </c>
      <c r="I215" s="12">
        <f>car_price_prediction_[[#This Row],[Mileage]]/1000</f>
        <v>121.399</v>
      </c>
      <c r="J215" s="5">
        <v>121399</v>
      </c>
      <c r="K215" s="1" t="s">
        <v>17</v>
      </c>
      <c r="L215" s="5">
        <f>car_price_prediction_[[#This Row],[Price]]/100</f>
        <v>3347.43</v>
      </c>
      <c r="M215">
        <v>334743</v>
      </c>
      <c r="N215" s="1" t="s">
        <v>49</v>
      </c>
      <c r="O215" s="1">
        <f>IF(IFERROR(VLOOKUP(car_price_prediction_[[#This Row],[Car ID]],A216:A2715,1,FALSE),0),1,0)</f>
        <v>0</v>
      </c>
    </row>
    <row r="216" spans="1:15" x14ac:dyDescent="0.25">
      <c r="A216">
        <v>215</v>
      </c>
      <c r="B216" s="1" t="s">
        <v>15</v>
      </c>
      <c r="C216" s="1">
        <f>car_price_prediction_[[#This Row],[Year2]]</f>
        <v>2009</v>
      </c>
      <c r="D216">
        <v>2009</v>
      </c>
      <c r="E216">
        <f>car_price_prediction_[[#This Row],[Engine Size]]/10</f>
        <v>5.3</v>
      </c>
      <c r="F216">
        <v>53</v>
      </c>
      <c r="G216" s="1" t="s">
        <v>29</v>
      </c>
      <c r="H216" s="1" t="s">
        <v>12</v>
      </c>
      <c r="I216" s="12">
        <f>car_price_prediction_[[#This Row],[Mileage]]/1000</f>
        <v>31.356999999999999</v>
      </c>
      <c r="J216" s="5">
        <v>31357</v>
      </c>
      <c r="K216" s="1" t="s">
        <v>13</v>
      </c>
      <c r="L216" s="5">
        <f>car_price_prediction_[[#This Row],[Price]]/100</f>
        <v>83227.83</v>
      </c>
      <c r="M216">
        <v>8322783</v>
      </c>
      <c r="N216" s="1" t="s">
        <v>18</v>
      </c>
      <c r="O216" s="1">
        <f>IF(IFERROR(VLOOKUP(car_price_prediction_[[#This Row],[Car ID]],A217:A2716,1,FALSE),0),1,0)</f>
        <v>0</v>
      </c>
    </row>
    <row r="217" spans="1:15" x14ac:dyDescent="0.25">
      <c r="A217">
        <v>216</v>
      </c>
      <c r="B217" s="1" t="s">
        <v>43</v>
      </c>
      <c r="C217" s="1">
        <f>car_price_prediction_[[#This Row],[Year2]]</f>
        <v>2023</v>
      </c>
      <c r="D217">
        <v>2023</v>
      </c>
      <c r="E217">
        <f>car_price_prediction_[[#This Row],[Engine Size]]/10</f>
        <v>5.4</v>
      </c>
      <c r="F217">
        <v>54</v>
      </c>
      <c r="G217" s="1" t="s">
        <v>11</v>
      </c>
      <c r="H217" s="1" t="s">
        <v>12</v>
      </c>
      <c r="I217" s="12">
        <f>car_price_prediction_[[#This Row],[Mileage]]/1000</f>
        <v>294.45800000000003</v>
      </c>
      <c r="J217" s="5">
        <v>294458</v>
      </c>
      <c r="K217" s="1" t="s">
        <v>17</v>
      </c>
      <c r="L217" s="5">
        <f>car_price_prediction_[[#This Row],[Price]]/100</f>
        <v>19655.11</v>
      </c>
      <c r="M217">
        <v>1965511</v>
      </c>
      <c r="N217" s="1" t="s">
        <v>47</v>
      </c>
      <c r="O217" s="1">
        <f>IF(IFERROR(VLOOKUP(car_price_prediction_[[#This Row],[Car ID]],A218:A2717,1,FALSE),0),1,0)</f>
        <v>0</v>
      </c>
    </row>
    <row r="218" spans="1:15" x14ac:dyDescent="0.25">
      <c r="A218">
        <v>217</v>
      </c>
      <c r="B218" s="1" t="s">
        <v>10</v>
      </c>
      <c r="C218" s="1">
        <f>car_price_prediction_[[#This Row],[Year2]]</f>
        <v>2009</v>
      </c>
      <c r="D218">
        <v>2009</v>
      </c>
      <c r="E218">
        <f>car_price_prediction_[[#This Row],[Engine Size]]/10</f>
        <v>3.3</v>
      </c>
      <c r="F218">
        <v>33</v>
      </c>
      <c r="G218" s="1" t="s">
        <v>21</v>
      </c>
      <c r="H218" s="1" t="s">
        <v>12</v>
      </c>
      <c r="I218" s="12">
        <f>car_price_prediction_[[#This Row],[Mileage]]/1000</f>
        <v>70.283000000000001</v>
      </c>
      <c r="J218" s="5">
        <v>70283</v>
      </c>
      <c r="K218" s="1" t="s">
        <v>25</v>
      </c>
      <c r="L218" s="5">
        <f>car_price_prediction_[[#This Row],[Price]]/100</f>
        <v>36748.69</v>
      </c>
      <c r="M218">
        <v>3674869</v>
      </c>
      <c r="N218" s="1" t="s">
        <v>23</v>
      </c>
      <c r="O218" s="1">
        <f>IF(IFERROR(VLOOKUP(car_price_prediction_[[#This Row],[Car ID]],A219:A2718,1,FALSE),0),1,0)</f>
        <v>0</v>
      </c>
    </row>
    <row r="219" spans="1:15" x14ac:dyDescent="0.25">
      <c r="A219">
        <v>218</v>
      </c>
      <c r="B219" s="1" t="s">
        <v>36</v>
      </c>
      <c r="C219" s="1">
        <f>car_price_prediction_[[#This Row],[Year2]]</f>
        <v>2007</v>
      </c>
      <c r="D219">
        <v>2007</v>
      </c>
      <c r="E219">
        <f>car_price_prediction_[[#This Row],[Engine Size]]/10</f>
        <v>1.4</v>
      </c>
      <c r="F219">
        <v>14</v>
      </c>
      <c r="G219" s="1" t="s">
        <v>11</v>
      </c>
      <c r="H219" s="1" t="s">
        <v>22</v>
      </c>
      <c r="I219" s="12">
        <f>car_price_prediction_[[#This Row],[Mileage]]/1000</f>
        <v>59.567</v>
      </c>
      <c r="J219" s="5">
        <v>59567</v>
      </c>
      <c r="K219" s="1" t="s">
        <v>17</v>
      </c>
      <c r="L219" s="5">
        <f>car_price_prediction_[[#This Row],[Price]]/100</f>
        <v>54206.67</v>
      </c>
      <c r="M219">
        <v>5420667</v>
      </c>
      <c r="N219" s="1" t="s">
        <v>40</v>
      </c>
      <c r="O219" s="1">
        <f>IF(IFERROR(VLOOKUP(car_price_prediction_[[#This Row],[Car ID]],A220:A2719,1,FALSE),0),1,0)</f>
        <v>0</v>
      </c>
    </row>
    <row r="220" spans="1:15" x14ac:dyDescent="0.25">
      <c r="A220">
        <v>219</v>
      </c>
      <c r="B220" s="1" t="s">
        <v>43</v>
      </c>
      <c r="C220" s="1">
        <f>car_price_prediction_[[#This Row],[Year2]]</f>
        <v>2023</v>
      </c>
      <c r="D220">
        <v>2023</v>
      </c>
      <c r="E220">
        <f>car_price_prediction_[[#This Row],[Engine Size]]/10</f>
        <v>2.9</v>
      </c>
      <c r="F220">
        <v>29</v>
      </c>
      <c r="G220" s="1" t="s">
        <v>16</v>
      </c>
      <c r="H220" s="1" t="s">
        <v>22</v>
      </c>
      <c r="I220" s="12">
        <f>car_price_prediction_[[#This Row],[Mileage]]/1000</f>
        <v>237.77799999999999</v>
      </c>
      <c r="J220" s="5">
        <v>237778</v>
      </c>
      <c r="K220" s="1" t="s">
        <v>13</v>
      </c>
      <c r="L220" s="5">
        <f>car_price_prediction_[[#This Row],[Price]]/100</f>
        <v>26512.16</v>
      </c>
      <c r="M220">
        <v>2651216</v>
      </c>
      <c r="N220" s="1" t="s">
        <v>50</v>
      </c>
      <c r="O220" s="1">
        <f>IF(IFERROR(VLOOKUP(car_price_prediction_[[#This Row],[Car ID]],A221:A2720,1,FALSE),0),1,0)</f>
        <v>0</v>
      </c>
    </row>
    <row r="221" spans="1:15" x14ac:dyDescent="0.25">
      <c r="A221">
        <v>220</v>
      </c>
      <c r="B221" s="1" t="s">
        <v>43</v>
      </c>
      <c r="C221" s="1">
        <f>car_price_prediction_[[#This Row],[Year2]]</f>
        <v>2015</v>
      </c>
      <c r="D221">
        <v>2015</v>
      </c>
      <c r="E221">
        <f>car_price_prediction_[[#This Row],[Engine Size]]/10</f>
        <v>5</v>
      </c>
      <c r="F221">
        <v>50</v>
      </c>
      <c r="G221" s="1" t="s">
        <v>16</v>
      </c>
      <c r="H221" s="1" t="s">
        <v>12</v>
      </c>
      <c r="I221" s="12">
        <f>car_price_prediction_[[#This Row],[Mileage]]/1000</f>
        <v>141.75800000000001</v>
      </c>
      <c r="J221" s="5">
        <v>141758</v>
      </c>
      <c r="K221" s="1" t="s">
        <v>25</v>
      </c>
      <c r="L221" s="5">
        <f>car_price_prediction_[[#This Row],[Price]]/100</f>
        <v>60030.44</v>
      </c>
      <c r="M221">
        <v>6003044</v>
      </c>
      <c r="N221" s="1" t="s">
        <v>50</v>
      </c>
      <c r="O221" s="1">
        <f>IF(IFERROR(VLOOKUP(car_price_prediction_[[#This Row],[Car ID]],A222:A2721,1,FALSE),0),1,0)</f>
        <v>0</v>
      </c>
    </row>
    <row r="222" spans="1:15" x14ac:dyDescent="0.25">
      <c r="A222">
        <v>221</v>
      </c>
      <c r="B222" s="1" t="s">
        <v>43</v>
      </c>
      <c r="C222" s="1">
        <f>car_price_prediction_[[#This Row],[Year2]]</f>
        <v>2016</v>
      </c>
      <c r="D222">
        <v>2016</v>
      </c>
      <c r="E222">
        <f>car_price_prediction_[[#This Row],[Engine Size]]/10</f>
        <v>5.5</v>
      </c>
      <c r="F222">
        <v>55</v>
      </c>
      <c r="G222" s="1" t="s">
        <v>21</v>
      </c>
      <c r="H222" s="1" t="s">
        <v>12</v>
      </c>
      <c r="I222" s="12">
        <f>car_price_prediction_[[#This Row],[Mileage]]/1000</f>
        <v>61.606000000000002</v>
      </c>
      <c r="J222" s="5">
        <v>61606</v>
      </c>
      <c r="K222" s="1" t="s">
        <v>17</v>
      </c>
      <c r="L222" s="5">
        <f>car_price_prediction_[[#This Row],[Price]]/100</f>
        <v>59976.03</v>
      </c>
      <c r="M222">
        <v>5997603</v>
      </c>
      <c r="N222" s="1" t="s">
        <v>52</v>
      </c>
      <c r="O222" s="1">
        <f>IF(IFERROR(VLOOKUP(car_price_prediction_[[#This Row],[Car ID]],A223:A2722,1,FALSE),0),1,0)</f>
        <v>0</v>
      </c>
    </row>
    <row r="223" spans="1:15" x14ac:dyDescent="0.25">
      <c r="A223">
        <v>222</v>
      </c>
      <c r="B223" s="1" t="s">
        <v>24</v>
      </c>
      <c r="C223" s="1">
        <f>car_price_prediction_[[#This Row],[Year2]]</f>
        <v>2004</v>
      </c>
      <c r="D223">
        <v>2004</v>
      </c>
      <c r="E223">
        <f>car_price_prediction_[[#This Row],[Engine Size]]/10</f>
        <v>2</v>
      </c>
      <c r="F223">
        <v>20</v>
      </c>
      <c r="G223" s="1" t="s">
        <v>16</v>
      </c>
      <c r="H223" s="1" t="s">
        <v>22</v>
      </c>
      <c r="I223" s="12">
        <f>car_price_prediction_[[#This Row],[Mileage]]/1000</f>
        <v>281.03500000000003</v>
      </c>
      <c r="J223" s="5">
        <v>281035</v>
      </c>
      <c r="K223" s="1" t="s">
        <v>17</v>
      </c>
      <c r="L223" s="5">
        <f>car_price_prediction_[[#This Row],[Price]]/100</f>
        <v>24655.78</v>
      </c>
      <c r="M223">
        <v>2465578</v>
      </c>
      <c r="N223" s="1" t="s">
        <v>34</v>
      </c>
      <c r="O223" s="1">
        <f>IF(IFERROR(VLOOKUP(car_price_prediction_[[#This Row],[Car ID]],A224:A2723,1,FALSE),0),1,0)</f>
        <v>0</v>
      </c>
    </row>
    <row r="224" spans="1:15" x14ac:dyDescent="0.25">
      <c r="A224">
        <v>223</v>
      </c>
      <c r="B224" s="1" t="s">
        <v>36</v>
      </c>
      <c r="C224" s="1">
        <f>car_price_prediction_[[#This Row],[Year2]]</f>
        <v>2003</v>
      </c>
      <c r="D224">
        <v>2003</v>
      </c>
      <c r="E224">
        <f>car_price_prediction_[[#This Row],[Engine Size]]/10</f>
        <v>1.3</v>
      </c>
      <c r="F224">
        <v>13</v>
      </c>
      <c r="G224" s="1" t="s">
        <v>16</v>
      </c>
      <c r="H224" s="1" t="s">
        <v>22</v>
      </c>
      <c r="I224" s="12">
        <f>car_price_prediction_[[#This Row],[Mileage]]/1000</f>
        <v>101.732</v>
      </c>
      <c r="J224" s="5">
        <v>101732</v>
      </c>
      <c r="K224" s="1" t="s">
        <v>13</v>
      </c>
      <c r="L224" s="5">
        <f>car_price_prediction_[[#This Row],[Price]]/100</f>
        <v>80585.929999999993</v>
      </c>
      <c r="M224">
        <v>8058593</v>
      </c>
      <c r="N224" s="1" t="s">
        <v>37</v>
      </c>
      <c r="O224" s="1">
        <f>IF(IFERROR(VLOOKUP(car_price_prediction_[[#This Row],[Car ID]],A225:A2724,1,FALSE),0),1,0)</f>
        <v>0</v>
      </c>
    </row>
    <row r="225" spans="1:15" x14ac:dyDescent="0.25">
      <c r="A225">
        <v>224</v>
      </c>
      <c r="B225" s="1" t="s">
        <v>43</v>
      </c>
      <c r="C225" s="1">
        <f>car_price_prediction_[[#This Row],[Year2]]</f>
        <v>2017</v>
      </c>
      <c r="D225">
        <v>2017</v>
      </c>
      <c r="E225">
        <f>car_price_prediction_[[#This Row],[Engine Size]]/10</f>
        <v>5.4</v>
      </c>
      <c r="F225">
        <v>54</v>
      </c>
      <c r="G225" s="1" t="s">
        <v>29</v>
      </c>
      <c r="H225" s="1" t="s">
        <v>22</v>
      </c>
      <c r="I225" s="12">
        <f>car_price_prediction_[[#This Row],[Mileage]]/1000</f>
        <v>191.791</v>
      </c>
      <c r="J225" s="5">
        <v>191791</v>
      </c>
      <c r="K225" s="1" t="s">
        <v>25</v>
      </c>
      <c r="L225" s="5">
        <f>car_price_prediction_[[#This Row],[Price]]/100</f>
        <v>65006.23</v>
      </c>
      <c r="M225">
        <v>6500623</v>
      </c>
      <c r="N225" s="1" t="s">
        <v>52</v>
      </c>
      <c r="O225" s="1">
        <f>IF(IFERROR(VLOOKUP(car_price_prediction_[[#This Row],[Car ID]],A226:A2725,1,FALSE),0),1,0)</f>
        <v>0</v>
      </c>
    </row>
    <row r="226" spans="1:15" x14ac:dyDescent="0.25">
      <c r="A226">
        <v>225</v>
      </c>
      <c r="B226" s="1" t="s">
        <v>15</v>
      </c>
      <c r="C226" s="1">
        <f>car_price_prediction_[[#This Row],[Year2]]</f>
        <v>2023</v>
      </c>
      <c r="D226">
        <v>2023</v>
      </c>
      <c r="E226">
        <f>car_price_prediction_[[#This Row],[Engine Size]]/10</f>
        <v>2.9</v>
      </c>
      <c r="F226">
        <v>29</v>
      </c>
      <c r="G226" s="1" t="s">
        <v>21</v>
      </c>
      <c r="H226" s="1" t="s">
        <v>22</v>
      </c>
      <c r="I226" s="12">
        <f>car_price_prediction_[[#This Row],[Mileage]]/1000</f>
        <v>292.02100000000002</v>
      </c>
      <c r="J226" s="5">
        <v>292021</v>
      </c>
      <c r="K226" s="1" t="s">
        <v>13</v>
      </c>
      <c r="L226" s="5">
        <f>car_price_prediction_[[#This Row],[Price]]/100</f>
        <v>35187.25</v>
      </c>
      <c r="M226">
        <v>3518725</v>
      </c>
      <c r="N226" s="1" t="s">
        <v>35</v>
      </c>
      <c r="O226" s="1">
        <f>IF(IFERROR(VLOOKUP(car_price_prediction_[[#This Row],[Car ID]],A227:A2726,1,FALSE),0),1,0)</f>
        <v>0</v>
      </c>
    </row>
    <row r="227" spans="1:15" x14ac:dyDescent="0.25">
      <c r="A227">
        <v>226</v>
      </c>
      <c r="B227" s="1" t="s">
        <v>19</v>
      </c>
      <c r="C227" s="1">
        <f>car_price_prediction_[[#This Row],[Year2]]</f>
        <v>2018</v>
      </c>
      <c r="D227">
        <v>2018</v>
      </c>
      <c r="E227">
        <f>car_price_prediction_[[#This Row],[Engine Size]]/10</f>
        <v>3.7</v>
      </c>
      <c r="F227">
        <v>37</v>
      </c>
      <c r="G227" s="1" t="s">
        <v>29</v>
      </c>
      <c r="H227" s="1" t="s">
        <v>22</v>
      </c>
      <c r="I227" s="12">
        <f>car_price_prediction_[[#This Row],[Mileage]]/1000</f>
        <v>249.465</v>
      </c>
      <c r="J227" s="5">
        <v>249465</v>
      </c>
      <c r="K227" s="1" t="s">
        <v>25</v>
      </c>
      <c r="L227" s="5">
        <f>car_price_prediction_[[#This Row],[Price]]/100</f>
        <v>27057.55</v>
      </c>
      <c r="M227">
        <v>2705755</v>
      </c>
      <c r="N227" s="1" t="s">
        <v>20</v>
      </c>
      <c r="O227" s="1">
        <f>IF(IFERROR(VLOOKUP(car_price_prediction_[[#This Row],[Car ID]],A228:A2727,1,FALSE),0),1,0)</f>
        <v>0</v>
      </c>
    </row>
    <row r="228" spans="1:15" x14ac:dyDescent="0.25">
      <c r="A228">
        <v>227</v>
      </c>
      <c r="B228" s="1" t="s">
        <v>43</v>
      </c>
      <c r="C228" s="1">
        <f>car_price_prediction_[[#This Row],[Year2]]</f>
        <v>2003</v>
      </c>
      <c r="D228">
        <v>2003</v>
      </c>
      <c r="E228">
        <f>car_price_prediction_[[#This Row],[Engine Size]]/10</f>
        <v>5.8</v>
      </c>
      <c r="F228">
        <v>58</v>
      </c>
      <c r="G228" s="1" t="s">
        <v>29</v>
      </c>
      <c r="H228" s="1" t="s">
        <v>12</v>
      </c>
      <c r="I228" s="12">
        <f>car_price_prediction_[[#This Row],[Mileage]]/1000</f>
        <v>224.589</v>
      </c>
      <c r="J228" s="5">
        <v>224589</v>
      </c>
      <c r="K228" s="1" t="s">
        <v>25</v>
      </c>
      <c r="L228" s="5">
        <f>car_price_prediction_[[#This Row],[Price]]/100</f>
        <v>88481.26</v>
      </c>
      <c r="M228">
        <v>8848126</v>
      </c>
      <c r="N228" s="1" t="s">
        <v>47</v>
      </c>
      <c r="O228" s="1">
        <f>IF(IFERROR(VLOOKUP(car_price_prediction_[[#This Row],[Car ID]],A229:A2728,1,FALSE),0),1,0)</f>
        <v>0</v>
      </c>
    </row>
    <row r="229" spans="1:15" x14ac:dyDescent="0.25">
      <c r="A229">
        <v>228</v>
      </c>
      <c r="B229" s="1" t="s">
        <v>24</v>
      </c>
      <c r="C229" s="1">
        <f>car_price_prediction_[[#This Row],[Year2]]</f>
        <v>2006</v>
      </c>
      <c r="D229">
        <v>2006</v>
      </c>
      <c r="E229">
        <f>car_price_prediction_[[#This Row],[Engine Size]]/10</f>
        <v>1.3</v>
      </c>
      <c r="F229">
        <v>13</v>
      </c>
      <c r="G229" s="1" t="s">
        <v>11</v>
      </c>
      <c r="H229" s="1" t="s">
        <v>12</v>
      </c>
      <c r="I229" s="12">
        <f>car_price_prediction_[[#This Row],[Mileage]]/1000</f>
        <v>14.026</v>
      </c>
      <c r="J229" s="5">
        <v>14026</v>
      </c>
      <c r="K229" s="1" t="s">
        <v>17</v>
      </c>
      <c r="L229" s="5">
        <f>car_price_prediction_[[#This Row],[Price]]/100</f>
        <v>84395.51</v>
      </c>
      <c r="M229">
        <v>8439551</v>
      </c>
      <c r="N229" s="1" t="s">
        <v>34</v>
      </c>
      <c r="O229" s="1">
        <f>IF(IFERROR(VLOOKUP(car_price_prediction_[[#This Row],[Car ID]],A230:A2729,1,FALSE),0),1,0)</f>
        <v>0</v>
      </c>
    </row>
    <row r="230" spans="1:15" x14ac:dyDescent="0.25">
      <c r="A230">
        <v>229</v>
      </c>
      <c r="B230" s="1" t="s">
        <v>10</v>
      </c>
      <c r="C230" s="1">
        <f>car_price_prediction_[[#This Row],[Year2]]</f>
        <v>2009</v>
      </c>
      <c r="D230">
        <v>2009</v>
      </c>
      <c r="E230">
        <f>car_price_prediction_[[#This Row],[Engine Size]]/10</f>
        <v>4.2</v>
      </c>
      <c r="F230">
        <v>42</v>
      </c>
      <c r="G230" s="1" t="s">
        <v>21</v>
      </c>
      <c r="H230" s="1" t="s">
        <v>22</v>
      </c>
      <c r="I230" s="12">
        <f>car_price_prediction_[[#This Row],[Mileage]]/1000</f>
        <v>282.56599999999997</v>
      </c>
      <c r="J230" s="5">
        <v>282566</v>
      </c>
      <c r="K230" s="1" t="s">
        <v>13</v>
      </c>
      <c r="L230" s="5">
        <f>car_price_prediction_[[#This Row],[Price]]/100</f>
        <v>26827.26</v>
      </c>
      <c r="M230">
        <v>2682726</v>
      </c>
      <c r="N230" s="1" t="s">
        <v>23</v>
      </c>
      <c r="O230" s="1">
        <f>IF(IFERROR(VLOOKUP(car_price_prediction_[[#This Row],[Car ID]],A231:A2730,1,FALSE),0),1,0)</f>
        <v>0</v>
      </c>
    </row>
    <row r="231" spans="1:15" x14ac:dyDescent="0.25">
      <c r="A231">
        <v>230</v>
      </c>
      <c r="B231" s="1" t="s">
        <v>36</v>
      </c>
      <c r="C231" s="1">
        <f>car_price_prediction_[[#This Row],[Year2]]</f>
        <v>2017</v>
      </c>
      <c r="D231">
        <v>2017</v>
      </c>
      <c r="E231">
        <f>car_price_prediction_[[#This Row],[Engine Size]]/10</f>
        <v>1.4</v>
      </c>
      <c r="F231">
        <v>14</v>
      </c>
      <c r="G231" s="1" t="s">
        <v>11</v>
      </c>
      <c r="H231" s="1" t="s">
        <v>22</v>
      </c>
      <c r="I231" s="12">
        <f>car_price_prediction_[[#This Row],[Mileage]]/1000</f>
        <v>295.625</v>
      </c>
      <c r="J231" s="5">
        <v>295625</v>
      </c>
      <c r="K231" s="1" t="s">
        <v>13</v>
      </c>
      <c r="L231" s="5">
        <f>car_price_prediction_[[#This Row],[Price]]/100</f>
        <v>838.25</v>
      </c>
      <c r="M231">
        <v>83825</v>
      </c>
      <c r="N231" s="1" t="s">
        <v>46</v>
      </c>
      <c r="O231" s="1">
        <f>IF(IFERROR(VLOOKUP(car_price_prediction_[[#This Row],[Car ID]],A232:A2731,1,FALSE),0),1,0)</f>
        <v>0</v>
      </c>
    </row>
    <row r="232" spans="1:15" x14ac:dyDescent="0.25">
      <c r="A232">
        <v>231</v>
      </c>
      <c r="B232" s="1" t="s">
        <v>24</v>
      </c>
      <c r="C232" s="1">
        <f>car_price_prediction_[[#This Row],[Year2]]</f>
        <v>2018</v>
      </c>
      <c r="D232">
        <v>2018</v>
      </c>
      <c r="E232">
        <f>car_price_prediction_[[#This Row],[Engine Size]]/10</f>
        <v>2.9</v>
      </c>
      <c r="F232">
        <v>29</v>
      </c>
      <c r="G232" s="1" t="s">
        <v>11</v>
      </c>
      <c r="H232" s="1" t="s">
        <v>12</v>
      </c>
      <c r="I232" s="12">
        <f>car_price_prediction_[[#This Row],[Mileage]]/1000</f>
        <v>109.384</v>
      </c>
      <c r="J232" s="5">
        <v>109384</v>
      </c>
      <c r="K232" s="1" t="s">
        <v>13</v>
      </c>
      <c r="L232" s="5">
        <f>car_price_prediction_[[#This Row],[Price]]/100</f>
        <v>8143.06</v>
      </c>
      <c r="M232">
        <v>814306</v>
      </c>
      <c r="N232" s="1" t="s">
        <v>32</v>
      </c>
      <c r="O232" s="1">
        <f>IF(IFERROR(VLOOKUP(car_price_prediction_[[#This Row],[Car ID]],A233:A2732,1,FALSE),0),1,0)</f>
        <v>0</v>
      </c>
    </row>
    <row r="233" spans="1:15" x14ac:dyDescent="0.25">
      <c r="A233">
        <v>232</v>
      </c>
      <c r="B233" s="1" t="s">
        <v>43</v>
      </c>
      <c r="C233" s="1">
        <f>car_price_prediction_[[#This Row],[Year2]]</f>
        <v>2003</v>
      </c>
      <c r="D233">
        <v>2003</v>
      </c>
      <c r="E233">
        <f>car_price_prediction_[[#This Row],[Engine Size]]/10</f>
        <v>5</v>
      </c>
      <c r="F233">
        <v>50</v>
      </c>
      <c r="G233" s="1" t="s">
        <v>29</v>
      </c>
      <c r="H233" s="1" t="s">
        <v>22</v>
      </c>
      <c r="I233" s="12">
        <f>car_price_prediction_[[#This Row],[Mileage]]/1000</f>
        <v>252.77099999999999</v>
      </c>
      <c r="J233" s="5">
        <v>252771</v>
      </c>
      <c r="K233" s="1" t="s">
        <v>25</v>
      </c>
      <c r="L233" s="5">
        <f>car_price_prediction_[[#This Row],[Price]]/100</f>
        <v>63473.31</v>
      </c>
      <c r="M233">
        <v>6347331</v>
      </c>
      <c r="N233" s="1" t="s">
        <v>47</v>
      </c>
      <c r="O233" s="1">
        <f>IF(IFERROR(VLOOKUP(car_price_prediction_[[#This Row],[Car ID]],A234:A2733,1,FALSE),0),1,0)</f>
        <v>0</v>
      </c>
    </row>
    <row r="234" spans="1:15" x14ac:dyDescent="0.25">
      <c r="A234">
        <v>233</v>
      </c>
      <c r="B234" s="1" t="s">
        <v>36</v>
      </c>
      <c r="C234" s="1">
        <f>car_price_prediction_[[#This Row],[Year2]]</f>
        <v>2009</v>
      </c>
      <c r="D234">
        <v>2009</v>
      </c>
      <c r="E234">
        <f>car_price_prediction_[[#This Row],[Engine Size]]/10</f>
        <v>3.2</v>
      </c>
      <c r="F234">
        <v>32</v>
      </c>
      <c r="G234" s="1" t="s">
        <v>16</v>
      </c>
      <c r="H234" s="1" t="s">
        <v>12</v>
      </c>
      <c r="I234" s="12">
        <f>car_price_prediction_[[#This Row],[Mileage]]/1000</f>
        <v>58.030999999999999</v>
      </c>
      <c r="J234" s="5">
        <v>58031</v>
      </c>
      <c r="K234" s="1" t="s">
        <v>13</v>
      </c>
      <c r="L234" s="5">
        <f>car_price_prediction_[[#This Row],[Price]]/100</f>
        <v>14583.79</v>
      </c>
      <c r="M234">
        <v>1458379</v>
      </c>
      <c r="N234" s="1" t="s">
        <v>40</v>
      </c>
      <c r="O234" s="1">
        <f>IF(IFERROR(VLOOKUP(car_price_prediction_[[#This Row],[Car ID]],A235:A2734,1,FALSE),0),1,0)</f>
        <v>0</v>
      </c>
    </row>
    <row r="235" spans="1:15" x14ac:dyDescent="0.25">
      <c r="A235">
        <v>234</v>
      </c>
      <c r="B235" s="1" t="s">
        <v>19</v>
      </c>
      <c r="C235" s="1">
        <f>car_price_prediction_[[#This Row],[Year2]]</f>
        <v>2000</v>
      </c>
      <c r="D235">
        <v>2000</v>
      </c>
      <c r="E235">
        <f>car_price_prediction_[[#This Row],[Engine Size]]/10</f>
        <v>6</v>
      </c>
      <c r="F235">
        <v>60</v>
      </c>
      <c r="G235" s="1" t="s">
        <v>21</v>
      </c>
      <c r="H235" s="1" t="s">
        <v>12</v>
      </c>
      <c r="I235" s="12">
        <f>car_price_prediction_[[#This Row],[Mileage]]/1000</f>
        <v>68.231999999999999</v>
      </c>
      <c r="J235" s="5">
        <v>68232</v>
      </c>
      <c r="K235" s="1" t="s">
        <v>25</v>
      </c>
      <c r="L235" s="5">
        <f>car_price_prediction_[[#This Row],[Price]]/100</f>
        <v>60799.03</v>
      </c>
      <c r="M235">
        <v>6079903</v>
      </c>
      <c r="N235" s="1" t="s">
        <v>38</v>
      </c>
      <c r="O235" s="1">
        <f>IF(IFERROR(VLOOKUP(car_price_prediction_[[#This Row],[Car ID]],A236:A2735,1,FALSE),0),1,0)</f>
        <v>0</v>
      </c>
    </row>
    <row r="236" spans="1:15" x14ac:dyDescent="0.25">
      <c r="A236">
        <v>235</v>
      </c>
      <c r="B236" s="1" t="s">
        <v>43</v>
      </c>
      <c r="C236" s="1">
        <f>car_price_prediction_[[#This Row],[Year2]]</f>
        <v>2022</v>
      </c>
      <c r="D236">
        <v>2022</v>
      </c>
      <c r="E236">
        <f>car_price_prediction_[[#This Row],[Engine Size]]/10</f>
        <v>3.8</v>
      </c>
      <c r="F236">
        <v>38</v>
      </c>
      <c r="G236" s="1" t="s">
        <v>16</v>
      </c>
      <c r="H236" s="1" t="s">
        <v>12</v>
      </c>
      <c r="I236" s="12">
        <f>car_price_prediction_[[#This Row],[Mileage]]/1000</f>
        <v>143.084</v>
      </c>
      <c r="J236" s="5">
        <v>143084</v>
      </c>
      <c r="K236" s="1" t="s">
        <v>13</v>
      </c>
      <c r="L236" s="5">
        <f>car_price_prediction_[[#This Row],[Price]]/100</f>
        <v>47957.36</v>
      </c>
      <c r="M236">
        <v>4795736</v>
      </c>
      <c r="N236" s="1" t="s">
        <v>44</v>
      </c>
      <c r="O236" s="1">
        <f>IF(IFERROR(VLOOKUP(car_price_prediction_[[#This Row],[Car ID]],A237:A2736,1,FALSE),0),1,0)</f>
        <v>0</v>
      </c>
    </row>
    <row r="237" spans="1:15" x14ac:dyDescent="0.25">
      <c r="A237">
        <v>236</v>
      </c>
      <c r="B237" s="1" t="s">
        <v>24</v>
      </c>
      <c r="C237" s="1">
        <f>car_price_prediction_[[#This Row],[Year2]]</f>
        <v>2017</v>
      </c>
      <c r="D237">
        <v>2017</v>
      </c>
      <c r="E237">
        <f>car_price_prediction_[[#This Row],[Engine Size]]/10</f>
        <v>2.6</v>
      </c>
      <c r="F237">
        <v>26</v>
      </c>
      <c r="G237" s="1" t="s">
        <v>29</v>
      </c>
      <c r="H237" s="1" t="s">
        <v>12</v>
      </c>
      <c r="I237" s="12">
        <f>car_price_prediction_[[#This Row],[Mileage]]/1000</f>
        <v>236.50299999999999</v>
      </c>
      <c r="J237" s="5">
        <v>236503</v>
      </c>
      <c r="K237" s="1" t="s">
        <v>13</v>
      </c>
      <c r="L237" s="5">
        <f>car_price_prediction_[[#This Row],[Price]]/100</f>
        <v>78582.28</v>
      </c>
      <c r="M237">
        <v>7858228</v>
      </c>
      <c r="N237" s="1" t="s">
        <v>53</v>
      </c>
      <c r="O237" s="1">
        <f>IF(IFERROR(VLOOKUP(car_price_prediction_[[#This Row],[Car ID]],A238:A2737,1,FALSE),0),1,0)</f>
        <v>0</v>
      </c>
    </row>
    <row r="238" spans="1:15" x14ac:dyDescent="0.25">
      <c r="A238">
        <v>237</v>
      </c>
      <c r="B238" s="1" t="s">
        <v>30</v>
      </c>
      <c r="C238" s="1">
        <f>car_price_prediction_[[#This Row],[Year2]]</f>
        <v>2004</v>
      </c>
      <c r="D238">
        <v>2004</v>
      </c>
      <c r="E238">
        <f>car_price_prediction_[[#This Row],[Engine Size]]/10</f>
        <v>2.1</v>
      </c>
      <c r="F238">
        <v>21</v>
      </c>
      <c r="G238" s="1" t="s">
        <v>29</v>
      </c>
      <c r="H238" s="1" t="s">
        <v>22</v>
      </c>
      <c r="I238" s="12">
        <f>car_price_prediction_[[#This Row],[Mileage]]/1000</f>
        <v>292.10399999999998</v>
      </c>
      <c r="J238" s="5">
        <v>292104</v>
      </c>
      <c r="K238" s="1" t="s">
        <v>17</v>
      </c>
      <c r="L238" s="5">
        <f>car_price_prediction_[[#This Row],[Price]]/100</f>
        <v>24863.06</v>
      </c>
      <c r="M238">
        <v>2486306</v>
      </c>
      <c r="N238" s="1" t="s">
        <v>48</v>
      </c>
      <c r="O238" s="1">
        <f>IF(IFERROR(VLOOKUP(car_price_prediction_[[#This Row],[Car ID]],A239:A2738,1,FALSE),0),1,0)</f>
        <v>0</v>
      </c>
    </row>
    <row r="239" spans="1:15" x14ac:dyDescent="0.25">
      <c r="A239">
        <v>238</v>
      </c>
      <c r="B239" s="1" t="s">
        <v>15</v>
      </c>
      <c r="C239" s="1">
        <f>car_price_prediction_[[#This Row],[Year2]]</f>
        <v>2014</v>
      </c>
      <c r="D239">
        <v>2014</v>
      </c>
      <c r="E239">
        <f>car_price_prediction_[[#This Row],[Engine Size]]/10</f>
        <v>2.8</v>
      </c>
      <c r="F239">
        <v>28</v>
      </c>
      <c r="G239" s="1" t="s">
        <v>29</v>
      </c>
      <c r="H239" s="1" t="s">
        <v>22</v>
      </c>
      <c r="I239" s="12">
        <f>car_price_prediction_[[#This Row],[Mileage]]/1000</f>
        <v>87.694999999999993</v>
      </c>
      <c r="J239" s="5">
        <v>87695</v>
      </c>
      <c r="K239" s="1" t="s">
        <v>13</v>
      </c>
      <c r="L239" s="5">
        <f>car_price_prediction_[[#This Row],[Price]]/100</f>
        <v>48049.89</v>
      </c>
      <c r="M239">
        <v>4804989</v>
      </c>
      <c r="N239" s="1" t="s">
        <v>35</v>
      </c>
      <c r="O239" s="1">
        <f>IF(IFERROR(VLOOKUP(car_price_prediction_[[#This Row],[Car ID]],A240:A2739,1,FALSE),0),1,0)</f>
        <v>0</v>
      </c>
    </row>
    <row r="240" spans="1:15" x14ac:dyDescent="0.25">
      <c r="A240">
        <v>239</v>
      </c>
      <c r="B240" s="1" t="s">
        <v>10</v>
      </c>
      <c r="C240" s="1">
        <f>car_price_prediction_[[#This Row],[Year2]]</f>
        <v>2016</v>
      </c>
      <c r="D240">
        <v>2016</v>
      </c>
      <c r="E240">
        <f>car_price_prediction_[[#This Row],[Engine Size]]/10</f>
        <v>2.9</v>
      </c>
      <c r="F240">
        <v>29</v>
      </c>
      <c r="G240" s="1" t="s">
        <v>29</v>
      </c>
      <c r="H240" s="1" t="s">
        <v>12</v>
      </c>
      <c r="I240" s="12">
        <f>car_price_prediction_[[#This Row],[Mileage]]/1000</f>
        <v>130.066</v>
      </c>
      <c r="J240" s="5">
        <v>130066</v>
      </c>
      <c r="K240" s="1" t="s">
        <v>17</v>
      </c>
      <c r="L240" s="5">
        <f>car_price_prediction_[[#This Row],[Price]]/100</f>
        <v>19843.189999999999</v>
      </c>
      <c r="M240">
        <v>1984319</v>
      </c>
      <c r="N240" s="1" t="s">
        <v>14</v>
      </c>
      <c r="O240" s="1">
        <f>IF(IFERROR(VLOOKUP(car_price_prediction_[[#This Row],[Car ID]],A241:A2740,1,FALSE),0),1,0)</f>
        <v>0</v>
      </c>
    </row>
    <row r="241" spans="1:15" x14ac:dyDescent="0.25">
      <c r="A241">
        <v>240</v>
      </c>
      <c r="B241" s="1" t="s">
        <v>24</v>
      </c>
      <c r="C241" s="1">
        <f>car_price_prediction_[[#This Row],[Year2]]</f>
        <v>2002</v>
      </c>
      <c r="D241">
        <v>2002</v>
      </c>
      <c r="E241">
        <f>car_price_prediction_[[#This Row],[Engine Size]]/10</f>
        <v>1.3</v>
      </c>
      <c r="F241">
        <v>13</v>
      </c>
      <c r="G241" s="1" t="s">
        <v>29</v>
      </c>
      <c r="H241" s="1" t="s">
        <v>22</v>
      </c>
      <c r="I241" s="12">
        <f>car_price_prediction_[[#This Row],[Mileage]]/1000</f>
        <v>138.982</v>
      </c>
      <c r="J241" s="5">
        <v>138982</v>
      </c>
      <c r="K241" s="1" t="s">
        <v>17</v>
      </c>
      <c r="L241" s="5">
        <f>car_price_prediction_[[#This Row],[Price]]/100</f>
        <v>95965.09</v>
      </c>
      <c r="M241">
        <v>9596509</v>
      </c>
      <c r="N241" s="1" t="s">
        <v>34</v>
      </c>
      <c r="O241" s="1">
        <f>IF(IFERROR(VLOOKUP(car_price_prediction_[[#This Row],[Car ID]],A242:A2741,1,FALSE),0),1,0)</f>
        <v>0</v>
      </c>
    </row>
    <row r="242" spans="1:15" x14ac:dyDescent="0.25">
      <c r="A242">
        <v>241</v>
      </c>
      <c r="B242" s="1" t="s">
        <v>36</v>
      </c>
      <c r="C242" s="1">
        <f>car_price_prediction_[[#This Row],[Year2]]</f>
        <v>2011</v>
      </c>
      <c r="D242">
        <v>2011</v>
      </c>
      <c r="E242">
        <f>car_price_prediction_[[#This Row],[Engine Size]]/10</f>
        <v>2.8</v>
      </c>
      <c r="F242">
        <v>28</v>
      </c>
      <c r="G242" s="1" t="s">
        <v>29</v>
      </c>
      <c r="H242" s="1" t="s">
        <v>22</v>
      </c>
      <c r="I242" s="12">
        <f>car_price_prediction_[[#This Row],[Mileage]]/1000</f>
        <v>264.83699999999999</v>
      </c>
      <c r="J242" s="5">
        <v>264837</v>
      </c>
      <c r="K242" s="1" t="s">
        <v>25</v>
      </c>
      <c r="L242" s="5">
        <f>car_price_prediction_[[#This Row],[Price]]/100</f>
        <v>78980.12</v>
      </c>
      <c r="M242">
        <v>7898012</v>
      </c>
      <c r="N242" s="1" t="s">
        <v>37</v>
      </c>
      <c r="O242" s="1">
        <f>IF(IFERROR(VLOOKUP(car_price_prediction_[[#This Row],[Car ID]],A243:A2742,1,FALSE),0),1,0)</f>
        <v>0</v>
      </c>
    </row>
    <row r="243" spans="1:15" x14ac:dyDescent="0.25">
      <c r="A243">
        <v>242</v>
      </c>
      <c r="B243" s="1" t="s">
        <v>43</v>
      </c>
      <c r="C243" s="1">
        <f>car_price_prediction_[[#This Row],[Year2]]</f>
        <v>2001</v>
      </c>
      <c r="D243">
        <v>2001</v>
      </c>
      <c r="E243">
        <f>car_price_prediction_[[#This Row],[Engine Size]]/10</f>
        <v>3.3</v>
      </c>
      <c r="F243">
        <v>33</v>
      </c>
      <c r="G243" s="1" t="s">
        <v>16</v>
      </c>
      <c r="H243" s="1" t="s">
        <v>22</v>
      </c>
      <c r="I243" s="12">
        <f>car_price_prediction_[[#This Row],[Mileage]]/1000</f>
        <v>115.313</v>
      </c>
      <c r="J243" s="5">
        <v>115313</v>
      </c>
      <c r="K243" s="1" t="s">
        <v>13</v>
      </c>
      <c r="L243" s="5">
        <f>car_price_prediction_[[#This Row],[Price]]/100</f>
        <v>74988.63</v>
      </c>
      <c r="M243">
        <v>7498863</v>
      </c>
      <c r="N243" s="1" t="s">
        <v>47</v>
      </c>
      <c r="O243" s="1">
        <f>IF(IFERROR(VLOOKUP(car_price_prediction_[[#This Row],[Car ID]],A244:A2743,1,FALSE),0),1,0)</f>
        <v>0</v>
      </c>
    </row>
    <row r="244" spans="1:15" x14ac:dyDescent="0.25">
      <c r="A244">
        <v>243</v>
      </c>
      <c r="B244" s="1" t="s">
        <v>15</v>
      </c>
      <c r="C244" s="1">
        <f>car_price_prediction_[[#This Row],[Year2]]</f>
        <v>2000</v>
      </c>
      <c r="D244">
        <v>2000</v>
      </c>
      <c r="E244">
        <f>car_price_prediction_[[#This Row],[Engine Size]]/10</f>
        <v>4.5999999999999996</v>
      </c>
      <c r="F244">
        <v>46</v>
      </c>
      <c r="G244" s="1" t="s">
        <v>11</v>
      </c>
      <c r="H244" s="1" t="s">
        <v>22</v>
      </c>
      <c r="I244" s="12">
        <f>car_price_prediction_[[#This Row],[Mileage]]/1000</f>
        <v>28.81</v>
      </c>
      <c r="J244" s="5">
        <v>28810</v>
      </c>
      <c r="K244" s="1" t="s">
        <v>13</v>
      </c>
      <c r="L244" s="5">
        <f>car_price_prediction_[[#This Row],[Price]]/100</f>
        <v>70569.63</v>
      </c>
      <c r="M244">
        <v>7056963</v>
      </c>
      <c r="N244" s="1" t="s">
        <v>51</v>
      </c>
      <c r="O244" s="1">
        <f>IF(IFERROR(VLOOKUP(car_price_prediction_[[#This Row],[Car ID]],A245:A2744,1,FALSE),0),1,0)</f>
        <v>0</v>
      </c>
    </row>
    <row r="245" spans="1:15" x14ac:dyDescent="0.25">
      <c r="A245">
        <v>244</v>
      </c>
      <c r="B245" s="1" t="s">
        <v>43</v>
      </c>
      <c r="C245" s="1">
        <f>car_price_prediction_[[#This Row],[Year2]]</f>
        <v>2022</v>
      </c>
      <c r="D245">
        <v>2022</v>
      </c>
      <c r="E245">
        <f>car_price_prediction_[[#This Row],[Engine Size]]/10</f>
        <v>4.3</v>
      </c>
      <c r="F245">
        <v>43</v>
      </c>
      <c r="G245" s="1" t="s">
        <v>16</v>
      </c>
      <c r="H245" s="1" t="s">
        <v>12</v>
      </c>
      <c r="I245" s="12">
        <f>car_price_prediction_[[#This Row],[Mileage]]/1000</f>
        <v>20.091999999999999</v>
      </c>
      <c r="J245" s="5">
        <v>20092</v>
      </c>
      <c r="K245" s="1" t="s">
        <v>13</v>
      </c>
      <c r="L245" s="5">
        <f>car_price_prediction_[[#This Row],[Price]]/100</f>
        <v>45216.959999999999</v>
      </c>
      <c r="M245">
        <v>4521696</v>
      </c>
      <c r="N245" s="1" t="s">
        <v>50</v>
      </c>
      <c r="O245" s="1">
        <f>IF(IFERROR(VLOOKUP(car_price_prediction_[[#This Row],[Car ID]],A246:A2745,1,FALSE),0),1,0)</f>
        <v>0</v>
      </c>
    </row>
    <row r="246" spans="1:15" x14ac:dyDescent="0.25">
      <c r="A246">
        <v>245</v>
      </c>
      <c r="B246" s="1" t="s">
        <v>36</v>
      </c>
      <c r="C246" s="1">
        <f>car_price_prediction_[[#This Row],[Year2]]</f>
        <v>2020</v>
      </c>
      <c r="D246">
        <v>2020</v>
      </c>
      <c r="E246">
        <f>car_price_prediction_[[#This Row],[Engine Size]]/10</f>
        <v>4.5</v>
      </c>
      <c r="F246">
        <v>45</v>
      </c>
      <c r="G246" s="1" t="s">
        <v>21</v>
      </c>
      <c r="H246" s="1" t="s">
        <v>22</v>
      </c>
      <c r="I246" s="12">
        <f>car_price_prediction_[[#This Row],[Mileage]]/1000</f>
        <v>58.104999999999997</v>
      </c>
      <c r="J246" s="5">
        <v>58105</v>
      </c>
      <c r="K246" s="1" t="s">
        <v>17</v>
      </c>
      <c r="L246" s="5">
        <f>car_price_prediction_[[#This Row],[Price]]/100</f>
        <v>92711.83</v>
      </c>
      <c r="M246">
        <v>9271183</v>
      </c>
      <c r="N246" s="1" t="s">
        <v>40</v>
      </c>
      <c r="O246" s="1">
        <f>IF(IFERROR(VLOOKUP(car_price_prediction_[[#This Row],[Car ID]],A247:A2746,1,FALSE),0),1,0)</f>
        <v>0</v>
      </c>
    </row>
    <row r="247" spans="1:15" x14ac:dyDescent="0.25">
      <c r="A247">
        <v>246</v>
      </c>
      <c r="B247" s="1" t="s">
        <v>43</v>
      </c>
      <c r="C247" s="1">
        <f>car_price_prediction_[[#This Row],[Year2]]</f>
        <v>2016</v>
      </c>
      <c r="D247">
        <v>2016</v>
      </c>
      <c r="E247">
        <f>car_price_prediction_[[#This Row],[Engine Size]]/10</f>
        <v>1</v>
      </c>
      <c r="F247">
        <v>10</v>
      </c>
      <c r="G247" s="1" t="s">
        <v>16</v>
      </c>
      <c r="H247" s="1" t="s">
        <v>12</v>
      </c>
      <c r="I247" s="12">
        <f>car_price_prediction_[[#This Row],[Mileage]]/1000</f>
        <v>161.577</v>
      </c>
      <c r="J247" s="5">
        <v>161577</v>
      </c>
      <c r="K247" s="1" t="s">
        <v>13</v>
      </c>
      <c r="L247" s="5">
        <f>car_price_prediction_[[#This Row],[Price]]/100</f>
        <v>11927.12</v>
      </c>
      <c r="M247">
        <v>1192712</v>
      </c>
      <c r="N247" s="1" t="s">
        <v>52</v>
      </c>
      <c r="O247" s="1">
        <f>IF(IFERROR(VLOOKUP(car_price_prediction_[[#This Row],[Car ID]],A248:A2747,1,FALSE),0),1,0)</f>
        <v>0</v>
      </c>
    </row>
    <row r="248" spans="1:15" x14ac:dyDescent="0.25">
      <c r="A248">
        <v>247</v>
      </c>
      <c r="B248" s="1" t="s">
        <v>30</v>
      </c>
      <c r="C248" s="1">
        <f>car_price_prediction_[[#This Row],[Year2]]</f>
        <v>2021</v>
      </c>
      <c r="D248">
        <v>2021</v>
      </c>
      <c r="E248">
        <f>car_price_prediction_[[#This Row],[Engine Size]]/10</f>
        <v>2.1</v>
      </c>
      <c r="F248">
        <v>21</v>
      </c>
      <c r="G248" s="1" t="s">
        <v>29</v>
      </c>
      <c r="H248" s="1" t="s">
        <v>12</v>
      </c>
      <c r="I248" s="12">
        <f>car_price_prediction_[[#This Row],[Mileage]]/1000</f>
        <v>204.3</v>
      </c>
      <c r="J248" s="5">
        <v>204300</v>
      </c>
      <c r="K248" s="1" t="s">
        <v>25</v>
      </c>
      <c r="L248" s="5">
        <f>car_price_prediction_[[#This Row],[Price]]/100</f>
        <v>81309.61</v>
      </c>
      <c r="M248">
        <v>8130961</v>
      </c>
      <c r="N248" s="1" t="s">
        <v>31</v>
      </c>
      <c r="O248" s="1">
        <f>IF(IFERROR(VLOOKUP(car_price_prediction_[[#This Row],[Car ID]],A249:A2748,1,FALSE),0),1,0)</f>
        <v>0</v>
      </c>
    </row>
    <row r="249" spans="1:15" x14ac:dyDescent="0.25">
      <c r="A249">
        <v>248</v>
      </c>
      <c r="B249" s="1" t="s">
        <v>15</v>
      </c>
      <c r="C249" s="1">
        <f>car_price_prediction_[[#This Row],[Year2]]</f>
        <v>2015</v>
      </c>
      <c r="D249">
        <v>2015</v>
      </c>
      <c r="E249">
        <f>car_price_prediction_[[#This Row],[Engine Size]]/10</f>
        <v>4.3</v>
      </c>
      <c r="F249">
        <v>43</v>
      </c>
      <c r="G249" s="1" t="s">
        <v>16</v>
      </c>
      <c r="H249" s="1" t="s">
        <v>22</v>
      </c>
      <c r="I249" s="12">
        <f>car_price_prediction_[[#This Row],[Mileage]]/1000</f>
        <v>290.69900000000001</v>
      </c>
      <c r="J249" s="5">
        <v>290699</v>
      </c>
      <c r="K249" s="1" t="s">
        <v>25</v>
      </c>
      <c r="L249" s="5">
        <f>car_price_prediction_[[#This Row],[Price]]/100</f>
        <v>25447.11</v>
      </c>
      <c r="M249">
        <v>2544711</v>
      </c>
      <c r="N249" s="1" t="s">
        <v>51</v>
      </c>
      <c r="O249" s="1">
        <f>IF(IFERROR(VLOOKUP(car_price_prediction_[[#This Row],[Car ID]],A250:A2749,1,FALSE),0),1,0)</f>
        <v>0</v>
      </c>
    </row>
    <row r="250" spans="1:15" x14ac:dyDescent="0.25">
      <c r="A250">
        <v>249</v>
      </c>
      <c r="B250" s="1" t="s">
        <v>15</v>
      </c>
      <c r="C250" s="1">
        <f>car_price_prediction_[[#This Row],[Year2]]</f>
        <v>2004</v>
      </c>
      <c r="D250">
        <v>2004</v>
      </c>
      <c r="E250">
        <f>car_price_prediction_[[#This Row],[Engine Size]]/10</f>
        <v>3.4</v>
      </c>
      <c r="F250">
        <v>34</v>
      </c>
      <c r="G250" s="1" t="s">
        <v>11</v>
      </c>
      <c r="H250" s="1" t="s">
        <v>12</v>
      </c>
      <c r="I250" s="12">
        <f>car_price_prediction_[[#This Row],[Mileage]]/1000</f>
        <v>71.933999999999997</v>
      </c>
      <c r="J250" s="5">
        <v>71934</v>
      </c>
      <c r="K250" s="1" t="s">
        <v>13</v>
      </c>
      <c r="L250" s="5">
        <f>car_price_prediction_[[#This Row],[Price]]/100</f>
        <v>35782.660000000003</v>
      </c>
      <c r="M250">
        <v>3578266</v>
      </c>
      <c r="N250" s="1" t="s">
        <v>35</v>
      </c>
      <c r="O250" s="1">
        <f>IF(IFERROR(VLOOKUP(car_price_prediction_[[#This Row],[Car ID]],A251:A2750,1,FALSE),0),1,0)</f>
        <v>0</v>
      </c>
    </row>
    <row r="251" spans="1:15" x14ac:dyDescent="0.25">
      <c r="A251">
        <v>250</v>
      </c>
      <c r="B251" s="1" t="s">
        <v>36</v>
      </c>
      <c r="C251" s="1">
        <f>car_price_prediction_[[#This Row],[Year2]]</f>
        <v>2014</v>
      </c>
      <c r="D251">
        <v>2014</v>
      </c>
      <c r="E251">
        <f>car_price_prediction_[[#This Row],[Engine Size]]/10</f>
        <v>1</v>
      </c>
      <c r="F251">
        <v>10</v>
      </c>
      <c r="G251" s="1" t="s">
        <v>21</v>
      </c>
      <c r="H251" s="1" t="s">
        <v>22</v>
      </c>
      <c r="I251" s="12">
        <f>car_price_prediction_[[#This Row],[Mileage]]/1000</f>
        <v>72.787999999999997</v>
      </c>
      <c r="J251" s="5">
        <v>72788</v>
      </c>
      <c r="K251" s="1" t="s">
        <v>17</v>
      </c>
      <c r="L251" s="5">
        <f>car_price_prediction_[[#This Row],[Price]]/100</f>
        <v>54345.82</v>
      </c>
      <c r="M251">
        <v>5434582</v>
      </c>
      <c r="N251" s="1" t="s">
        <v>37</v>
      </c>
      <c r="O251" s="1">
        <f>IF(IFERROR(VLOOKUP(car_price_prediction_[[#This Row],[Car ID]],A252:A2751,1,FALSE),0),1,0)</f>
        <v>0</v>
      </c>
    </row>
    <row r="252" spans="1:15" x14ac:dyDescent="0.25">
      <c r="A252">
        <v>251</v>
      </c>
      <c r="B252" s="1" t="s">
        <v>10</v>
      </c>
      <c r="C252" s="1">
        <f>car_price_prediction_[[#This Row],[Year2]]</f>
        <v>2002</v>
      </c>
      <c r="D252">
        <v>2002</v>
      </c>
      <c r="E252">
        <f>car_price_prediction_[[#This Row],[Engine Size]]/10</f>
        <v>5</v>
      </c>
      <c r="F252">
        <v>50</v>
      </c>
      <c r="G252" s="1" t="s">
        <v>16</v>
      </c>
      <c r="H252" s="1" t="s">
        <v>22</v>
      </c>
      <c r="I252" s="12">
        <f>car_price_prediction_[[#This Row],[Mileage]]/1000</f>
        <v>280.08300000000003</v>
      </c>
      <c r="J252" s="5">
        <v>280083</v>
      </c>
      <c r="K252" s="1" t="s">
        <v>25</v>
      </c>
      <c r="L252" s="5">
        <f>car_price_prediction_[[#This Row],[Price]]/100</f>
        <v>79352.23</v>
      </c>
      <c r="M252">
        <v>7935223</v>
      </c>
      <c r="N252" s="1" t="s">
        <v>49</v>
      </c>
      <c r="O252" s="1">
        <f>IF(IFERROR(VLOOKUP(car_price_prediction_[[#This Row],[Car ID]],A253:A2752,1,FALSE),0),1,0)</f>
        <v>0</v>
      </c>
    </row>
    <row r="253" spans="1:15" x14ac:dyDescent="0.25">
      <c r="A253">
        <v>252</v>
      </c>
      <c r="B253" s="1" t="s">
        <v>30</v>
      </c>
      <c r="C253" s="1">
        <f>car_price_prediction_[[#This Row],[Year2]]</f>
        <v>2006</v>
      </c>
      <c r="D253">
        <v>2006</v>
      </c>
      <c r="E253">
        <f>car_price_prediction_[[#This Row],[Engine Size]]/10</f>
        <v>4.9000000000000004</v>
      </c>
      <c r="F253">
        <v>49</v>
      </c>
      <c r="G253" s="1" t="s">
        <v>11</v>
      </c>
      <c r="H253" s="1" t="s">
        <v>12</v>
      </c>
      <c r="I253" s="12">
        <f>car_price_prediction_[[#This Row],[Mileage]]/1000</f>
        <v>155.22300000000001</v>
      </c>
      <c r="J253" s="5">
        <v>155223</v>
      </c>
      <c r="K253" s="1" t="s">
        <v>25</v>
      </c>
      <c r="L253" s="5">
        <f>car_price_prediction_[[#This Row],[Price]]/100</f>
        <v>84660.82</v>
      </c>
      <c r="M253">
        <v>8466082</v>
      </c>
      <c r="N253" s="1" t="s">
        <v>42</v>
      </c>
      <c r="O253" s="1">
        <f>IF(IFERROR(VLOOKUP(car_price_prediction_[[#This Row],[Car ID]],A254:A2753,1,FALSE),0),1,0)</f>
        <v>0</v>
      </c>
    </row>
    <row r="254" spans="1:15" x14ac:dyDescent="0.25">
      <c r="A254">
        <v>253</v>
      </c>
      <c r="B254" s="1" t="s">
        <v>24</v>
      </c>
      <c r="C254" s="1">
        <f>car_price_prediction_[[#This Row],[Year2]]</f>
        <v>2010</v>
      </c>
      <c r="D254">
        <v>2010</v>
      </c>
      <c r="E254">
        <f>car_price_prediction_[[#This Row],[Engine Size]]/10</f>
        <v>3.7</v>
      </c>
      <c r="F254">
        <v>37</v>
      </c>
      <c r="G254" s="1" t="s">
        <v>16</v>
      </c>
      <c r="H254" s="1" t="s">
        <v>22</v>
      </c>
      <c r="I254" s="12">
        <f>car_price_prediction_[[#This Row],[Mileage]]/1000</f>
        <v>128.06800000000001</v>
      </c>
      <c r="J254" s="5">
        <v>128068</v>
      </c>
      <c r="K254" s="1" t="s">
        <v>17</v>
      </c>
      <c r="L254" s="5">
        <f>car_price_prediction_[[#This Row],[Price]]/100</f>
        <v>60454.559999999998</v>
      </c>
      <c r="M254">
        <v>6045456</v>
      </c>
      <c r="N254" s="1" t="s">
        <v>32</v>
      </c>
      <c r="O254" s="1">
        <f>IF(IFERROR(VLOOKUP(car_price_prediction_[[#This Row],[Car ID]],A255:A2754,1,FALSE),0),1,0)</f>
        <v>0</v>
      </c>
    </row>
    <row r="255" spans="1:15" x14ac:dyDescent="0.25">
      <c r="A255">
        <v>254</v>
      </c>
      <c r="B255" s="1" t="s">
        <v>43</v>
      </c>
      <c r="C255" s="1">
        <f>car_price_prediction_[[#This Row],[Year2]]</f>
        <v>2009</v>
      </c>
      <c r="D255">
        <v>2009</v>
      </c>
      <c r="E255">
        <f>car_price_prediction_[[#This Row],[Engine Size]]/10</f>
        <v>1.3</v>
      </c>
      <c r="F255">
        <v>13</v>
      </c>
      <c r="G255" s="1" t="s">
        <v>21</v>
      </c>
      <c r="H255" s="1" t="s">
        <v>12</v>
      </c>
      <c r="I255" s="12">
        <f>car_price_prediction_[[#This Row],[Mileage]]/1000</f>
        <v>3.5999999999999997E-2</v>
      </c>
      <c r="J255" s="5">
        <v>36</v>
      </c>
      <c r="K255" s="1" t="s">
        <v>25</v>
      </c>
      <c r="L255" s="5">
        <f>car_price_prediction_[[#This Row],[Price]]/100</f>
        <v>43288.37</v>
      </c>
      <c r="M255">
        <v>4328837</v>
      </c>
      <c r="N255" s="1" t="s">
        <v>44</v>
      </c>
      <c r="O255" s="1">
        <f>IF(IFERROR(VLOOKUP(car_price_prediction_[[#This Row],[Car ID]],A256:A2755,1,FALSE),0),1,0)</f>
        <v>0</v>
      </c>
    </row>
    <row r="256" spans="1:15" x14ac:dyDescent="0.25">
      <c r="A256">
        <v>255</v>
      </c>
      <c r="B256" s="1" t="s">
        <v>19</v>
      </c>
      <c r="C256" s="1">
        <f>car_price_prediction_[[#This Row],[Year2]]</f>
        <v>2008</v>
      </c>
      <c r="D256">
        <v>2008</v>
      </c>
      <c r="E256">
        <f>car_price_prediction_[[#This Row],[Engine Size]]/10</f>
        <v>4.8</v>
      </c>
      <c r="F256">
        <v>48</v>
      </c>
      <c r="G256" s="1" t="s">
        <v>16</v>
      </c>
      <c r="H256" s="1" t="s">
        <v>12</v>
      </c>
      <c r="I256" s="12">
        <f>car_price_prediction_[[#This Row],[Mileage]]/1000</f>
        <v>39.051000000000002</v>
      </c>
      <c r="J256" s="5">
        <v>39051</v>
      </c>
      <c r="K256" s="1" t="s">
        <v>17</v>
      </c>
      <c r="L256" s="5">
        <f>car_price_prediction_[[#This Row],[Price]]/100</f>
        <v>94917.73</v>
      </c>
      <c r="M256">
        <v>9491773</v>
      </c>
      <c r="N256" s="1" t="s">
        <v>28</v>
      </c>
      <c r="O256" s="1">
        <f>IF(IFERROR(VLOOKUP(car_price_prediction_[[#This Row],[Car ID]],A257:A2756,1,FALSE),0),1,0)</f>
        <v>0</v>
      </c>
    </row>
    <row r="257" spans="1:15" x14ac:dyDescent="0.25">
      <c r="A257">
        <v>256</v>
      </c>
      <c r="B257" s="1" t="s">
        <v>43</v>
      </c>
      <c r="C257" s="1">
        <f>car_price_prediction_[[#This Row],[Year2]]</f>
        <v>2013</v>
      </c>
      <c r="D257">
        <v>2013</v>
      </c>
      <c r="E257">
        <f>car_price_prediction_[[#This Row],[Engine Size]]/10</f>
        <v>3.9</v>
      </c>
      <c r="F257">
        <v>39</v>
      </c>
      <c r="G257" s="1" t="s">
        <v>29</v>
      </c>
      <c r="H257" s="1" t="s">
        <v>22</v>
      </c>
      <c r="I257" s="12">
        <f>car_price_prediction_[[#This Row],[Mileage]]/1000</f>
        <v>80.738</v>
      </c>
      <c r="J257" s="5">
        <v>80738</v>
      </c>
      <c r="K257" s="1" t="s">
        <v>25</v>
      </c>
      <c r="L257" s="5">
        <f>car_price_prediction_[[#This Row],[Price]]/100</f>
        <v>28419.52</v>
      </c>
      <c r="M257">
        <v>2841952</v>
      </c>
      <c r="N257" s="1" t="s">
        <v>44</v>
      </c>
      <c r="O257" s="1">
        <f>IF(IFERROR(VLOOKUP(car_price_prediction_[[#This Row],[Car ID]],A258:A2757,1,FALSE),0),1,0)</f>
        <v>0</v>
      </c>
    </row>
    <row r="258" spans="1:15" x14ac:dyDescent="0.25">
      <c r="A258">
        <v>257</v>
      </c>
      <c r="B258" s="1" t="s">
        <v>43</v>
      </c>
      <c r="C258" s="1">
        <f>car_price_prediction_[[#This Row],[Year2]]</f>
        <v>2012</v>
      </c>
      <c r="D258">
        <v>2012</v>
      </c>
      <c r="E258">
        <f>car_price_prediction_[[#This Row],[Engine Size]]/10</f>
        <v>4.9000000000000004</v>
      </c>
      <c r="F258">
        <v>49</v>
      </c>
      <c r="G258" s="1" t="s">
        <v>16</v>
      </c>
      <c r="H258" s="1" t="s">
        <v>22</v>
      </c>
      <c r="I258" s="12">
        <f>car_price_prediction_[[#This Row],[Mileage]]/1000</f>
        <v>60.070999999999998</v>
      </c>
      <c r="J258" s="5">
        <v>60071</v>
      </c>
      <c r="K258" s="1" t="s">
        <v>17</v>
      </c>
      <c r="L258" s="5">
        <f>car_price_prediction_[[#This Row],[Price]]/100</f>
        <v>81293.98</v>
      </c>
      <c r="M258">
        <v>8129398</v>
      </c>
      <c r="N258" s="1" t="s">
        <v>44</v>
      </c>
      <c r="O258" s="1">
        <f>IF(IFERROR(VLOOKUP(car_price_prediction_[[#This Row],[Car ID]],A259:A2758,1,FALSE),0),1,0)</f>
        <v>0</v>
      </c>
    </row>
    <row r="259" spans="1:15" x14ac:dyDescent="0.25">
      <c r="A259">
        <v>258</v>
      </c>
      <c r="B259" s="1" t="s">
        <v>24</v>
      </c>
      <c r="C259" s="1">
        <f>car_price_prediction_[[#This Row],[Year2]]</f>
        <v>2001</v>
      </c>
      <c r="D259">
        <v>2001</v>
      </c>
      <c r="E259">
        <f>car_price_prediction_[[#This Row],[Engine Size]]/10</f>
        <v>4.8</v>
      </c>
      <c r="F259">
        <v>48</v>
      </c>
      <c r="G259" s="1" t="s">
        <v>11</v>
      </c>
      <c r="H259" s="1" t="s">
        <v>22</v>
      </c>
      <c r="I259" s="12">
        <f>car_price_prediction_[[#This Row],[Mileage]]/1000</f>
        <v>130.613</v>
      </c>
      <c r="J259" s="5">
        <v>130613</v>
      </c>
      <c r="K259" s="1" t="s">
        <v>25</v>
      </c>
      <c r="L259" s="5">
        <f>car_price_prediction_[[#This Row],[Price]]/100</f>
        <v>63144.71</v>
      </c>
      <c r="M259">
        <v>6314471</v>
      </c>
      <c r="N259" s="1" t="s">
        <v>53</v>
      </c>
      <c r="O259" s="1">
        <f>IF(IFERROR(VLOOKUP(car_price_prediction_[[#This Row],[Car ID]],A260:A2759,1,FALSE),0),1,0)</f>
        <v>0</v>
      </c>
    </row>
    <row r="260" spans="1:15" x14ac:dyDescent="0.25">
      <c r="A260">
        <v>259</v>
      </c>
      <c r="B260" s="1" t="s">
        <v>43</v>
      </c>
      <c r="C260" s="1">
        <f>car_price_prediction_[[#This Row],[Year2]]</f>
        <v>2002</v>
      </c>
      <c r="D260">
        <v>2002</v>
      </c>
      <c r="E260">
        <f>car_price_prediction_[[#This Row],[Engine Size]]/10</f>
        <v>5</v>
      </c>
      <c r="F260">
        <v>50</v>
      </c>
      <c r="G260" s="1" t="s">
        <v>16</v>
      </c>
      <c r="H260" s="1" t="s">
        <v>12</v>
      </c>
      <c r="I260" s="12">
        <f>car_price_prediction_[[#This Row],[Mileage]]/1000</f>
        <v>73.600999999999999</v>
      </c>
      <c r="J260" s="5">
        <v>73601</v>
      </c>
      <c r="K260" s="1" t="s">
        <v>13</v>
      </c>
      <c r="L260" s="5">
        <f>car_price_prediction_[[#This Row],[Price]]/100</f>
        <v>40805.03</v>
      </c>
      <c r="M260">
        <v>4080503</v>
      </c>
      <c r="N260" s="1" t="s">
        <v>44</v>
      </c>
      <c r="O260" s="1">
        <f>IF(IFERROR(VLOOKUP(car_price_prediction_[[#This Row],[Car ID]],A261:A2760,1,FALSE),0),1,0)</f>
        <v>0</v>
      </c>
    </row>
    <row r="261" spans="1:15" x14ac:dyDescent="0.25">
      <c r="A261">
        <v>260</v>
      </c>
      <c r="B261" s="1" t="s">
        <v>30</v>
      </c>
      <c r="C261" s="1">
        <f>car_price_prediction_[[#This Row],[Year2]]</f>
        <v>2006</v>
      </c>
      <c r="D261">
        <v>2006</v>
      </c>
      <c r="E261">
        <f>car_price_prediction_[[#This Row],[Engine Size]]/10</f>
        <v>3.6</v>
      </c>
      <c r="F261">
        <v>36</v>
      </c>
      <c r="G261" s="1" t="s">
        <v>11</v>
      </c>
      <c r="H261" s="1" t="s">
        <v>22</v>
      </c>
      <c r="I261" s="12">
        <f>car_price_prediction_[[#This Row],[Mileage]]/1000</f>
        <v>29.873000000000001</v>
      </c>
      <c r="J261" s="5">
        <v>29873</v>
      </c>
      <c r="K261" s="1" t="s">
        <v>25</v>
      </c>
      <c r="L261" s="5">
        <f>car_price_prediction_[[#This Row],[Price]]/100</f>
        <v>5129.96</v>
      </c>
      <c r="M261">
        <v>512996</v>
      </c>
      <c r="N261" s="1" t="s">
        <v>31</v>
      </c>
      <c r="O261" s="1">
        <f>IF(IFERROR(VLOOKUP(car_price_prediction_[[#This Row],[Car ID]],A262:A2761,1,FALSE),0),1,0)</f>
        <v>0</v>
      </c>
    </row>
    <row r="262" spans="1:15" x14ac:dyDescent="0.25">
      <c r="A262">
        <v>261</v>
      </c>
      <c r="B262" s="1" t="s">
        <v>30</v>
      </c>
      <c r="C262" s="1">
        <f>car_price_prediction_[[#This Row],[Year2]]</f>
        <v>2020</v>
      </c>
      <c r="D262">
        <v>2020</v>
      </c>
      <c r="E262">
        <f>car_price_prediction_[[#This Row],[Engine Size]]/10</f>
        <v>1.7</v>
      </c>
      <c r="F262">
        <v>17</v>
      </c>
      <c r="G262" s="1" t="s">
        <v>21</v>
      </c>
      <c r="H262" s="1" t="s">
        <v>12</v>
      </c>
      <c r="I262" s="12">
        <f>car_price_prediction_[[#This Row],[Mileage]]/1000</f>
        <v>167.72</v>
      </c>
      <c r="J262" s="5">
        <v>167720</v>
      </c>
      <c r="K262" s="1" t="s">
        <v>25</v>
      </c>
      <c r="L262" s="5">
        <f>car_price_prediction_[[#This Row],[Price]]/100</f>
        <v>47426.93</v>
      </c>
      <c r="M262">
        <v>4742693</v>
      </c>
      <c r="N262" s="1" t="s">
        <v>48</v>
      </c>
      <c r="O262" s="1">
        <f>IF(IFERROR(VLOOKUP(car_price_prediction_[[#This Row],[Car ID]],A263:A2762,1,FALSE),0),1,0)</f>
        <v>0</v>
      </c>
    </row>
    <row r="263" spans="1:15" x14ac:dyDescent="0.25">
      <c r="A263">
        <v>262</v>
      </c>
      <c r="B263" s="1" t="s">
        <v>15</v>
      </c>
      <c r="C263" s="1">
        <f>car_price_prediction_[[#This Row],[Year2]]</f>
        <v>2017</v>
      </c>
      <c r="D263">
        <v>2017</v>
      </c>
      <c r="E263">
        <f>car_price_prediction_[[#This Row],[Engine Size]]/10</f>
        <v>4.4000000000000004</v>
      </c>
      <c r="F263">
        <v>44</v>
      </c>
      <c r="G263" s="1" t="s">
        <v>16</v>
      </c>
      <c r="H263" s="1" t="s">
        <v>12</v>
      </c>
      <c r="I263" s="12">
        <f>car_price_prediction_[[#This Row],[Mileage]]/1000</f>
        <v>71.468000000000004</v>
      </c>
      <c r="J263" s="5">
        <v>71468</v>
      </c>
      <c r="K263" s="1" t="s">
        <v>13</v>
      </c>
      <c r="L263" s="5">
        <f>car_price_prediction_[[#This Row],[Price]]/100</f>
        <v>3128.84</v>
      </c>
      <c r="M263">
        <v>312884</v>
      </c>
      <c r="N263" s="1" t="s">
        <v>35</v>
      </c>
      <c r="O263" s="1">
        <f>IF(IFERROR(VLOOKUP(car_price_prediction_[[#This Row],[Car ID]],A264:A2763,1,FALSE),0),1,0)</f>
        <v>0</v>
      </c>
    </row>
    <row r="264" spans="1:15" x14ac:dyDescent="0.25">
      <c r="A264">
        <v>263</v>
      </c>
      <c r="B264" s="1" t="s">
        <v>36</v>
      </c>
      <c r="C264" s="1">
        <f>car_price_prediction_[[#This Row],[Year2]]</f>
        <v>2002</v>
      </c>
      <c r="D264">
        <v>2002</v>
      </c>
      <c r="E264">
        <f>car_price_prediction_[[#This Row],[Engine Size]]/10</f>
        <v>4.0999999999999996</v>
      </c>
      <c r="F264">
        <v>41</v>
      </c>
      <c r="G264" s="1" t="s">
        <v>21</v>
      </c>
      <c r="H264" s="1" t="s">
        <v>22</v>
      </c>
      <c r="I264" s="12">
        <f>car_price_prediction_[[#This Row],[Mileage]]/1000</f>
        <v>288.61399999999998</v>
      </c>
      <c r="J264" s="5">
        <v>288614</v>
      </c>
      <c r="K264" s="1" t="s">
        <v>13</v>
      </c>
      <c r="L264" s="5">
        <f>car_price_prediction_[[#This Row],[Price]]/100</f>
        <v>14912.93</v>
      </c>
      <c r="M264">
        <v>1491293</v>
      </c>
      <c r="N264" s="1" t="s">
        <v>41</v>
      </c>
      <c r="O264" s="1">
        <f>IF(IFERROR(VLOOKUP(car_price_prediction_[[#This Row],[Car ID]],A265:A2764,1,FALSE),0),1,0)</f>
        <v>0</v>
      </c>
    </row>
    <row r="265" spans="1:15" x14ac:dyDescent="0.25">
      <c r="A265">
        <v>264</v>
      </c>
      <c r="B265" s="1" t="s">
        <v>10</v>
      </c>
      <c r="C265" s="1">
        <f>car_price_prediction_[[#This Row],[Year2]]</f>
        <v>2009</v>
      </c>
      <c r="D265">
        <v>2009</v>
      </c>
      <c r="E265">
        <f>car_price_prediction_[[#This Row],[Engine Size]]/10</f>
        <v>4.7</v>
      </c>
      <c r="F265">
        <v>47</v>
      </c>
      <c r="G265" s="1" t="s">
        <v>21</v>
      </c>
      <c r="H265" s="1" t="s">
        <v>22</v>
      </c>
      <c r="I265" s="12">
        <f>car_price_prediction_[[#This Row],[Mileage]]/1000</f>
        <v>196.20099999999999</v>
      </c>
      <c r="J265" s="5">
        <v>196201</v>
      </c>
      <c r="K265" s="1" t="s">
        <v>13</v>
      </c>
      <c r="L265" s="5">
        <f>car_price_prediction_[[#This Row],[Price]]/100</f>
        <v>12140.06</v>
      </c>
      <c r="M265">
        <v>1214006</v>
      </c>
      <c r="N265" s="1" t="s">
        <v>33</v>
      </c>
      <c r="O265" s="1">
        <f>IF(IFERROR(VLOOKUP(car_price_prediction_[[#This Row],[Car ID]],A266:A2765,1,FALSE),0),1,0)</f>
        <v>0</v>
      </c>
    </row>
    <row r="266" spans="1:15" x14ac:dyDescent="0.25">
      <c r="A266">
        <v>265</v>
      </c>
      <c r="B266" s="1" t="s">
        <v>19</v>
      </c>
      <c r="C266" s="1">
        <f>car_price_prediction_[[#This Row],[Year2]]</f>
        <v>2021</v>
      </c>
      <c r="D266">
        <v>2021</v>
      </c>
      <c r="E266">
        <f>car_price_prediction_[[#This Row],[Engine Size]]/10</f>
        <v>1.8</v>
      </c>
      <c r="F266">
        <v>18</v>
      </c>
      <c r="G266" s="1" t="s">
        <v>16</v>
      </c>
      <c r="H266" s="1" t="s">
        <v>22</v>
      </c>
      <c r="I266" s="12">
        <f>car_price_prediction_[[#This Row],[Mileage]]/1000</f>
        <v>8.3279999999999994</v>
      </c>
      <c r="J266" s="5">
        <v>8328</v>
      </c>
      <c r="K266" s="1" t="s">
        <v>13</v>
      </c>
      <c r="L266" s="5">
        <f>car_price_prediction_[[#This Row],[Price]]/100</f>
        <v>38018.04</v>
      </c>
      <c r="M266">
        <v>3801804</v>
      </c>
      <c r="N266" s="1" t="s">
        <v>38</v>
      </c>
      <c r="O266" s="1">
        <f>IF(IFERROR(VLOOKUP(car_price_prediction_[[#This Row],[Car ID]],A267:A2766,1,FALSE),0),1,0)</f>
        <v>0</v>
      </c>
    </row>
    <row r="267" spans="1:15" x14ac:dyDescent="0.25">
      <c r="A267">
        <v>266</v>
      </c>
      <c r="B267" s="1" t="s">
        <v>43</v>
      </c>
      <c r="C267" s="1">
        <f>car_price_prediction_[[#This Row],[Year2]]</f>
        <v>2006</v>
      </c>
      <c r="D267">
        <v>2006</v>
      </c>
      <c r="E267">
        <f>car_price_prediction_[[#This Row],[Engine Size]]/10</f>
        <v>2</v>
      </c>
      <c r="F267">
        <v>20</v>
      </c>
      <c r="G267" s="1" t="s">
        <v>11</v>
      </c>
      <c r="H267" s="1" t="s">
        <v>12</v>
      </c>
      <c r="I267" s="12">
        <f>car_price_prediction_[[#This Row],[Mileage]]/1000</f>
        <v>137.405</v>
      </c>
      <c r="J267" s="5">
        <v>137405</v>
      </c>
      <c r="K267" s="1" t="s">
        <v>17</v>
      </c>
      <c r="L267" s="5">
        <f>car_price_prediction_[[#This Row],[Price]]/100</f>
        <v>63401.95</v>
      </c>
      <c r="M267">
        <v>6340195</v>
      </c>
      <c r="N267" s="1" t="s">
        <v>44</v>
      </c>
      <c r="O267" s="1">
        <f>IF(IFERROR(VLOOKUP(car_price_prediction_[[#This Row],[Car ID]],A268:A2767,1,FALSE),0),1,0)</f>
        <v>0</v>
      </c>
    </row>
    <row r="268" spans="1:15" x14ac:dyDescent="0.25">
      <c r="A268">
        <v>267</v>
      </c>
      <c r="B268" s="1" t="s">
        <v>43</v>
      </c>
      <c r="C268" s="1">
        <f>car_price_prediction_[[#This Row],[Year2]]</f>
        <v>2008</v>
      </c>
      <c r="D268">
        <v>2008</v>
      </c>
      <c r="E268">
        <f>car_price_prediction_[[#This Row],[Engine Size]]/10</f>
        <v>5.5</v>
      </c>
      <c r="F268">
        <v>55</v>
      </c>
      <c r="G268" s="1" t="s">
        <v>21</v>
      </c>
      <c r="H268" s="1" t="s">
        <v>22</v>
      </c>
      <c r="I268" s="12">
        <f>car_price_prediction_[[#This Row],[Mileage]]/1000</f>
        <v>251.51900000000001</v>
      </c>
      <c r="J268" s="5">
        <v>251519</v>
      </c>
      <c r="K268" s="1" t="s">
        <v>17</v>
      </c>
      <c r="L268" s="5">
        <f>car_price_prediction_[[#This Row],[Price]]/100</f>
        <v>84564.33</v>
      </c>
      <c r="M268">
        <v>8456433</v>
      </c>
      <c r="N268" s="1" t="s">
        <v>50</v>
      </c>
      <c r="O268" s="1">
        <f>IF(IFERROR(VLOOKUP(car_price_prediction_[[#This Row],[Car ID]],A269:A2768,1,FALSE),0),1,0)</f>
        <v>0</v>
      </c>
    </row>
    <row r="269" spans="1:15" x14ac:dyDescent="0.25">
      <c r="A269">
        <v>268</v>
      </c>
      <c r="B269" s="1" t="s">
        <v>24</v>
      </c>
      <c r="C269" s="1">
        <f>car_price_prediction_[[#This Row],[Year2]]</f>
        <v>2016</v>
      </c>
      <c r="D269">
        <v>2016</v>
      </c>
      <c r="E269">
        <f>car_price_prediction_[[#This Row],[Engine Size]]/10</f>
        <v>4.7</v>
      </c>
      <c r="F269">
        <v>47</v>
      </c>
      <c r="G269" s="1" t="s">
        <v>21</v>
      </c>
      <c r="H269" s="1" t="s">
        <v>12</v>
      </c>
      <c r="I269" s="12">
        <f>car_price_prediction_[[#This Row],[Mileage]]/1000</f>
        <v>121.173</v>
      </c>
      <c r="J269" s="5">
        <v>121173</v>
      </c>
      <c r="K269" s="1" t="s">
        <v>25</v>
      </c>
      <c r="L269" s="5">
        <f>car_price_prediction_[[#This Row],[Price]]/100</f>
        <v>22438.51</v>
      </c>
      <c r="M269">
        <v>2243851</v>
      </c>
      <c r="N269" s="1" t="s">
        <v>53</v>
      </c>
      <c r="O269" s="1">
        <f>IF(IFERROR(VLOOKUP(car_price_prediction_[[#This Row],[Car ID]],A270:A2769,1,FALSE),0),1,0)</f>
        <v>0</v>
      </c>
    </row>
    <row r="270" spans="1:15" x14ac:dyDescent="0.25">
      <c r="A270">
        <v>269</v>
      </c>
      <c r="B270" s="1" t="s">
        <v>36</v>
      </c>
      <c r="C270" s="1">
        <f>car_price_prediction_[[#This Row],[Year2]]</f>
        <v>2010</v>
      </c>
      <c r="D270">
        <v>2010</v>
      </c>
      <c r="E270">
        <f>car_price_prediction_[[#This Row],[Engine Size]]/10</f>
        <v>5.5</v>
      </c>
      <c r="F270">
        <v>55</v>
      </c>
      <c r="G270" s="1" t="s">
        <v>16</v>
      </c>
      <c r="H270" s="1" t="s">
        <v>22</v>
      </c>
      <c r="I270" s="12">
        <f>car_price_prediction_[[#This Row],[Mileage]]/1000</f>
        <v>46.637999999999998</v>
      </c>
      <c r="J270" s="5">
        <v>46638</v>
      </c>
      <c r="K270" s="1" t="s">
        <v>25</v>
      </c>
      <c r="L270" s="5">
        <f>car_price_prediction_[[#This Row],[Price]]/100</f>
        <v>45341.18</v>
      </c>
      <c r="M270">
        <v>4534118</v>
      </c>
      <c r="N270" s="1" t="s">
        <v>46</v>
      </c>
      <c r="O270" s="1">
        <f>IF(IFERROR(VLOOKUP(car_price_prediction_[[#This Row],[Car ID]],A271:A2770,1,FALSE),0),1,0)</f>
        <v>0</v>
      </c>
    </row>
    <row r="271" spans="1:15" x14ac:dyDescent="0.25">
      <c r="A271">
        <v>270</v>
      </c>
      <c r="B271" s="1" t="s">
        <v>30</v>
      </c>
      <c r="C271" s="1">
        <f>car_price_prediction_[[#This Row],[Year2]]</f>
        <v>2006</v>
      </c>
      <c r="D271">
        <v>2006</v>
      </c>
      <c r="E271">
        <f>car_price_prediction_[[#This Row],[Engine Size]]/10</f>
        <v>4.8</v>
      </c>
      <c r="F271">
        <v>48</v>
      </c>
      <c r="G271" s="1" t="s">
        <v>16</v>
      </c>
      <c r="H271" s="1" t="s">
        <v>22</v>
      </c>
      <c r="I271" s="12">
        <f>car_price_prediction_[[#This Row],[Mileage]]/1000</f>
        <v>273.41199999999998</v>
      </c>
      <c r="J271" s="5">
        <v>273412</v>
      </c>
      <c r="K271" s="1" t="s">
        <v>25</v>
      </c>
      <c r="L271" s="5">
        <f>car_price_prediction_[[#This Row],[Price]]/100</f>
        <v>42235.83</v>
      </c>
      <c r="M271">
        <v>4223583</v>
      </c>
      <c r="N271" s="1" t="s">
        <v>45</v>
      </c>
      <c r="O271" s="1">
        <f>IF(IFERROR(VLOOKUP(car_price_prediction_[[#This Row],[Car ID]],A272:A2771,1,FALSE),0),1,0)</f>
        <v>0</v>
      </c>
    </row>
    <row r="272" spans="1:15" x14ac:dyDescent="0.25">
      <c r="A272">
        <v>271</v>
      </c>
      <c r="B272" s="1" t="s">
        <v>19</v>
      </c>
      <c r="C272" s="1">
        <f>car_price_prediction_[[#This Row],[Year2]]</f>
        <v>2023</v>
      </c>
      <c r="D272">
        <v>2023</v>
      </c>
      <c r="E272">
        <f>car_price_prediction_[[#This Row],[Engine Size]]/10</f>
        <v>4</v>
      </c>
      <c r="F272">
        <v>40</v>
      </c>
      <c r="G272" s="1" t="s">
        <v>16</v>
      </c>
      <c r="H272" s="1" t="s">
        <v>12</v>
      </c>
      <c r="I272" s="12">
        <f>car_price_prediction_[[#This Row],[Mileage]]/1000</f>
        <v>201.67500000000001</v>
      </c>
      <c r="J272" s="5">
        <v>201675</v>
      </c>
      <c r="K272" s="1" t="s">
        <v>17</v>
      </c>
      <c r="L272" s="5">
        <f>car_price_prediction_[[#This Row],[Price]]/100</f>
        <v>53772.43</v>
      </c>
      <c r="M272">
        <v>5377243</v>
      </c>
      <c r="N272" s="1" t="s">
        <v>20</v>
      </c>
      <c r="O272" s="1">
        <f>IF(IFERROR(VLOOKUP(car_price_prediction_[[#This Row],[Car ID]],A273:A2772,1,FALSE),0),1,0)</f>
        <v>0</v>
      </c>
    </row>
    <row r="273" spans="1:15" x14ac:dyDescent="0.25">
      <c r="A273">
        <v>272</v>
      </c>
      <c r="B273" s="1" t="s">
        <v>15</v>
      </c>
      <c r="C273" s="1">
        <f>car_price_prediction_[[#This Row],[Year2]]</f>
        <v>2013</v>
      </c>
      <c r="D273">
        <v>2013</v>
      </c>
      <c r="E273">
        <f>car_price_prediction_[[#This Row],[Engine Size]]/10</f>
        <v>4.3</v>
      </c>
      <c r="F273">
        <v>43</v>
      </c>
      <c r="G273" s="1" t="s">
        <v>16</v>
      </c>
      <c r="H273" s="1" t="s">
        <v>12</v>
      </c>
      <c r="I273" s="12">
        <f>car_price_prediction_[[#This Row],[Mileage]]/1000</f>
        <v>113.92</v>
      </c>
      <c r="J273" s="5">
        <v>113920</v>
      </c>
      <c r="K273" s="1" t="s">
        <v>25</v>
      </c>
      <c r="L273" s="5">
        <f>car_price_prediction_[[#This Row],[Price]]/100</f>
        <v>81910.789999999994</v>
      </c>
      <c r="M273">
        <v>8191079</v>
      </c>
      <c r="N273" s="1" t="s">
        <v>18</v>
      </c>
      <c r="O273" s="1">
        <f>IF(IFERROR(VLOOKUP(car_price_prediction_[[#This Row],[Car ID]],A274:A2773,1,FALSE),0),1,0)</f>
        <v>0</v>
      </c>
    </row>
    <row r="274" spans="1:15" x14ac:dyDescent="0.25">
      <c r="A274">
        <v>273</v>
      </c>
      <c r="B274" s="1" t="s">
        <v>30</v>
      </c>
      <c r="C274" s="1">
        <f>car_price_prediction_[[#This Row],[Year2]]</f>
        <v>2018</v>
      </c>
      <c r="D274">
        <v>2018</v>
      </c>
      <c r="E274">
        <f>car_price_prediction_[[#This Row],[Engine Size]]/10</f>
        <v>5.4</v>
      </c>
      <c r="F274">
        <v>54</v>
      </c>
      <c r="G274" s="1" t="s">
        <v>16</v>
      </c>
      <c r="H274" s="1" t="s">
        <v>22</v>
      </c>
      <c r="I274" s="12">
        <f>car_price_prediction_[[#This Row],[Mileage]]/1000</f>
        <v>171.81299999999999</v>
      </c>
      <c r="J274" s="5">
        <v>171813</v>
      </c>
      <c r="K274" s="1" t="s">
        <v>25</v>
      </c>
      <c r="L274" s="5">
        <f>car_price_prediction_[[#This Row],[Price]]/100</f>
        <v>5759.63</v>
      </c>
      <c r="M274">
        <v>575963</v>
      </c>
      <c r="N274" s="1" t="s">
        <v>42</v>
      </c>
      <c r="O274" s="1">
        <f>IF(IFERROR(VLOOKUP(car_price_prediction_[[#This Row],[Car ID]],A275:A2774,1,FALSE),0),1,0)</f>
        <v>0</v>
      </c>
    </row>
    <row r="275" spans="1:15" x14ac:dyDescent="0.25">
      <c r="A275">
        <v>274</v>
      </c>
      <c r="B275" s="1" t="s">
        <v>36</v>
      </c>
      <c r="C275" s="1">
        <f>car_price_prediction_[[#This Row],[Year2]]</f>
        <v>2003</v>
      </c>
      <c r="D275">
        <v>2003</v>
      </c>
      <c r="E275">
        <f>car_price_prediction_[[#This Row],[Engine Size]]/10</f>
        <v>3.9</v>
      </c>
      <c r="F275">
        <v>39</v>
      </c>
      <c r="G275" s="1" t="s">
        <v>29</v>
      </c>
      <c r="H275" s="1" t="s">
        <v>22</v>
      </c>
      <c r="I275" s="12">
        <f>car_price_prediction_[[#This Row],[Mileage]]/1000</f>
        <v>7.8869999999999996</v>
      </c>
      <c r="J275" s="5">
        <v>7887</v>
      </c>
      <c r="K275" s="1" t="s">
        <v>17</v>
      </c>
      <c r="L275" s="5">
        <f>car_price_prediction_[[#This Row],[Price]]/100</f>
        <v>85432.22</v>
      </c>
      <c r="M275">
        <v>8543222</v>
      </c>
      <c r="N275" s="1" t="s">
        <v>41</v>
      </c>
      <c r="O275" s="1">
        <f>IF(IFERROR(VLOOKUP(car_price_prediction_[[#This Row],[Car ID]],A276:A2775,1,FALSE),0),1,0)</f>
        <v>0</v>
      </c>
    </row>
    <row r="276" spans="1:15" x14ac:dyDescent="0.25">
      <c r="A276">
        <v>275</v>
      </c>
      <c r="B276" s="1" t="s">
        <v>10</v>
      </c>
      <c r="C276" s="1">
        <f>car_price_prediction_[[#This Row],[Year2]]</f>
        <v>2005</v>
      </c>
      <c r="D276">
        <v>2005</v>
      </c>
      <c r="E276">
        <f>car_price_prediction_[[#This Row],[Engine Size]]/10</f>
        <v>4.2</v>
      </c>
      <c r="F276">
        <v>42</v>
      </c>
      <c r="G276" s="1" t="s">
        <v>16</v>
      </c>
      <c r="H276" s="1" t="s">
        <v>22</v>
      </c>
      <c r="I276" s="12">
        <f>car_price_prediction_[[#This Row],[Mileage]]/1000</f>
        <v>228.97800000000001</v>
      </c>
      <c r="J276" s="5">
        <v>228978</v>
      </c>
      <c r="K276" s="1" t="s">
        <v>25</v>
      </c>
      <c r="L276" s="5">
        <f>car_price_prediction_[[#This Row],[Price]]/100</f>
        <v>54262.42</v>
      </c>
      <c r="M276">
        <v>5426242</v>
      </c>
      <c r="N276" s="1" t="s">
        <v>49</v>
      </c>
      <c r="O276" s="1">
        <f>IF(IFERROR(VLOOKUP(car_price_prediction_[[#This Row],[Car ID]],A277:A2776,1,FALSE),0),1,0)</f>
        <v>0</v>
      </c>
    </row>
    <row r="277" spans="1:15" x14ac:dyDescent="0.25">
      <c r="A277">
        <v>276</v>
      </c>
      <c r="B277" s="1" t="s">
        <v>15</v>
      </c>
      <c r="C277" s="1">
        <f>car_price_prediction_[[#This Row],[Year2]]</f>
        <v>2009</v>
      </c>
      <c r="D277">
        <v>2009</v>
      </c>
      <c r="E277">
        <f>car_price_prediction_[[#This Row],[Engine Size]]/10</f>
        <v>1.8</v>
      </c>
      <c r="F277">
        <v>18</v>
      </c>
      <c r="G277" s="1" t="s">
        <v>11</v>
      </c>
      <c r="H277" s="1" t="s">
        <v>22</v>
      </c>
      <c r="I277" s="12">
        <f>car_price_prediction_[[#This Row],[Mileage]]/1000</f>
        <v>24.917999999999999</v>
      </c>
      <c r="J277" s="5">
        <v>24918</v>
      </c>
      <c r="K277" s="1" t="s">
        <v>17</v>
      </c>
      <c r="L277" s="5">
        <f>car_price_prediction_[[#This Row],[Price]]/100</f>
        <v>6236.55</v>
      </c>
      <c r="M277">
        <v>623655</v>
      </c>
      <c r="N277" s="1" t="s">
        <v>18</v>
      </c>
      <c r="O277" s="1">
        <f>IF(IFERROR(VLOOKUP(car_price_prediction_[[#This Row],[Car ID]],A278:A2777,1,FALSE),0),1,0)</f>
        <v>0</v>
      </c>
    </row>
    <row r="278" spans="1:15" x14ac:dyDescent="0.25">
      <c r="A278">
        <v>277</v>
      </c>
      <c r="B278" s="1" t="s">
        <v>10</v>
      </c>
      <c r="C278" s="1">
        <f>car_price_prediction_[[#This Row],[Year2]]</f>
        <v>2006</v>
      </c>
      <c r="D278">
        <v>2006</v>
      </c>
      <c r="E278">
        <f>car_price_prediction_[[#This Row],[Engine Size]]/10</f>
        <v>3.4</v>
      </c>
      <c r="F278">
        <v>34</v>
      </c>
      <c r="G278" s="1" t="s">
        <v>21</v>
      </c>
      <c r="H278" s="1" t="s">
        <v>22</v>
      </c>
      <c r="I278" s="12">
        <f>car_price_prediction_[[#This Row],[Mileage]]/1000</f>
        <v>297.64100000000002</v>
      </c>
      <c r="J278" s="5">
        <v>297641</v>
      </c>
      <c r="K278" s="1" t="s">
        <v>17</v>
      </c>
      <c r="L278" s="5">
        <f>car_price_prediction_[[#This Row],[Price]]/100</f>
        <v>46551.41</v>
      </c>
      <c r="M278">
        <v>4655141</v>
      </c>
      <c r="N278" s="1" t="s">
        <v>14</v>
      </c>
      <c r="O278" s="1">
        <f>IF(IFERROR(VLOOKUP(car_price_prediction_[[#This Row],[Car ID]],A279:A2778,1,FALSE),0),1,0)</f>
        <v>0</v>
      </c>
    </row>
    <row r="279" spans="1:15" x14ac:dyDescent="0.25">
      <c r="A279">
        <v>278</v>
      </c>
      <c r="B279" s="1" t="s">
        <v>24</v>
      </c>
      <c r="C279" s="1">
        <f>car_price_prediction_[[#This Row],[Year2]]</f>
        <v>2012</v>
      </c>
      <c r="D279">
        <v>2012</v>
      </c>
      <c r="E279">
        <f>car_price_prediction_[[#This Row],[Engine Size]]/10</f>
        <v>4.5999999999999996</v>
      </c>
      <c r="F279">
        <v>46</v>
      </c>
      <c r="G279" s="1" t="s">
        <v>11</v>
      </c>
      <c r="H279" s="1" t="s">
        <v>12</v>
      </c>
      <c r="I279" s="12">
        <f>car_price_prediction_[[#This Row],[Mileage]]/1000</f>
        <v>192.08099999999999</v>
      </c>
      <c r="J279" s="5">
        <v>192081</v>
      </c>
      <c r="K279" s="1" t="s">
        <v>13</v>
      </c>
      <c r="L279" s="5">
        <f>car_price_prediction_[[#This Row],[Price]]/100</f>
        <v>83194.080000000002</v>
      </c>
      <c r="M279">
        <v>8319408</v>
      </c>
      <c r="N279" s="1" t="s">
        <v>34</v>
      </c>
      <c r="O279" s="1">
        <f>IF(IFERROR(VLOOKUP(car_price_prediction_[[#This Row],[Car ID]],A280:A2779,1,FALSE),0),1,0)</f>
        <v>0</v>
      </c>
    </row>
    <row r="280" spans="1:15" x14ac:dyDescent="0.25">
      <c r="A280">
        <v>279</v>
      </c>
      <c r="B280" s="1" t="s">
        <v>24</v>
      </c>
      <c r="C280" s="1">
        <f>car_price_prediction_[[#This Row],[Year2]]</f>
        <v>2013</v>
      </c>
      <c r="D280">
        <v>2013</v>
      </c>
      <c r="E280">
        <f>car_price_prediction_[[#This Row],[Engine Size]]/10</f>
        <v>2.4</v>
      </c>
      <c r="F280">
        <v>24</v>
      </c>
      <c r="G280" s="1" t="s">
        <v>11</v>
      </c>
      <c r="H280" s="1" t="s">
        <v>12</v>
      </c>
      <c r="I280" s="12">
        <f>car_price_prediction_[[#This Row],[Mileage]]/1000</f>
        <v>274.07299999999998</v>
      </c>
      <c r="J280" s="5">
        <v>274073</v>
      </c>
      <c r="K280" s="1" t="s">
        <v>13</v>
      </c>
      <c r="L280" s="5">
        <f>car_price_prediction_[[#This Row],[Price]]/100</f>
        <v>92763.58</v>
      </c>
      <c r="M280">
        <v>9276358</v>
      </c>
      <c r="N280" s="1" t="s">
        <v>32</v>
      </c>
      <c r="O280" s="1">
        <f>IF(IFERROR(VLOOKUP(car_price_prediction_[[#This Row],[Car ID]],A281:A2780,1,FALSE),0),1,0)</f>
        <v>0</v>
      </c>
    </row>
    <row r="281" spans="1:15" x14ac:dyDescent="0.25">
      <c r="A281">
        <v>280</v>
      </c>
      <c r="B281" s="1" t="s">
        <v>43</v>
      </c>
      <c r="C281" s="1">
        <f>car_price_prediction_[[#This Row],[Year2]]</f>
        <v>2003</v>
      </c>
      <c r="D281">
        <v>2003</v>
      </c>
      <c r="E281">
        <f>car_price_prediction_[[#This Row],[Engine Size]]/10</f>
        <v>2</v>
      </c>
      <c r="F281">
        <v>20</v>
      </c>
      <c r="G281" s="1" t="s">
        <v>29</v>
      </c>
      <c r="H281" s="1" t="s">
        <v>12</v>
      </c>
      <c r="I281" s="12">
        <f>car_price_prediction_[[#This Row],[Mileage]]/1000</f>
        <v>102.20099999999999</v>
      </c>
      <c r="J281" s="5">
        <v>102201</v>
      </c>
      <c r="K281" s="1" t="s">
        <v>17</v>
      </c>
      <c r="L281" s="5">
        <f>car_price_prediction_[[#This Row],[Price]]/100</f>
        <v>65718.75</v>
      </c>
      <c r="M281">
        <v>6571875</v>
      </c>
      <c r="N281" s="1" t="s">
        <v>47</v>
      </c>
      <c r="O281" s="1">
        <f>IF(IFERROR(VLOOKUP(car_price_prediction_[[#This Row],[Car ID]],A282:A2781,1,FALSE),0),1,0)</f>
        <v>0</v>
      </c>
    </row>
    <row r="282" spans="1:15" x14ac:dyDescent="0.25">
      <c r="A282">
        <v>281</v>
      </c>
      <c r="B282" s="1" t="s">
        <v>10</v>
      </c>
      <c r="C282" s="1">
        <f>car_price_prediction_[[#This Row],[Year2]]</f>
        <v>2007</v>
      </c>
      <c r="D282">
        <v>2007</v>
      </c>
      <c r="E282">
        <f>car_price_prediction_[[#This Row],[Engine Size]]/10</f>
        <v>2.6</v>
      </c>
      <c r="F282">
        <v>26</v>
      </c>
      <c r="G282" s="1" t="s">
        <v>16</v>
      </c>
      <c r="H282" s="1" t="s">
        <v>12</v>
      </c>
      <c r="I282" s="12">
        <f>car_price_prediction_[[#This Row],[Mileage]]/1000</f>
        <v>210.17099999999999</v>
      </c>
      <c r="J282" s="5">
        <v>210171</v>
      </c>
      <c r="K282" s="1" t="s">
        <v>17</v>
      </c>
      <c r="L282" s="5">
        <f>car_price_prediction_[[#This Row],[Price]]/100</f>
        <v>82974.33</v>
      </c>
      <c r="M282">
        <v>8297433</v>
      </c>
      <c r="N282" s="1" t="s">
        <v>14</v>
      </c>
      <c r="O282" s="1">
        <f>IF(IFERROR(VLOOKUP(car_price_prediction_[[#This Row],[Car ID]],A283:A2782,1,FALSE),0),1,0)</f>
        <v>0</v>
      </c>
    </row>
    <row r="283" spans="1:15" x14ac:dyDescent="0.25">
      <c r="A283">
        <v>282</v>
      </c>
      <c r="B283" s="1" t="s">
        <v>36</v>
      </c>
      <c r="C283" s="1">
        <f>car_price_prediction_[[#This Row],[Year2]]</f>
        <v>2004</v>
      </c>
      <c r="D283">
        <v>2004</v>
      </c>
      <c r="E283">
        <f>car_price_prediction_[[#This Row],[Engine Size]]/10</f>
        <v>2.2000000000000002</v>
      </c>
      <c r="F283">
        <v>22</v>
      </c>
      <c r="G283" s="1" t="s">
        <v>21</v>
      </c>
      <c r="H283" s="1" t="s">
        <v>22</v>
      </c>
      <c r="I283" s="12">
        <f>car_price_prediction_[[#This Row],[Mileage]]/1000</f>
        <v>290.69</v>
      </c>
      <c r="J283" s="5">
        <v>290690</v>
      </c>
      <c r="K283" s="1" t="s">
        <v>13</v>
      </c>
      <c r="L283" s="5">
        <f>car_price_prediction_[[#This Row],[Price]]/100</f>
        <v>10605.32</v>
      </c>
      <c r="M283">
        <v>1060532</v>
      </c>
      <c r="N283" s="1" t="s">
        <v>41</v>
      </c>
      <c r="O283" s="1">
        <f>IF(IFERROR(VLOOKUP(car_price_prediction_[[#This Row],[Car ID]],A284:A2783,1,FALSE),0),1,0)</f>
        <v>0</v>
      </c>
    </row>
    <row r="284" spans="1:15" x14ac:dyDescent="0.25">
      <c r="A284">
        <v>283</v>
      </c>
      <c r="B284" s="1" t="s">
        <v>19</v>
      </c>
      <c r="C284" s="1">
        <f>car_price_prediction_[[#This Row],[Year2]]</f>
        <v>2000</v>
      </c>
      <c r="D284">
        <v>2000</v>
      </c>
      <c r="E284">
        <f>car_price_prediction_[[#This Row],[Engine Size]]/10</f>
        <v>2.1</v>
      </c>
      <c r="F284">
        <v>21</v>
      </c>
      <c r="G284" s="1" t="s">
        <v>11</v>
      </c>
      <c r="H284" s="1" t="s">
        <v>12</v>
      </c>
      <c r="I284" s="12">
        <f>car_price_prediction_[[#This Row],[Mileage]]/1000</f>
        <v>209.49600000000001</v>
      </c>
      <c r="J284" s="5">
        <v>209496</v>
      </c>
      <c r="K284" s="1" t="s">
        <v>25</v>
      </c>
      <c r="L284" s="5">
        <f>car_price_prediction_[[#This Row],[Price]]/100</f>
        <v>91080.62</v>
      </c>
      <c r="M284">
        <v>9108062</v>
      </c>
      <c r="N284" s="1" t="s">
        <v>27</v>
      </c>
      <c r="O284" s="1">
        <f>IF(IFERROR(VLOOKUP(car_price_prediction_[[#This Row],[Car ID]],A285:A2784,1,FALSE),0),1,0)</f>
        <v>0</v>
      </c>
    </row>
    <row r="285" spans="1:15" x14ac:dyDescent="0.25">
      <c r="A285">
        <v>284</v>
      </c>
      <c r="B285" s="1" t="s">
        <v>15</v>
      </c>
      <c r="C285" s="1">
        <f>car_price_prediction_[[#This Row],[Year2]]</f>
        <v>2003</v>
      </c>
      <c r="D285">
        <v>2003</v>
      </c>
      <c r="E285">
        <f>car_price_prediction_[[#This Row],[Engine Size]]/10</f>
        <v>3.1</v>
      </c>
      <c r="F285">
        <v>31</v>
      </c>
      <c r="G285" s="1" t="s">
        <v>16</v>
      </c>
      <c r="H285" s="1" t="s">
        <v>12</v>
      </c>
      <c r="I285" s="12">
        <f>car_price_prediction_[[#This Row],[Mileage]]/1000</f>
        <v>168.41</v>
      </c>
      <c r="J285" s="5">
        <v>168410</v>
      </c>
      <c r="K285" s="1" t="s">
        <v>25</v>
      </c>
      <c r="L285" s="5">
        <f>car_price_prediction_[[#This Row],[Price]]/100</f>
        <v>22947.88</v>
      </c>
      <c r="M285">
        <v>2294788</v>
      </c>
      <c r="N285" s="1" t="s">
        <v>18</v>
      </c>
      <c r="O285" s="1">
        <f>IF(IFERROR(VLOOKUP(car_price_prediction_[[#This Row],[Car ID]],A286:A2785,1,FALSE),0),1,0)</f>
        <v>0</v>
      </c>
    </row>
    <row r="286" spans="1:15" x14ac:dyDescent="0.25">
      <c r="A286">
        <v>285</v>
      </c>
      <c r="B286" s="1" t="s">
        <v>30</v>
      </c>
      <c r="C286" s="1">
        <f>car_price_prediction_[[#This Row],[Year2]]</f>
        <v>2002</v>
      </c>
      <c r="D286">
        <v>2002</v>
      </c>
      <c r="E286">
        <f>car_price_prediction_[[#This Row],[Engine Size]]/10</f>
        <v>5.5</v>
      </c>
      <c r="F286">
        <v>55</v>
      </c>
      <c r="G286" s="1" t="s">
        <v>16</v>
      </c>
      <c r="H286" s="1" t="s">
        <v>12</v>
      </c>
      <c r="I286" s="12">
        <f>car_price_prediction_[[#This Row],[Mileage]]/1000</f>
        <v>82.494</v>
      </c>
      <c r="J286" s="5">
        <v>82494</v>
      </c>
      <c r="K286" s="1" t="s">
        <v>25</v>
      </c>
      <c r="L286" s="5">
        <f>car_price_prediction_[[#This Row],[Price]]/100</f>
        <v>29369.439999999999</v>
      </c>
      <c r="M286">
        <v>2936944</v>
      </c>
      <c r="N286" s="1" t="s">
        <v>42</v>
      </c>
      <c r="O286" s="1">
        <f>IF(IFERROR(VLOOKUP(car_price_prediction_[[#This Row],[Car ID]],A287:A2786,1,FALSE),0),1,0)</f>
        <v>0</v>
      </c>
    </row>
    <row r="287" spans="1:15" x14ac:dyDescent="0.25">
      <c r="A287">
        <v>286</v>
      </c>
      <c r="B287" s="1" t="s">
        <v>36</v>
      </c>
      <c r="C287" s="1">
        <f>car_price_prediction_[[#This Row],[Year2]]</f>
        <v>2008</v>
      </c>
      <c r="D287">
        <v>2008</v>
      </c>
      <c r="E287">
        <f>car_price_prediction_[[#This Row],[Engine Size]]/10</f>
        <v>3.5</v>
      </c>
      <c r="F287">
        <v>35</v>
      </c>
      <c r="G287" s="1" t="s">
        <v>29</v>
      </c>
      <c r="H287" s="1" t="s">
        <v>22</v>
      </c>
      <c r="I287" s="12">
        <f>car_price_prediction_[[#This Row],[Mileage]]/1000</f>
        <v>215.85900000000001</v>
      </c>
      <c r="J287" s="5">
        <v>215859</v>
      </c>
      <c r="K287" s="1" t="s">
        <v>17</v>
      </c>
      <c r="L287" s="5">
        <f>car_price_prediction_[[#This Row],[Price]]/100</f>
        <v>10066.36</v>
      </c>
      <c r="M287">
        <v>1006636</v>
      </c>
      <c r="N287" s="1" t="s">
        <v>37</v>
      </c>
      <c r="O287" s="1">
        <f>IF(IFERROR(VLOOKUP(car_price_prediction_[[#This Row],[Car ID]],A288:A2787,1,FALSE),0),1,0)</f>
        <v>0</v>
      </c>
    </row>
    <row r="288" spans="1:15" x14ac:dyDescent="0.25">
      <c r="A288">
        <v>287</v>
      </c>
      <c r="B288" s="1" t="s">
        <v>36</v>
      </c>
      <c r="C288" s="1">
        <f>car_price_prediction_[[#This Row],[Year2]]</f>
        <v>2007</v>
      </c>
      <c r="D288">
        <v>2007</v>
      </c>
      <c r="E288">
        <f>car_price_prediction_[[#This Row],[Engine Size]]/10</f>
        <v>1.9</v>
      </c>
      <c r="F288">
        <v>19</v>
      </c>
      <c r="G288" s="1" t="s">
        <v>29</v>
      </c>
      <c r="H288" s="1" t="s">
        <v>12</v>
      </c>
      <c r="I288" s="12">
        <f>car_price_prediction_[[#This Row],[Mileage]]/1000</f>
        <v>233.85300000000001</v>
      </c>
      <c r="J288" s="5">
        <v>233853</v>
      </c>
      <c r="K288" s="1" t="s">
        <v>13</v>
      </c>
      <c r="L288" s="5">
        <f>car_price_prediction_[[#This Row],[Price]]/100</f>
        <v>96713.01</v>
      </c>
      <c r="M288">
        <v>9671301</v>
      </c>
      <c r="N288" s="1" t="s">
        <v>37</v>
      </c>
      <c r="O288" s="1">
        <f>IF(IFERROR(VLOOKUP(car_price_prediction_[[#This Row],[Car ID]],A289:A2788,1,FALSE),0),1,0)</f>
        <v>0</v>
      </c>
    </row>
    <row r="289" spans="1:15" x14ac:dyDescent="0.25">
      <c r="A289">
        <v>288</v>
      </c>
      <c r="B289" s="1" t="s">
        <v>24</v>
      </c>
      <c r="C289" s="1">
        <f>car_price_prediction_[[#This Row],[Year2]]</f>
        <v>2000</v>
      </c>
      <c r="D289">
        <v>2000</v>
      </c>
      <c r="E289">
        <f>car_price_prediction_[[#This Row],[Engine Size]]/10</f>
        <v>1.4</v>
      </c>
      <c r="F289">
        <v>14</v>
      </c>
      <c r="G289" s="1" t="s">
        <v>29</v>
      </c>
      <c r="H289" s="1" t="s">
        <v>22</v>
      </c>
      <c r="I289" s="12">
        <f>car_price_prediction_[[#This Row],[Mileage]]/1000</f>
        <v>128.279</v>
      </c>
      <c r="J289" s="5">
        <v>128279</v>
      </c>
      <c r="K289" s="1" t="s">
        <v>25</v>
      </c>
      <c r="L289" s="5">
        <f>car_price_prediction_[[#This Row],[Price]]/100</f>
        <v>85941.03</v>
      </c>
      <c r="M289">
        <v>8594103</v>
      </c>
      <c r="N289" s="1" t="s">
        <v>34</v>
      </c>
      <c r="O289" s="1">
        <f>IF(IFERROR(VLOOKUP(car_price_prediction_[[#This Row],[Car ID]],A290:A2789,1,FALSE),0),1,0)</f>
        <v>0</v>
      </c>
    </row>
    <row r="290" spans="1:15" x14ac:dyDescent="0.25">
      <c r="A290">
        <v>289</v>
      </c>
      <c r="B290" s="1" t="s">
        <v>10</v>
      </c>
      <c r="C290" s="1">
        <f>car_price_prediction_[[#This Row],[Year2]]</f>
        <v>2005</v>
      </c>
      <c r="D290">
        <v>2005</v>
      </c>
      <c r="E290">
        <f>car_price_prediction_[[#This Row],[Engine Size]]/10</f>
        <v>4.5</v>
      </c>
      <c r="F290">
        <v>45</v>
      </c>
      <c r="G290" s="1" t="s">
        <v>21</v>
      </c>
      <c r="H290" s="1" t="s">
        <v>12</v>
      </c>
      <c r="I290" s="12">
        <f>car_price_prediction_[[#This Row],[Mileage]]/1000</f>
        <v>81.991</v>
      </c>
      <c r="J290" s="5">
        <v>81991</v>
      </c>
      <c r="K290" s="1" t="s">
        <v>13</v>
      </c>
      <c r="L290" s="5">
        <f>car_price_prediction_[[#This Row],[Price]]/100</f>
        <v>91752.54</v>
      </c>
      <c r="M290">
        <v>9175254</v>
      </c>
      <c r="N290" s="1" t="s">
        <v>49</v>
      </c>
      <c r="O290" s="1">
        <f>IF(IFERROR(VLOOKUP(car_price_prediction_[[#This Row],[Car ID]],A291:A2790,1,FALSE),0),1,0)</f>
        <v>0</v>
      </c>
    </row>
    <row r="291" spans="1:15" x14ac:dyDescent="0.25">
      <c r="A291">
        <v>290</v>
      </c>
      <c r="B291" s="1" t="s">
        <v>43</v>
      </c>
      <c r="C291" s="1">
        <f>car_price_prediction_[[#This Row],[Year2]]</f>
        <v>2008</v>
      </c>
      <c r="D291">
        <v>2008</v>
      </c>
      <c r="E291">
        <f>car_price_prediction_[[#This Row],[Engine Size]]/10</f>
        <v>2.9</v>
      </c>
      <c r="F291">
        <v>29</v>
      </c>
      <c r="G291" s="1" t="s">
        <v>11</v>
      </c>
      <c r="H291" s="1" t="s">
        <v>22</v>
      </c>
      <c r="I291" s="12">
        <f>car_price_prediction_[[#This Row],[Mileage]]/1000</f>
        <v>290.15699999999998</v>
      </c>
      <c r="J291" s="5">
        <v>290157</v>
      </c>
      <c r="K291" s="1" t="s">
        <v>13</v>
      </c>
      <c r="L291" s="5">
        <f>car_price_prediction_[[#This Row],[Price]]/100</f>
        <v>85485.54</v>
      </c>
      <c r="M291">
        <v>8548554</v>
      </c>
      <c r="N291" s="1" t="s">
        <v>44</v>
      </c>
      <c r="O291" s="1">
        <f>IF(IFERROR(VLOOKUP(car_price_prediction_[[#This Row],[Car ID]],A292:A2791,1,FALSE),0),1,0)</f>
        <v>0</v>
      </c>
    </row>
    <row r="292" spans="1:15" x14ac:dyDescent="0.25">
      <c r="A292">
        <v>291</v>
      </c>
      <c r="B292" s="1" t="s">
        <v>43</v>
      </c>
      <c r="C292" s="1">
        <f>car_price_prediction_[[#This Row],[Year2]]</f>
        <v>2006</v>
      </c>
      <c r="D292">
        <v>2006</v>
      </c>
      <c r="E292">
        <f>car_price_prediction_[[#This Row],[Engine Size]]/10</f>
        <v>5.0999999999999996</v>
      </c>
      <c r="F292">
        <v>51</v>
      </c>
      <c r="G292" s="1" t="s">
        <v>29</v>
      </c>
      <c r="H292" s="1" t="s">
        <v>12</v>
      </c>
      <c r="I292" s="12">
        <f>car_price_prediction_[[#This Row],[Mileage]]/1000</f>
        <v>52.131999999999998</v>
      </c>
      <c r="J292" s="5">
        <v>52132</v>
      </c>
      <c r="K292" s="1" t="s">
        <v>17</v>
      </c>
      <c r="L292" s="5">
        <f>car_price_prediction_[[#This Row],[Price]]/100</f>
        <v>5055.54</v>
      </c>
      <c r="M292">
        <v>505554</v>
      </c>
      <c r="N292" s="1" t="s">
        <v>44</v>
      </c>
      <c r="O292" s="1">
        <f>IF(IFERROR(VLOOKUP(car_price_prediction_[[#This Row],[Car ID]],A293:A2792,1,FALSE),0),1,0)</f>
        <v>0</v>
      </c>
    </row>
    <row r="293" spans="1:15" x14ac:dyDescent="0.25">
      <c r="A293">
        <v>292</v>
      </c>
      <c r="B293" s="1" t="s">
        <v>15</v>
      </c>
      <c r="C293" s="1">
        <f>car_price_prediction_[[#This Row],[Year2]]</f>
        <v>2003</v>
      </c>
      <c r="D293">
        <v>2003</v>
      </c>
      <c r="E293">
        <f>car_price_prediction_[[#This Row],[Engine Size]]/10</f>
        <v>4.3</v>
      </c>
      <c r="F293">
        <v>43</v>
      </c>
      <c r="G293" s="1" t="s">
        <v>29</v>
      </c>
      <c r="H293" s="1" t="s">
        <v>22</v>
      </c>
      <c r="I293" s="12">
        <f>car_price_prediction_[[#This Row],[Mileage]]/1000</f>
        <v>255.06899999999999</v>
      </c>
      <c r="J293" s="5">
        <v>255069</v>
      </c>
      <c r="K293" s="1" t="s">
        <v>25</v>
      </c>
      <c r="L293" s="5">
        <f>car_price_prediction_[[#This Row],[Price]]/100</f>
        <v>92787.78</v>
      </c>
      <c r="M293">
        <v>9278778</v>
      </c>
      <c r="N293" s="1" t="s">
        <v>51</v>
      </c>
      <c r="O293" s="1">
        <f>IF(IFERROR(VLOOKUP(car_price_prediction_[[#This Row],[Car ID]],A294:A2793,1,FALSE),0),1,0)</f>
        <v>0</v>
      </c>
    </row>
    <row r="294" spans="1:15" x14ac:dyDescent="0.25">
      <c r="A294">
        <v>293</v>
      </c>
      <c r="B294" s="1" t="s">
        <v>24</v>
      </c>
      <c r="C294" s="1">
        <f>car_price_prediction_[[#This Row],[Year2]]</f>
        <v>2012</v>
      </c>
      <c r="D294">
        <v>2012</v>
      </c>
      <c r="E294">
        <f>car_price_prediction_[[#This Row],[Engine Size]]/10</f>
        <v>5</v>
      </c>
      <c r="F294">
        <v>50</v>
      </c>
      <c r="G294" s="1" t="s">
        <v>29</v>
      </c>
      <c r="H294" s="1" t="s">
        <v>12</v>
      </c>
      <c r="I294" s="12">
        <f>car_price_prediction_[[#This Row],[Mileage]]/1000</f>
        <v>159.15600000000001</v>
      </c>
      <c r="J294" s="5">
        <v>159156</v>
      </c>
      <c r="K294" s="1" t="s">
        <v>13</v>
      </c>
      <c r="L294" s="5">
        <f>car_price_prediction_[[#This Row],[Price]]/100</f>
        <v>97099.92</v>
      </c>
      <c r="M294">
        <v>9709992</v>
      </c>
      <c r="N294" s="1" t="s">
        <v>32</v>
      </c>
      <c r="O294" s="1">
        <f>IF(IFERROR(VLOOKUP(car_price_prediction_[[#This Row],[Car ID]],A295:A2794,1,FALSE),0),1,0)</f>
        <v>0</v>
      </c>
    </row>
    <row r="295" spans="1:15" x14ac:dyDescent="0.25">
      <c r="A295">
        <v>294</v>
      </c>
      <c r="B295" s="1" t="s">
        <v>36</v>
      </c>
      <c r="C295" s="1">
        <f>car_price_prediction_[[#This Row],[Year2]]</f>
        <v>2016</v>
      </c>
      <c r="D295">
        <v>2016</v>
      </c>
      <c r="E295">
        <f>car_price_prediction_[[#This Row],[Engine Size]]/10</f>
        <v>2.4</v>
      </c>
      <c r="F295">
        <v>24</v>
      </c>
      <c r="G295" s="1" t="s">
        <v>11</v>
      </c>
      <c r="H295" s="1" t="s">
        <v>22</v>
      </c>
      <c r="I295" s="12">
        <f>car_price_prediction_[[#This Row],[Mileage]]/1000</f>
        <v>152.215</v>
      </c>
      <c r="J295" s="5">
        <v>152215</v>
      </c>
      <c r="K295" s="1" t="s">
        <v>17</v>
      </c>
      <c r="L295" s="5">
        <f>car_price_prediction_[[#This Row],[Price]]/100</f>
        <v>52743.86</v>
      </c>
      <c r="M295">
        <v>5274386</v>
      </c>
      <c r="N295" s="1" t="s">
        <v>41</v>
      </c>
      <c r="O295" s="1">
        <f>IF(IFERROR(VLOOKUP(car_price_prediction_[[#This Row],[Car ID]],A296:A2795,1,FALSE),0),1,0)</f>
        <v>0</v>
      </c>
    </row>
    <row r="296" spans="1:15" x14ac:dyDescent="0.25">
      <c r="A296">
        <v>295</v>
      </c>
      <c r="B296" s="1" t="s">
        <v>19</v>
      </c>
      <c r="C296" s="1">
        <f>car_price_prediction_[[#This Row],[Year2]]</f>
        <v>2001</v>
      </c>
      <c r="D296">
        <v>2001</v>
      </c>
      <c r="E296">
        <f>car_price_prediction_[[#This Row],[Engine Size]]/10</f>
        <v>4.5</v>
      </c>
      <c r="F296">
        <v>45</v>
      </c>
      <c r="G296" s="1" t="s">
        <v>11</v>
      </c>
      <c r="H296" s="1" t="s">
        <v>22</v>
      </c>
      <c r="I296" s="12">
        <f>car_price_prediction_[[#This Row],[Mileage]]/1000</f>
        <v>91.626999999999995</v>
      </c>
      <c r="J296" s="5">
        <v>91627</v>
      </c>
      <c r="K296" s="1" t="s">
        <v>17</v>
      </c>
      <c r="L296" s="5">
        <f>car_price_prediction_[[#This Row],[Price]]/100</f>
        <v>21684.35</v>
      </c>
      <c r="M296">
        <v>2168435</v>
      </c>
      <c r="N296" s="1" t="s">
        <v>20</v>
      </c>
      <c r="O296" s="1">
        <f>IF(IFERROR(VLOOKUP(car_price_prediction_[[#This Row],[Car ID]],A297:A2796,1,FALSE),0),1,0)</f>
        <v>0</v>
      </c>
    </row>
    <row r="297" spans="1:15" x14ac:dyDescent="0.25">
      <c r="A297">
        <v>296</v>
      </c>
      <c r="B297" s="1" t="s">
        <v>24</v>
      </c>
      <c r="C297" s="1">
        <f>car_price_prediction_[[#This Row],[Year2]]</f>
        <v>2004</v>
      </c>
      <c r="D297">
        <v>2004</v>
      </c>
      <c r="E297">
        <f>car_price_prediction_[[#This Row],[Engine Size]]/10</f>
        <v>2.2999999999999998</v>
      </c>
      <c r="F297">
        <v>23</v>
      </c>
      <c r="G297" s="1" t="s">
        <v>29</v>
      </c>
      <c r="H297" s="1" t="s">
        <v>12</v>
      </c>
      <c r="I297" s="12">
        <f>car_price_prediction_[[#This Row],[Mileage]]/1000</f>
        <v>122.77200000000001</v>
      </c>
      <c r="J297" s="5">
        <v>122772</v>
      </c>
      <c r="K297" s="1" t="s">
        <v>17</v>
      </c>
      <c r="L297" s="5">
        <f>car_price_prediction_[[#This Row],[Price]]/100</f>
        <v>67569.14</v>
      </c>
      <c r="M297">
        <v>6756914</v>
      </c>
      <c r="N297" s="1" t="s">
        <v>53</v>
      </c>
      <c r="O297" s="1">
        <f>IF(IFERROR(VLOOKUP(car_price_prediction_[[#This Row],[Car ID]],A298:A2797,1,FALSE),0),1,0)</f>
        <v>0</v>
      </c>
    </row>
    <row r="298" spans="1:15" x14ac:dyDescent="0.25">
      <c r="A298">
        <v>297</v>
      </c>
      <c r="B298" s="1" t="s">
        <v>15</v>
      </c>
      <c r="C298" s="1">
        <f>car_price_prediction_[[#This Row],[Year2]]</f>
        <v>2011</v>
      </c>
      <c r="D298">
        <v>2011</v>
      </c>
      <c r="E298">
        <f>car_price_prediction_[[#This Row],[Engine Size]]/10</f>
        <v>5.7</v>
      </c>
      <c r="F298">
        <v>57</v>
      </c>
      <c r="G298" s="1" t="s">
        <v>29</v>
      </c>
      <c r="H298" s="1" t="s">
        <v>22</v>
      </c>
      <c r="I298" s="12">
        <f>car_price_prediction_[[#This Row],[Mileage]]/1000</f>
        <v>229.41499999999999</v>
      </c>
      <c r="J298" s="5">
        <v>229415</v>
      </c>
      <c r="K298" s="1" t="s">
        <v>25</v>
      </c>
      <c r="L298" s="5">
        <f>car_price_prediction_[[#This Row],[Price]]/100</f>
        <v>97666.64</v>
      </c>
      <c r="M298">
        <v>9766664</v>
      </c>
      <c r="N298" s="1" t="s">
        <v>18</v>
      </c>
      <c r="O298" s="1">
        <f>IF(IFERROR(VLOOKUP(car_price_prediction_[[#This Row],[Car ID]],A299:A2798,1,FALSE),0),1,0)</f>
        <v>0</v>
      </c>
    </row>
    <row r="299" spans="1:15" x14ac:dyDescent="0.25">
      <c r="A299">
        <v>298</v>
      </c>
      <c r="B299" s="1" t="s">
        <v>15</v>
      </c>
      <c r="C299" s="1">
        <f>car_price_prediction_[[#This Row],[Year2]]</f>
        <v>2020</v>
      </c>
      <c r="D299">
        <v>2020</v>
      </c>
      <c r="E299">
        <f>car_price_prediction_[[#This Row],[Engine Size]]/10</f>
        <v>4.2</v>
      </c>
      <c r="F299">
        <v>42</v>
      </c>
      <c r="G299" s="1" t="s">
        <v>16</v>
      </c>
      <c r="H299" s="1" t="s">
        <v>22</v>
      </c>
      <c r="I299" s="12">
        <f>car_price_prediction_[[#This Row],[Mileage]]/1000</f>
        <v>141.29400000000001</v>
      </c>
      <c r="J299" s="5">
        <v>141294</v>
      </c>
      <c r="K299" s="1" t="s">
        <v>25</v>
      </c>
      <c r="L299" s="5">
        <f>car_price_prediction_[[#This Row],[Price]]/100</f>
        <v>87853.95</v>
      </c>
      <c r="M299">
        <v>8785395</v>
      </c>
      <c r="N299" s="1" t="s">
        <v>39</v>
      </c>
      <c r="O299" s="1">
        <f>IF(IFERROR(VLOOKUP(car_price_prediction_[[#This Row],[Car ID]],A300:A2799,1,FALSE),0),1,0)</f>
        <v>0</v>
      </c>
    </row>
    <row r="300" spans="1:15" x14ac:dyDescent="0.25">
      <c r="A300">
        <v>299</v>
      </c>
      <c r="B300" s="1" t="s">
        <v>24</v>
      </c>
      <c r="C300" s="1">
        <f>car_price_prediction_[[#This Row],[Year2]]</f>
        <v>2007</v>
      </c>
      <c r="D300">
        <v>2007</v>
      </c>
      <c r="E300">
        <f>car_price_prediction_[[#This Row],[Engine Size]]/10</f>
        <v>2.6</v>
      </c>
      <c r="F300">
        <v>26</v>
      </c>
      <c r="G300" s="1" t="s">
        <v>29</v>
      </c>
      <c r="H300" s="1" t="s">
        <v>12</v>
      </c>
      <c r="I300" s="12">
        <f>car_price_prediction_[[#This Row],[Mileage]]/1000</f>
        <v>259.01299999999998</v>
      </c>
      <c r="J300" s="5">
        <v>259013</v>
      </c>
      <c r="K300" s="1" t="s">
        <v>17</v>
      </c>
      <c r="L300" s="5">
        <f>car_price_prediction_[[#This Row],[Price]]/100</f>
        <v>86872.44</v>
      </c>
      <c r="M300">
        <v>8687244</v>
      </c>
      <c r="N300" s="1" t="s">
        <v>53</v>
      </c>
      <c r="O300" s="1">
        <f>IF(IFERROR(VLOOKUP(car_price_prediction_[[#This Row],[Car ID]],A301:A2800,1,FALSE),0),1,0)</f>
        <v>0</v>
      </c>
    </row>
    <row r="301" spans="1:15" x14ac:dyDescent="0.25">
      <c r="A301">
        <v>300</v>
      </c>
      <c r="B301" s="1" t="s">
        <v>15</v>
      </c>
      <c r="C301" s="1">
        <f>car_price_prediction_[[#This Row],[Year2]]</f>
        <v>2005</v>
      </c>
      <c r="D301">
        <v>2005</v>
      </c>
      <c r="E301">
        <f>car_price_prediction_[[#This Row],[Engine Size]]/10</f>
        <v>2.2999999999999998</v>
      </c>
      <c r="F301">
        <v>23</v>
      </c>
      <c r="G301" s="1" t="s">
        <v>21</v>
      </c>
      <c r="H301" s="1" t="s">
        <v>12</v>
      </c>
      <c r="I301" s="12">
        <f>car_price_prediction_[[#This Row],[Mileage]]/1000</f>
        <v>16.116</v>
      </c>
      <c r="J301" s="5">
        <v>16116</v>
      </c>
      <c r="K301" s="1" t="s">
        <v>25</v>
      </c>
      <c r="L301" s="5">
        <f>car_price_prediction_[[#This Row],[Price]]/100</f>
        <v>93712.71</v>
      </c>
      <c r="M301">
        <v>9371271</v>
      </c>
      <c r="N301" s="1" t="s">
        <v>18</v>
      </c>
      <c r="O301" s="1">
        <f>IF(IFERROR(VLOOKUP(car_price_prediction_[[#This Row],[Car ID]],A302:A2801,1,FALSE),0),1,0)</f>
        <v>0</v>
      </c>
    </row>
    <row r="302" spans="1:15" x14ac:dyDescent="0.25">
      <c r="A302">
        <v>301</v>
      </c>
      <c r="B302" s="1" t="s">
        <v>24</v>
      </c>
      <c r="C302" s="1">
        <f>car_price_prediction_[[#This Row],[Year2]]</f>
        <v>2007</v>
      </c>
      <c r="D302">
        <v>2007</v>
      </c>
      <c r="E302">
        <f>car_price_prediction_[[#This Row],[Engine Size]]/10</f>
        <v>2</v>
      </c>
      <c r="F302">
        <v>20</v>
      </c>
      <c r="G302" s="1" t="s">
        <v>21</v>
      </c>
      <c r="H302" s="1" t="s">
        <v>22</v>
      </c>
      <c r="I302" s="12">
        <f>car_price_prediction_[[#This Row],[Mileage]]/1000</f>
        <v>182.124</v>
      </c>
      <c r="J302" s="5">
        <v>182124</v>
      </c>
      <c r="K302" s="1" t="s">
        <v>25</v>
      </c>
      <c r="L302" s="5">
        <f>car_price_prediction_[[#This Row],[Price]]/100</f>
        <v>89925.46</v>
      </c>
      <c r="M302">
        <v>8992546</v>
      </c>
      <c r="N302" s="1" t="s">
        <v>26</v>
      </c>
      <c r="O302" s="1">
        <f>IF(IFERROR(VLOOKUP(car_price_prediction_[[#This Row],[Car ID]],A303:A2802,1,FALSE),0),1,0)</f>
        <v>0</v>
      </c>
    </row>
    <row r="303" spans="1:15" x14ac:dyDescent="0.25">
      <c r="A303">
        <v>302</v>
      </c>
      <c r="B303" s="1" t="s">
        <v>30</v>
      </c>
      <c r="C303" s="1">
        <f>car_price_prediction_[[#This Row],[Year2]]</f>
        <v>2017</v>
      </c>
      <c r="D303">
        <v>2017</v>
      </c>
      <c r="E303">
        <f>car_price_prediction_[[#This Row],[Engine Size]]/10</f>
        <v>4.5</v>
      </c>
      <c r="F303">
        <v>45</v>
      </c>
      <c r="G303" s="1" t="s">
        <v>29</v>
      </c>
      <c r="H303" s="1" t="s">
        <v>12</v>
      </c>
      <c r="I303" s="12">
        <f>car_price_prediction_[[#This Row],[Mileage]]/1000</f>
        <v>51.369</v>
      </c>
      <c r="J303" s="5">
        <v>51369</v>
      </c>
      <c r="K303" s="1" t="s">
        <v>13</v>
      </c>
      <c r="L303" s="5">
        <f>car_price_prediction_[[#This Row],[Price]]/100</f>
        <v>78746.759999999995</v>
      </c>
      <c r="M303">
        <v>7874676</v>
      </c>
      <c r="N303" s="1" t="s">
        <v>45</v>
      </c>
      <c r="O303" s="1">
        <f>IF(IFERROR(VLOOKUP(car_price_prediction_[[#This Row],[Car ID]],A304:A2803,1,FALSE),0),1,0)</f>
        <v>0</v>
      </c>
    </row>
    <row r="304" spans="1:15" x14ac:dyDescent="0.25">
      <c r="A304">
        <v>303</v>
      </c>
      <c r="B304" s="1" t="s">
        <v>24</v>
      </c>
      <c r="C304" s="1">
        <f>car_price_prediction_[[#This Row],[Year2]]</f>
        <v>2002</v>
      </c>
      <c r="D304">
        <v>2002</v>
      </c>
      <c r="E304">
        <f>car_price_prediction_[[#This Row],[Engine Size]]/10</f>
        <v>2.1</v>
      </c>
      <c r="F304">
        <v>21</v>
      </c>
      <c r="G304" s="1" t="s">
        <v>11</v>
      </c>
      <c r="H304" s="1" t="s">
        <v>12</v>
      </c>
      <c r="I304" s="12">
        <f>car_price_prediction_[[#This Row],[Mileage]]/1000</f>
        <v>179.88900000000001</v>
      </c>
      <c r="J304" s="5">
        <v>179889</v>
      </c>
      <c r="K304" s="1" t="s">
        <v>17</v>
      </c>
      <c r="L304" s="5">
        <f>car_price_prediction_[[#This Row],[Price]]/100</f>
        <v>73235.92</v>
      </c>
      <c r="M304">
        <v>7323592</v>
      </c>
      <c r="N304" s="1" t="s">
        <v>32</v>
      </c>
      <c r="O304" s="1">
        <f>IF(IFERROR(VLOOKUP(car_price_prediction_[[#This Row],[Car ID]],A305:A2804,1,FALSE),0),1,0)</f>
        <v>0</v>
      </c>
    </row>
    <row r="305" spans="1:15" x14ac:dyDescent="0.25">
      <c r="A305">
        <v>304</v>
      </c>
      <c r="B305" s="1" t="s">
        <v>10</v>
      </c>
      <c r="C305" s="1">
        <f>car_price_prediction_[[#This Row],[Year2]]</f>
        <v>2021</v>
      </c>
      <c r="D305">
        <v>2021</v>
      </c>
      <c r="E305">
        <f>car_price_prediction_[[#This Row],[Engine Size]]/10</f>
        <v>4</v>
      </c>
      <c r="F305">
        <v>40</v>
      </c>
      <c r="G305" s="1" t="s">
        <v>16</v>
      </c>
      <c r="H305" s="1" t="s">
        <v>12</v>
      </c>
      <c r="I305" s="12">
        <f>car_price_prediction_[[#This Row],[Mileage]]/1000</f>
        <v>233.982</v>
      </c>
      <c r="J305" s="5">
        <v>233982</v>
      </c>
      <c r="K305" s="1" t="s">
        <v>17</v>
      </c>
      <c r="L305" s="5">
        <f>car_price_prediction_[[#This Row],[Price]]/100</f>
        <v>30152.880000000001</v>
      </c>
      <c r="M305">
        <v>3015288</v>
      </c>
      <c r="N305" s="1" t="s">
        <v>33</v>
      </c>
      <c r="O305" s="1">
        <f>IF(IFERROR(VLOOKUP(car_price_prediction_[[#This Row],[Car ID]],A306:A2805,1,FALSE),0),1,0)</f>
        <v>0</v>
      </c>
    </row>
    <row r="306" spans="1:15" x14ac:dyDescent="0.25">
      <c r="A306">
        <v>305</v>
      </c>
      <c r="B306" s="1" t="s">
        <v>24</v>
      </c>
      <c r="C306" s="1">
        <f>car_price_prediction_[[#This Row],[Year2]]</f>
        <v>2011</v>
      </c>
      <c r="D306">
        <v>2011</v>
      </c>
      <c r="E306">
        <f>car_price_prediction_[[#This Row],[Engine Size]]/10</f>
        <v>2.2999999999999998</v>
      </c>
      <c r="F306">
        <v>23</v>
      </c>
      <c r="G306" s="1" t="s">
        <v>11</v>
      </c>
      <c r="H306" s="1" t="s">
        <v>22</v>
      </c>
      <c r="I306" s="12">
        <f>car_price_prediction_[[#This Row],[Mileage]]/1000</f>
        <v>214.27500000000001</v>
      </c>
      <c r="J306" s="5">
        <v>214275</v>
      </c>
      <c r="K306" s="1" t="s">
        <v>25</v>
      </c>
      <c r="L306" s="5">
        <f>car_price_prediction_[[#This Row],[Price]]/100</f>
        <v>6402.73</v>
      </c>
      <c r="M306">
        <v>640273</v>
      </c>
      <c r="N306" s="1" t="s">
        <v>32</v>
      </c>
      <c r="O306" s="1">
        <f>IF(IFERROR(VLOOKUP(car_price_prediction_[[#This Row],[Car ID]],A307:A2806,1,FALSE),0),1,0)</f>
        <v>0</v>
      </c>
    </row>
    <row r="307" spans="1:15" x14ac:dyDescent="0.25">
      <c r="A307">
        <v>306</v>
      </c>
      <c r="B307" s="1" t="s">
        <v>15</v>
      </c>
      <c r="C307" s="1">
        <f>car_price_prediction_[[#This Row],[Year2]]</f>
        <v>2002</v>
      </c>
      <c r="D307">
        <v>2002</v>
      </c>
      <c r="E307">
        <f>car_price_prediction_[[#This Row],[Engine Size]]/10</f>
        <v>4.3</v>
      </c>
      <c r="F307">
        <v>43</v>
      </c>
      <c r="G307" s="1" t="s">
        <v>29</v>
      </c>
      <c r="H307" s="1" t="s">
        <v>22</v>
      </c>
      <c r="I307" s="12">
        <f>car_price_prediction_[[#This Row],[Mileage]]/1000</f>
        <v>205.38300000000001</v>
      </c>
      <c r="J307" s="5">
        <v>205383</v>
      </c>
      <c r="K307" s="1" t="s">
        <v>17</v>
      </c>
      <c r="L307" s="5">
        <f>car_price_prediction_[[#This Row],[Price]]/100</f>
        <v>54541.42</v>
      </c>
      <c r="M307">
        <v>5454142</v>
      </c>
      <c r="N307" s="1" t="s">
        <v>35</v>
      </c>
      <c r="O307" s="1">
        <f>IF(IFERROR(VLOOKUP(car_price_prediction_[[#This Row],[Car ID]],A308:A2807,1,FALSE),0),1,0)</f>
        <v>0</v>
      </c>
    </row>
    <row r="308" spans="1:15" x14ac:dyDescent="0.25">
      <c r="A308">
        <v>307</v>
      </c>
      <c r="B308" s="1" t="s">
        <v>10</v>
      </c>
      <c r="C308" s="1">
        <f>car_price_prediction_[[#This Row],[Year2]]</f>
        <v>2021</v>
      </c>
      <c r="D308">
        <v>2021</v>
      </c>
      <c r="E308">
        <f>car_price_prediction_[[#This Row],[Engine Size]]/10</f>
        <v>5.0999999999999996</v>
      </c>
      <c r="F308">
        <v>51</v>
      </c>
      <c r="G308" s="1" t="s">
        <v>21</v>
      </c>
      <c r="H308" s="1" t="s">
        <v>22</v>
      </c>
      <c r="I308" s="12">
        <f>car_price_prediction_[[#This Row],[Mileage]]/1000</f>
        <v>291.79899999999998</v>
      </c>
      <c r="J308" s="5">
        <v>291799</v>
      </c>
      <c r="K308" s="1" t="s">
        <v>17</v>
      </c>
      <c r="L308" s="5">
        <f>car_price_prediction_[[#This Row],[Price]]/100</f>
        <v>86884.69</v>
      </c>
      <c r="M308">
        <v>8688469</v>
      </c>
      <c r="N308" s="1" t="s">
        <v>23</v>
      </c>
      <c r="O308" s="1">
        <f>IF(IFERROR(VLOOKUP(car_price_prediction_[[#This Row],[Car ID]],A309:A2808,1,FALSE),0),1,0)</f>
        <v>0</v>
      </c>
    </row>
    <row r="309" spans="1:15" x14ac:dyDescent="0.25">
      <c r="A309">
        <v>308</v>
      </c>
      <c r="B309" s="1" t="s">
        <v>15</v>
      </c>
      <c r="C309" s="1">
        <f>car_price_prediction_[[#This Row],[Year2]]</f>
        <v>2005</v>
      </c>
      <c r="D309">
        <v>2005</v>
      </c>
      <c r="E309">
        <f>car_price_prediction_[[#This Row],[Engine Size]]/10</f>
        <v>4.9000000000000004</v>
      </c>
      <c r="F309">
        <v>49</v>
      </c>
      <c r="G309" s="1" t="s">
        <v>16</v>
      </c>
      <c r="H309" s="1" t="s">
        <v>22</v>
      </c>
      <c r="I309" s="12">
        <f>car_price_prediction_[[#This Row],[Mileage]]/1000</f>
        <v>188.874</v>
      </c>
      <c r="J309" s="5">
        <v>188874</v>
      </c>
      <c r="K309" s="1" t="s">
        <v>17</v>
      </c>
      <c r="L309" s="5">
        <f>car_price_prediction_[[#This Row],[Price]]/100</f>
        <v>51712.69</v>
      </c>
      <c r="M309">
        <v>5171269</v>
      </c>
      <c r="N309" s="1" t="s">
        <v>39</v>
      </c>
      <c r="O309" s="1">
        <f>IF(IFERROR(VLOOKUP(car_price_prediction_[[#This Row],[Car ID]],A310:A2809,1,FALSE),0),1,0)</f>
        <v>0</v>
      </c>
    </row>
    <row r="310" spans="1:15" x14ac:dyDescent="0.25">
      <c r="A310">
        <v>309</v>
      </c>
      <c r="B310" s="1" t="s">
        <v>43</v>
      </c>
      <c r="C310" s="1">
        <f>car_price_prediction_[[#This Row],[Year2]]</f>
        <v>2001</v>
      </c>
      <c r="D310">
        <v>2001</v>
      </c>
      <c r="E310">
        <f>car_price_prediction_[[#This Row],[Engine Size]]/10</f>
        <v>4.8</v>
      </c>
      <c r="F310">
        <v>48</v>
      </c>
      <c r="G310" s="1" t="s">
        <v>11</v>
      </c>
      <c r="H310" s="1" t="s">
        <v>22</v>
      </c>
      <c r="I310" s="12">
        <f>car_price_prediction_[[#This Row],[Mileage]]/1000</f>
        <v>47.631999999999998</v>
      </c>
      <c r="J310" s="5">
        <v>47632</v>
      </c>
      <c r="K310" s="1" t="s">
        <v>25</v>
      </c>
      <c r="L310" s="5">
        <f>car_price_prediction_[[#This Row],[Price]]/100</f>
        <v>17135.560000000001</v>
      </c>
      <c r="M310">
        <v>1713556</v>
      </c>
      <c r="N310" s="1" t="s">
        <v>50</v>
      </c>
      <c r="O310" s="1">
        <f>IF(IFERROR(VLOOKUP(car_price_prediction_[[#This Row],[Car ID]],A311:A2810,1,FALSE),0),1,0)</f>
        <v>0</v>
      </c>
    </row>
    <row r="311" spans="1:15" x14ac:dyDescent="0.25">
      <c r="A311">
        <v>310</v>
      </c>
      <c r="B311" s="1" t="s">
        <v>43</v>
      </c>
      <c r="C311" s="1">
        <f>car_price_prediction_[[#This Row],[Year2]]</f>
        <v>2022</v>
      </c>
      <c r="D311">
        <v>2022</v>
      </c>
      <c r="E311">
        <f>car_price_prediction_[[#This Row],[Engine Size]]/10</f>
        <v>1.9</v>
      </c>
      <c r="F311">
        <v>19</v>
      </c>
      <c r="G311" s="1" t="s">
        <v>11</v>
      </c>
      <c r="H311" s="1" t="s">
        <v>22</v>
      </c>
      <c r="I311" s="12">
        <f>car_price_prediction_[[#This Row],[Mileage]]/1000</f>
        <v>211.28399999999999</v>
      </c>
      <c r="J311" s="5">
        <v>211284</v>
      </c>
      <c r="K311" s="1" t="s">
        <v>25</v>
      </c>
      <c r="L311" s="5">
        <f>car_price_prediction_[[#This Row],[Price]]/100</f>
        <v>5472.39</v>
      </c>
      <c r="M311">
        <v>547239</v>
      </c>
      <c r="N311" s="1" t="s">
        <v>50</v>
      </c>
      <c r="O311" s="1">
        <f>IF(IFERROR(VLOOKUP(car_price_prediction_[[#This Row],[Car ID]],A312:A2811,1,FALSE),0),1,0)</f>
        <v>0</v>
      </c>
    </row>
    <row r="312" spans="1:15" x14ac:dyDescent="0.25">
      <c r="A312">
        <v>311</v>
      </c>
      <c r="B312" s="1" t="s">
        <v>10</v>
      </c>
      <c r="C312" s="1">
        <f>car_price_prediction_[[#This Row],[Year2]]</f>
        <v>2011</v>
      </c>
      <c r="D312">
        <v>2011</v>
      </c>
      <c r="E312">
        <f>car_price_prediction_[[#This Row],[Engine Size]]/10</f>
        <v>1.4</v>
      </c>
      <c r="F312">
        <v>14</v>
      </c>
      <c r="G312" s="1" t="s">
        <v>29</v>
      </c>
      <c r="H312" s="1" t="s">
        <v>22</v>
      </c>
      <c r="I312" s="12">
        <f>car_price_prediction_[[#This Row],[Mileage]]/1000</f>
        <v>161.84800000000001</v>
      </c>
      <c r="J312" s="5">
        <v>161848</v>
      </c>
      <c r="K312" s="1" t="s">
        <v>25</v>
      </c>
      <c r="L312" s="5">
        <f>car_price_prediction_[[#This Row],[Price]]/100</f>
        <v>69397.95</v>
      </c>
      <c r="M312">
        <v>6939795</v>
      </c>
      <c r="N312" s="1" t="s">
        <v>49</v>
      </c>
      <c r="O312" s="1">
        <f>IF(IFERROR(VLOOKUP(car_price_prediction_[[#This Row],[Car ID]],A313:A2812,1,FALSE),0),1,0)</f>
        <v>0</v>
      </c>
    </row>
    <row r="313" spans="1:15" x14ac:dyDescent="0.25">
      <c r="A313">
        <v>312</v>
      </c>
      <c r="B313" s="1" t="s">
        <v>30</v>
      </c>
      <c r="C313" s="1">
        <f>car_price_prediction_[[#This Row],[Year2]]</f>
        <v>2001</v>
      </c>
      <c r="D313">
        <v>2001</v>
      </c>
      <c r="E313">
        <f>car_price_prediction_[[#This Row],[Engine Size]]/10</f>
        <v>4.5</v>
      </c>
      <c r="F313">
        <v>45</v>
      </c>
      <c r="G313" s="1" t="s">
        <v>16</v>
      </c>
      <c r="H313" s="1" t="s">
        <v>12</v>
      </c>
      <c r="I313" s="12">
        <f>car_price_prediction_[[#This Row],[Mileage]]/1000</f>
        <v>191.08199999999999</v>
      </c>
      <c r="J313" s="5">
        <v>191082</v>
      </c>
      <c r="K313" s="1" t="s">
        <v>13</v>
      </c>
      <c r="L313" s="5">
        <f>car_price_prediction_[[#This Row],[Price]]/100</f>
        <v>5724.13</v>
      </c>
      <c r="M313">
        <v>572413</v>
      </c>
      <c r="N313" s="1" t="s">
        <v>31</v>
      </c>
      <c r="O313" s="1">
        <f>IF(IFERROR(VLOOKUP(car_price_prediction_[[#This Row],[Car ID]],A314:A2813,1,FALSE),0),1,0)</f>
        <v>0</v>
      </c>
    </row>
    <row r="314" spans="1:15" x14ac:dyDescent="0.25">
      <c r="A314">
        <v>313</v>
      </c>
      <c r="B314" s="1" t="s">
        <v>43</v>
      </c>
      <c r="C314" s="1">
        <f>car_price_prediction_[[#This Row],[Year2]]</f>
        <v>2005</v>
      </c>
      <c r="D314">
        <v>2005</v>
      </c>
      <c r="E314">
        <f>car_price_prediction_[[#This Row],[Engine Size]]/10</f>
        <v>2.8</v>
      </c>
      <c r="F314">
        <v>28</v>
      </c>
      <c r="G314" s="1" t="s">
        <v>21</v>
      </c>
      <c r="H314" s="1" t="s">
        <v>22</v>
      </c>
      <c r="I314" s="12">
        <f>car_price_prediction_[[#This Row],[Mileage]]/1000</f>
        <v>213.80699999999999</v>
      </c>
      <c r="J314" s="5">
        <v>213807</v>
      </c>
      <c r="K314" s="1" t="s">
        <v>17</v>
      </c>
      <c r="L314" s="5">
        <f>car_price_prediction_[[#This Row],[Price]]/100</f>
        <v>36441.480000000003</v>
      </c>
      <c r="M314">
        <v>3644148</v>
      </c>
      <c r="N314" s="1" t="s">
        <v>52</v>
      </c>
      <c r="O314" s="1">
        <f>IF(IFERROR(VLOOKUP(car_price_prediction_[[#This Row],[Car ID]],A315:A2814,1,FALSE),0),1,0)</f>
        <v>0</v>
      </c>
    </row>
    <row r="315" spans="1:15" x14ac:dyDescent="0.25">
      <c r="A315">
        <v>314</v>
      </c>
      <c r="B315" s="1" t="s">
        <v>24</v>
      </c>
      <c r="C315" s="1">
        <f>car_price_prediction_[[#This Row],[Year2]]</f>
        <v>2016</v>
      </c>
      <c r="D315">
        <v>2016</v>
      </c>
      <c r="E315">
        <f>car_price_prediction_[[#This Row],[Engine Size]]/10</f>
        <v>3.2</v>
      </c>
      <c r="F315">
        <v>32</v>
      </c>
      <c r="G315" s="1" t="s">
        <v>29</v>
      </c>
      <c r="H315" s="1" t="s">
        <v>22</v>
      </c>
      <c r="I315" s="12">
        <f>car_price_prediction_[[#This Row],[Mileage]]/1000</f>
        <v>196.523</v>
      </c>
      <c r="J315" s="5">
        <v>196523</v>
      </c>
      <c r="K315" s="1" t="s">
        <v>13</v>
      </c>
      <c r="L315" s="5">
        <f>car_price_prediction_[[#This Row],[Price]]/100</f>
        <v>21052.35</v>
      </c>
      <c r="M315">
        <v>2105235</v>
      </c>
      <c r="N315" s="1" t="s">
        <v>53</v>
      </c>
      <c r="O315" s="1">
        <f>IF(IFERROR(VLOOKUP(car_price_prediction_[[#This Row],[Car ID]],A316:A2815,1,FALSE),0),1,0)</f>
        <v>0</v>
      </c>
    </row>
    <row r="316" spans="1:15" x14ac:dyDescent="0.25">
      <c r="A316">
        <v>315</v>
      </c>
      <c r="B316" s="1" t="s">
        <v>15</v>
      </c>
      <c r="C316" s="1">
        <f>car_price_prediction_[[#This Row],[Year2]]</f>
        <v>2002</v>
      </c>
      <c r="D316">
        <v>2002</v>
      </c>
      <c r="E316">
        <f>car_price_prediction_[[#This Row],[Engine Size]]/10</f>
        <v>1.2</v>
      </c>
      <c r="F316">
        <v>12</v>
      </c>
      <c r="G316" s="1" t="s">
        <v>16</v>
      </c>
      <c r="H316" s="1" t="s">
        <v>12</v>
      </c>
      <c r="I316" s="12">
        <f>car_price_prediction_[[#This Row],[Mileage]]/1000</f>
        <v>179.88399999999999</v>
      </c>
      <c r="J316" s="5">
        <v>179884</v>
      </c>
      <c r="K316" s="1" t="s">
        <v>25</v>
      </c>
      <c r="L316" s="5">
        <f>car_price_prediction_[[#This Row],[Price]]/100</f>
        <v>49337.96</v>
      </c>
      <c r="M316">
        <v>4933796</v>
      </c>
      <c r="N316" s="1" t="s">
        <v>18</v>
      </c>
      <c r="O316" s="1">
        <f>IF(IFERROR(VLOOKUP(car_price_prediction_[[#This Row],[Car ID]],A317:A2816,1,FALSE),0),1,0)</f>
        <v>0</v>
      </c>
    </row>
    <row r="317" spans="1:15" x14ac:dyDescent="0.25">
      <c r="A317">
        <v>316</v>
      </c>
      <c r="B317" s="1" t="s">
        <v>43</v>
      </c>
      <c r="C317" s="1">
        <f>car_price_prediction_[[#This Row],[Year2]]</f>
        <v>2001</v>
      </c>
      <c r="D317">
        <v>2001</v>
      </c>
      <c r="E317">
        <f>car_price_prediction_[[#This Row],[Engine Size]]/10</f>
        <v>2.2999999999999998</v>
      </c>
      <c r="F317">
        <v>23</v>
      </c>
      <c r="G317" s="1" t="s">
        <v>11</v>
      </c>
      <c r="H317" s="1" t="s">
        <v>12</v>
      </c>
      <c r="I317" s="12">
        <f>car_price_prediction_[[#This Row],[Mileage]]/1000</f>
        <v>281.03899999999999</v>
      </c>
      <c r="J317" s="5">
        <v>281039</v>
      </c>
      <c r="K317" s="1" t="s">
        <v>13</v>
      </c>
      <c r="L317" s="5">
        <f>car_price_prediction_[[#This Row],[Price]]/100</f>
        <v>14527.21</v>
      </c>
      <c r="M317">
        <v>1452721</v>
      </c>
      <c r="N317" s="1" t="s">
        <v>47</v>
      </c>
      <c r="O317" s="1">
        <f>IF(IFERROR(VLOOKUP(car_price_prediction_[[#This Row],[Car ID]],A318:A2817,1,FALSE),0),1,0)</f>
        <v>0</v>
      </c>
    </row>
    <row r="318" spans="1:15" x14ac:dyDescent="0.25">
      <c r="A318">
        <v>317</v>
      </c>
      <c r="B318" s="1" t="s">
        <v>43</v>
      </c>
      <c r="C318" s="1">
        <f>car_price_prediction_[[#This Row],[Year2]]</f>
        <v>2022</v>
      </c>
      <c r="D318">
        <v>2022</v>
      </c>
      <c r="E318">
        <f>car_price_prediction_[[#This Row],[Engine Size]]/10</f>
        <v>1.2</v>
      </c>
      <c r="F318">
        <v>12</v>
      </c>
      <c r="G318" s="1" t="s">
        <v>29</v>
      </c>
      <c r="H318" s="1" t="s">
        <v>12</v>
      </c>
      <c r="I318" s="12">
        <f>car_price_prediction_[[#This Row],[Mileage]]/1000</f>
        <v>235.892</v>
      </c>
      <c r="J318" s="5">
        <v>235892</v>
      </c>
      <c r="K318" s="1" t="s">
        <v>17</v>
      </c>
      <c r="L318" s="5">
        <f>car_price_prediction_[[#This Row],[Price]]/100</f>
        <v>36930.31</v>
      </c>
      <c r="M318">
        <v>3693031</v>
      </c>
      <c r="N318" s="1" t="s">
        <v>47</v>
      </c>
      <c r="O318" s="1">
        <f>IF(IFERROR(VLOOKUP(car_price_prediction_[[#This Row],[Car ID]],A319:A2818,1,FALSE),0),1,0)</f>
        <v>0</v>
      </c>
    </row>
    <row r="319" spans="1:15" x14ac:dyDescent="0.25">
      <c r="A319">
        <v>318</v>
      </c>
      <c r="B319" s="1" t="s">
        <v>30</v>
      </c>
      <c r="C319" s="1">
        <f>car_price_prediction_[[#This Row],[Year2]]</f>
        <v>2019</v>
      </c>
      <c r="D319">
        <v>2019</v>
      </c>
      <c r="E319">
        <f>car_price_prediction_[[#This Row],[Engine Size]]/10</f>
        <v>5.4</v>
      </c>
      <c r="F319">
        <v>54</v>
      </c>
      <c r="G319" s="1" t="s">
        <v>11</v>
      </c>
      <c r="H319" s="1" t="s">
        <v>22</v>
      </c>
      <c r="I319" s="12">
        <f>car_price_prediction_[[#This Row],[Mileage]]/1000</f>
        <v>213.40799999999999</v>
      </c>
      <c r="J319" s="5">
        <v>213408</v>
      </c>
      <c r="K319" s="1" t="s">
        <v>17</v>
      </c>
      <c r="L319" s="5">
        <f>car_price_prediction_[[#This Row],[Price]]/100</f>
        <v>41025.129999999997</v>
      </c>
      <c r="M319">
        <v>4102513</v>
      </c>
      <c r="N319" s="1" t="s">
        <v>48</v>
      </c>
      <c r="O319" s="1">
        <f>IF(IFERROR(VLOOKUP(car_price_prediction_[[#This Row],[Car ID]],A320:A2819,1,FALSE),0),1,0)</f>
        <v>0</v>
      </c>
    </row>
    <row r="320" spans="1:15" x14ac:dyDescent="0.25">
      <c r="A320">
        <v>319</v>
      </c>
      <c r="B320" s="1" t="s">
        <v>10</v>
      </c>
      <c r="C320" s="1">
        <f>car_price_prediction_[[#This Row],[Year2]]</f>
        <v>2007</v>
      </c>
      <c r="D320">
        <v>2007</v>
      </c>
      <c r="E320">
        <f>car_price_prediction_[[#This Row],[Engine Size]]/10</f>
        <v>2.2000000000000002</v>
      </c>
      <c r="F320">
        <v>22</v>
      </c>
      <c r="G320" s="1" t="s">
        <v>11</v>
      </c>
      <c r="H320" s="1" t="s">
        <v>12</v>
      </c>
      <c r="I320" s="12">
        <f>car_price_prediction_[[#This Row],[Mileage]]/1000</f>
        <v>242.71799999999999</v>
      </c>
      <c r="J320" s="5">
        <v>242718</v>
      </c>
      <c r="K320" s="1" t="s">
        <v>25</v>
      </c>
      <c r="L320" s="5">
        <f>car_price_prediction_[[#This Row],[Price]]/100</f>
        <v>49233.78</v>
      </c>
      <c r="M320">
        <v>4923378</v>
      </c>
      <c r="N320" s="1" t="s">
        <v>14</v>
      </c>
      <c r="O320" s="1">
        <f>IF(IFERROR(VLOOKUP(car_price_prediction_[[#This Row],[Car ID]],A321:A2820,1,FALSE),0),1,0)</f>
        <v>0</v>
      </c>
    </row>
    <row r="321" spans="1:15" x14ac:dyDescent="0.25">
      <c r="A321">
        <v>320</v>
      </c>
      <c r="B321" s="1" t="s">
        <v>10</v>
      </c>
      <c r="C321" s="1">
        <f>car_price_prediction_[[#This Row],[Year2]]</f>
        <v>2021</v>
      </c>
      <c r="D321">
        <v>2021</v>
      </c>
      <c r="E321">
        <f>car_price_prediction_[[#This Row],[Engine Size]]/10</f>
        <v>3.8</v>
      </c>
      <c r="F321">
        <v>38</v>
      </c>
      <c r="G321" s="1" t="s">
        <v>29</v>
      </c>
      <c r="H321" s="1" t="s">
        <v>22</v>
      </c>
      <c r="I321" s="12">
        <f>car_price_prediction_[[#This Row],[Mileage]]/1000</f>
        <v>192.87899999999999</v>
      </c>
      <c r="J321" s="5">
        <v>192879</v>
      </c>
      <c r="K321" s="1" t="s">
        <v>25</v>
      </c>
      <c r="L321" s="5">
        <f>car_price_prediction_[[#This Row],[Price]]/100</f>
        <v>49328.97</v>
      </c>
      <c r="M321">
        <v>4932897</v>
      </c>
      <c r="N321" s="1" t="s">
        <v>14</v>
      </c>
      <c r="O321" s="1">
        <f>IF(IFERROR(VLOOKUP(car_price_prediction_[[#This Row],[Car ID]],A322:A2821,1,FALSE),0),1,0)</f>
        <v>0</v>
      </c>
    </row>
    <row r="322" spans="1:15" x14ac:dyDescent="0.25">
      <c r="A322">
        <v>321</v>
      </c>
      <c r="B322" s="1" t="s">
        <v>36</v>
      </c>
      <c r="C322" s="1">
        <f>car_price_prediction_[[#This Row],[Year2]]</f>
        <v>2011</v>
      </c>
      <c r="D322">
        <v>2011</v>
      </c>
      <c r="E322">
        <f>car_price_prediction_[[#This Row],[Engine Size]]/10</f>
        <v>1.2</v>
      </c>
      <c r="F322">
        <v>12</v>
      </c>
      <c r="G322" s="1" t="s">
        <v>29</v>
      </c>
      <c r="H322" s="1" t="s">
        <v>22</v>
      </c>
      <c r="I322" s="12">
        <f>car_price_prediction_[[#This Row],[Mileage]]/1000</f>
        <v>23.085999999999999</v>
      </c>
      <c r="J322" s="5">
        <v>23086</v>
      </c>
      <c r="K322" s="1" t="s">
        <v>13</v>
      </c>
      <c r="L322" s="5">
        <f>car_price_prediction_[[#This Row],[Price]]/100</f>
        <v>29415.54</v>
      </c>
      <c r="M322">
        <v>2941554</v>
      </c>
      <c r="N322" s="1" t="s">
        <v>40</v>
      </c>
      <c r="O322" s="1">
        <f>IF(IFERROR(VLOOKUP(car_price_prediction_[[#This Row],[Car ID]],A323:A2822,1,FALSE),0),1,0)</f>
        <v>0</v>
      </c>
    </row>
    <row r="323" spans="1:15" x14ac:dyDescent="0.25">
      <c r="A323">
        <v>322</v>
      </c>
      <c r="B323" s="1" t="s">
        <v>30</v>
      </c>
      <c r="C323" s="1">
        <f>car_price_prediction_[[#This Row],[Year2]]</f>
        <v>2003</v>
      </c>
      <c r="D323">
        <v>2003</v>
      </c>
      <c r="E323">
        <f>car_price_prediction_[[#This Row],[Engine Size]]/10</f>
        <v>4.3</v>
      </c>
      <c r="F323">
        <v>43</v>
      </c>
      <c r="G323" s="1" t="s">
        <v>29</v>
      </c>
      <c r="H323" s="1" t="s">
        <v>22</v>
      </c>
      <c r="I323" s="12">
        <f>car_price_prediction_[[#This Row],[Mileage]]/1000</f>
        <v>85.637</v>
      </c>
      <c r="J323" s="5">
        <v>85637</v>
      </c>
      <c r="K323" s="1" t="s">
        <v>25</v>
      </c>
      <c r="L323" s="5">
        <f>car_price_prediction_[[#This Row],[Price]]/100</f>
        <v>85770.04</v>
      </c>
      <c r="M323">
        <v>8577004</v>
      </c>
      <c r="N323" s="1" t="s">
        <v>48</v>
      </c>
      <c r="O323" s="1">
        <f>IF(IFERROR(VLOOKUP(car_price_prediction_[[#This Row],[Car ID]],A324:A2823,1,FALSE),0),1,0)</f>
        <v>0</v>
      </c>
    </row>
    <row r="324" spans="1:15" x14ac:dyDescent="0.25">
      <c r="A324">
        <v>323</v>
      </c>
      <c r="B324" s="1" t="s">
        <v>24</v>
      </c>
      <c r="C324" s="1">
        <f>car_price_prediction_[[#This Row],[Year2]]</f>
        <v>2004</v>
      </c>
      <c r="D324">
        <v>2004</v>
      </c>
      <c r="E324">
        <f>car_price_prediction_[[#This Row],[Engine Size]]/10</f>
        <v>2.6</v>
      </c>
      <c r="F324">
        <v>26</v>
      </c>
      <c r="G324" s="1" t="s">
        <v>29</v>
      </c>
      <c r="H324" s="1" t="s">
        <v>12</v>
      </c>
      <c r="I324" s="12">
        <f>car_price_prediction_[[#This Row],[Mileage]]/1000</f>
        <v>158.279</v>
      </c>
      <c r="J324" s="5">
        <v>158279</v>
      </c>
      <c r="K324" s="1" t="s">
        <v>13</v>
      </c>
      <c r="L324" s="5">
        <f>car_price_prediction_[[#This Row],[Price]]/100</f>
        <v>38776.629999999997</v>
      </c>
      <c r="M324">
        <v>3877663</v>
      </c>
      <c r="N324" s="1" t="s">
        <v>34</v>
      </c>
      <c r="O324" s="1">
        <f>IF(IFERROR(VLOOKUP(car_price_prediction_[[#This Row],[Car ID]],A325:A2824,1,FALSE),0),1,0)</f>
        <v>0</v>
      </c>
    </row>
    <row r="325" spans="1:15" x14ac:dyDescent="0.25">
      <c r="A325">
        <v>324</v>
      </c>
      <c r="B325" s="1" t="s">
        <v>10</v>
      </c>
      <c r="C325" s="1">
        <f>car_price_prediction_[[#This Row],[Year2]]</f>
        <v>2012</v>
      </c>
      <c r="D325">
        <v>2012</v>
      </c>
      <c r="E325">
        <f>car_price_prediction_[[#This Row],[Engine Size]]/10</f>
        <v>5.5</v>
      </c>
      <c r="F325">
        <v>55</v>
      </c>
      <c r="G325" s="1" t="s">
        <v>29</v>
      </c>
      <c r="H325" s="1" t="s">
        <v>12</v>
      </c>
      <c r="I325" s="12">
        <f>car_price_prediction_[[#This Row],[Mileage]]/1000</f>
        <v>151.96899999999999</v>
      </c>
      <c r="J325" s="5">
        <v>151969</v>
      </c>
      <c r="K325" s="1" t="s">
        <v>17</v>
      </c>
      <c r="L325" s="5">
        <f>car_price_prediction_[[#This Row],[Price]]/100</f>
        <v>26810.79</v>
      </c>
      <c r="M325">
        <v>2681079</v>
      </c>
      <c r="N325" s="1" t="s">
        <v>49</v>
      </c>
      <c r="O325" s="1">
        <f>IF(IFERROR(VLOOKUP(car_price_prediction_[[#This Row],[Car ID]],A326:A2825,1,FALSE),0),1,0)</f>
        <v>0</v>
      </c>
    </row>
    <row r="326" spans="1:15" x14ac:dyDescent="0.25">
      <c r="A326">
        <v>325</v>
      </c>
      <c r="B326" s="1" t="s">
        <v>15</v>
      </c>
      <c r="C326" s="1">
        <f>car_price_prediction_[[#This Row],[Year2]]</f>
        <v>2014</v>
      </c>
      <c r="D326">
        <v>2014</v>
      </c>
      <c r="E326">
        <f>car_price_prediction_[[#This Row],[Engine Size]]/10</f>
        <v>5.4</v>
      </c>
      <c r="F326">
        <v>54</v>
      </c>
      <c r="G326" s="1" t="s">
        <v>11</v>
      </c>
      <c r="H326" s="1" t="s">
        <v>22</v>
      </c>
      <c r="I326" s="12">
        <f>car_price_prediction_[[#This Row],[Mileage]]/1000</f>
        <v>63.082999999999998</v>
      </c>
      <c r="J326" s="5">
        <v>63083</v>
      </c>
      <c r="K326" s="1" t="s">
        <v>17</v>
      </c>
      <c r="L326" s="5">
        <f>car_price_prediction_[[#This Row],[Price]]/100</f>
        <v>21701.94</v>
      </c>
      <c r="M326">
        <v>2170194</v>
      </c>
      <c r="N326" s="1" t="s">
        <v>35</v>
      </c>
      <c r="O326" s="1">
        <f>IF(IFERROR(VLOOKUP(car_price_prediction_[[#This Row],[Car ID]],A327:A2826,1,FALSE),0),1,0)</f>
        <v>0</v>
      </c>
    </row>
    <row r="327" spans="1:15" x14ac:dyDescent="0.25">
      <c r="A327">
        <v>326</v>
      </c>
      <c r="B327" s="1" t="s">
        <v>30</v>
      </c>
      <c r="C327" s="1">
        <f>car_price_prediction_[[#This Row],[Year2]]</f>
        <v>2022</v>
      </c>
      <c r="D327">
        <v>2022</v>
      </c>
      <c r="E327">
        <f>car_price_prediction_[[#This Row],[Engine Size]]/10</f>
        <v>2.6</v>
      </c>
      <c r="F327">
        <v>26</v>
      </c>
      <c r="G327" s="1" t="s">
        <v>21</v>
      </c>
      <c r="H327" s="1" t="s">
        <v>22</v>
      </c>
      <c r="I327" s="12">
        <f>car_price_prediction_[[#This Row],[Mileage]]/1000</f>
        <v>95.028000000000006</v>
      </c>
      <c r="J327" s="5">
        <v>95028</v>
      </c>
      <c r="K327" s="1" t="s">
        <v>17</v>
      </c>
      <c r="L327" s="5">
        <f>car_price_prediction_[[#This Row],[Price]]/100</f>
        <v>35644.949999999997</v>
      </c>
      <c r="M327">
        <v>3564495</v>
      </c>
      <c r="N327" s="1" t="s">
        <v>45</v>
      </c>
      <c r="O327" s="1">
        <f>IF(IFERROR(VLOOKUP(car_price_prediction_[[#This Row],[Car ID]],A328:A2827,1,FALSE),0),1,0)</f>
        <v>0</v>
      </c>
    </row>
    <row r="328" spans="1:15" x14ac:dyDescent="0.25">
      <c r="A328">
        <v>327</v>
      </c>
      <c r="B328" s="1" t="s">
        <v>43</v>
      </c>
      <c r="C328" s="1">
        <f>car_price_prediction_[[#This Row],[Year2]]</f>
        <v>2015</v>
      </c>
      <c r="D328">
        <v>2015</v>
      </c>
      <c r="E328">
        <f>car_price_prediction_[[#This Row],[Engine Size]]/10</f>
        <v>5.5</v>
      </c>
      <c r="F328">
        <v>55</v>
      </c>
      <c r="G328" s="1" t="s">
        <v>21</v>
      </c>
      <c r="H328" s="1" t="s">
        <v>22</v>
      </c>
      <c r="I328" s="12">
        <f>car_price_prediction_[[#This Row],[Mileage]]/1000</f>
        <v>97.551000000000002</v>
      </c>
      <c r="J328" s="5">
        <v>97551</v>
      </c>
      <c r="K328" s="1" t="s">
        <v>17</v>
      </c>
      <c r="L328" s="5">
        <f>car_price_prediction_[[#This Row],[Price]]/100</f>
        <v>11417.52</v>
      </c>
      <c r="M328">
        <v>1141752</v>
      </c>
      <c r="N328" s="1" t="s">
        <v>52</v>
      </c>
      <c r="O328" s="1">
        <f>IF(IFERROR(VLOOKUP(car_price_prediction_[[#This Row],[Car ID]],A329:A2828,1,FALSE),0),1,0)</f>
        <v>0</v>
      </c>
    </row>
    <row r="329" spans="1:15" x14ac:dyDescent="0.25">
      <c r="A329">
        <v>328</v>
      </c>
      <c r="B329" s="1" t="s">
        <v>15</v>
      </c>
      <c r="C329" s="1">
        <f>car_price_prediction_[[#This Row],[Year2]]</f>
        <v>2009</v>
      </c>
      <c r="D329">
        <v>2009</v>
      </c>
      <c r="E329">
        <f>car_price_prediction_[[#This Row],[Engine Size]]/10</f>
        <v>6</v>
      </c>
      <c r="F329">
        <v>60</v>
      </c>
      <c r="G329" s="1" t="s">
        <v>29</v>
      </c>
      <c r="H329" s="1" t="s">
        <v>12</v>
      </c>
      <c r="I329" s="12">
        <f>car_price_prediction_[[#This Row],[Mileage]]/1000</f>
        <v>138.35499999999999</v>
      </c>
      <c r="J329" s="5">
        <v>138355</v>
      </c>
      <c r="K329" s="1" t="s">
        <v>17</v>
      </c>
      <c r="L329" s="5">
        <f>car_price_prediction_[[#This Row],[Price]]/100</f>
        <v>8126.21</v>
      </c>
      <c r="M329">
        <v>812621</v>
      </c>
      <c r="N329" s="1" t="s">
        <v>18</v>
      </c>
      <c r="O329" s="1">
        <f>IF(IFERROR(VLOOKUP(car_price_prediction_[[#This Row],[Car ID]],A330:A2829,1,FALSE),0),1,0)</f>
        <v>0</v>
      </c>
    </row>
    <row r="330" spans="1:15" x14ac:dyDescent="0.25">
      <c r="A330">
        <v>329</v>
      </c>
      <c r="B330" s="1" t="s">
        <v>15</v>
      </c>
      <c r="C330" s="1">
        <f>car_price_prediction_[[#This Row],[Year2]]</f>
        <v>2022</v>
      </c>
      <c r="D330">
        <v>2022</v>
      </c>
      <c r="E330">
        <f>car_price_prediction_[[#This Row],[Engine Size]]/10</f>
        <v>5.0999999999999996</v>
      </c>
      <c r="F330">
        <v>51</v>
      </c>
      <c r="G330" s="1" t="s">
        <v>11</v>
      </c>
      <c r="H330" s="1" t="s">
        <v>22</v>
      </c>
      <c r="I330" s="12">
        <f>car_price_prediction_[[#This Row],[Mileage]]/1000</f>
        <v>94.024000000000001</v>
      </c>
      <c r="J330" s="5">
        <v>94024</v>
      </c>
      <c r="K330" s="1" t="s">
        <v>13</v>
      </c>
      <c r="L330" s="5">
        <f>car_price_prediction_[[#This Row],[Price]]/100</f>
        <v>62488.51</v>
      </c>
      <c r="M330">
        <v>6248851</v>
      </c>
      <c r="N330" s="1" t="s">
        <v>18</v>
      </c>
      <c r="O330" s="1">
        <f>IF(IFERROR(VLOOKUP(car_price_prediction_[[#This Row],[Car ID]],A331:A2830,1,FALSE),0),1,0)</f>
        <v>0</v>
      </c>
    </row>
    <row r="331" spans="1:15" x14ac:dyDescent="0.25">
      <c r="A331">
        <v>330</v>
      </c>
      <c r="B331" s="1" t="s">
        <v>43</v>
      </c>
      <c r="C331" s="1">
        <f>car_price_prediction_[[#This Row],[Year2]]</f>
        <v>2015</v>
      </c>
      <c r="D331">
        <v>2015</v>
      </c>
      <c r="E331">
        <f>car_price_prediction_[[#This Row],[Engine Size]]/10</f>
        <v>5.2</v>
      </c>
      <c r="F331">
        <v>52</v>
      </c>
      <c r="G331" s="1" t="s">
        <v>21</v>
      </c>
      <c r="H331" s="1" t="s">
        <v>12</v>
      </c>
      <c r="I331" s="12">
        <f>car_price_prediction_[[#This Row],[Mileage]]/1000</f>
        <v>262.399</v>
      </c>
      <c r="J331" s="5">
        <v>262399</v>
      </c>
      <c r="K331" s="1" t="s">
        <v>17</v>
      </c>
      <c r="L331" s="5">
        <f>car_price_prediction_[[#This Row],[Price]]/100</f>
        <v>63818.98</v>
      </c>
      <c r="M331">
        <v>6381898</v>
      </c>
      <c r="N331" s="1" t="s">
        <v>52</v>
      </c>
      <c r="O331" s="1">
        <f>IF(IFERROR(VLOOKUP(car_price_prediction_[[#This Row],[Car ID]],A332:A2831,1,FALSE),0),1,0)</f>
        <v>0</v>
      </c>
    </row>
    <row r="332" spans="1:15" x14ac:dyDescent="0.25">
      <c r="A332">
        <v>331</v>
      </c>
      <c r="B332" s="1" t="s">
        <v>30</v>
      </c>
      <c r="C332" s="1">
        <f>car_price_prediction_[[#This Row],[Year2]]</f>
        <v>2011</v>
      </c>
      <c r="D332">
        <v>2011</v>
      </c>
      <c r="E332">
        <f>car_price_prediction_[[#This Row],[Engine Size]]/10</f>
        <v>2.2000000000000002</v>
      </c>
      <c r="F332">
        <v>22</v>
      </c>
      <c r="G332" s="1" t="s">
        <v>21</v>
      </c>
      <c r="H332" s="1" t="s">
        <v>22</v>
      </c>
      <c r="I332" s="12">
        <f>car_price_prediction_[[#This Row],[Mileage]]/1000</f>
        <v>207.62700000000001</v>
      </c>
      <c r="J332" s="5">
        <v>207627</v>
      </c>
      <c r="K332" s="1" t="s">
        <v>13</v>
      </c>
      <c r="L332" s="5">
        <f>car_price_prediction_[[#This Row],[Price]]/100</f>
        <v>55310.879999999997</v>
      </c>
      <c r="M332">
        <v>5531088</v>
      </c>
      <c r="N332" s="1" t="s">
        <v>31</v>
      </c>
      <c r="O332" s="1">
        <f>IF(IFERROR(VLOOKUP(car_price_prediction_[[#This Row],[Car ID]],A333:A2832,1,FALSE),0),1,0)</f>
        <v>0</v>
      </c>
    </row>
    <row r="333" spans="1:15" x14ac:dyDescent="0.25">
      <c r="A333">
        <v>332</v>
      </c>
      <c r="B333" s="1" t="s">
        <v>43</v>
      </c>
      <c r="C333" s="1">
        <f>car_price_prediction_[[#This Row],[Year2]]</f>
        <v>2016</v>
      </c>
      <c r="D333">
        <v>2016</v>
      </c>
      <c r="E333">
        <f>car_price_prediction_[[#This Row],[Engine Size]]/10</f>
        <v>3.9</v>
      </c>
      <c r="F333">
        <v>39</v>
      </c>
      <c r="G333" s="1" t="s">
        <v>21</v>
      </c>
      <c r="H333" s="1" t="s">
        <v>12</v>
      </c>
      <c r="I333" s="12">
        <f>car_price_prediction_[[#This Row],[Mileage]]/1000</f>
        <v>15.487</v>
      </c>
      <c r="J333" s="5">
        <v>15487</v>
      </c>
      <c r="K333" s="1" t="s">
        <v>17</v>
      </c>
      <c r="L333" s="5">
        <f>car_price_prediction_[[#This Row],[Price]]/100</f>
        <v>77417.09</v>
      </c>
      <c r="M333">
        <v>7741709</v>
      </c>
      <c r="N333" s="1" t="s">
        <v>47</v>
      </c>
      <c r="O333" s="1">
        <f>IF(IFERROR(VLOOKUP(car_price_prediction_[[#This Row],[Car ID]],A334:A2833,1,FALSE),0),1,0)</f>
        <v>0</v>
      </c>
    </row>
    <row r="334" spans="1:15" x14ac:dyDescent="0.25">
      <c r="A334">
        <v>333</v>
      </c>
      <c r="B334" s="1" t="s">
        <v>36</v>
      </c>
      <c r="C334" s="1">
        <f>car_price_prediction_[[#This Row],[Year2]]</f>
        <v>2015</v>
      </c>
      <c r="D334">
        <v>2015</v>
      </c>
      <c r="E334">
        <f>car_price_prediction_[[#This Row],[Engine Size]]/10</f>
        <v>1.3</v>
      </c>
      <c r="F334">
        <v>13</v>
      </c>
      <c r="G334" s="1" t="s">
        <v>11</v>
      </c>
      <c r="H334" s="1" t="s">
        <v>22</v>
      </c>
      <c r="I334" s="12">
        <f>car_price_prediction_[[#This Row],[Mileage]]/1000</f>
        <v>19.346</v>
      </c>
      <c r="J334" s="5">
        <v>19346</v>
      </c>
      <c r="K334" s="1" t="s">
        <v>13</v>
      </c>
      <c r="L334" s="5">
        <f>car_price_prediction_[[#This Row],[Price]]/100</f>
        <v>871.93</v>
      </c>
      <c r="M334">
        <v>87193</v>
      </c>
      <c r="N334" s="1" t="s">
        <v>46</v>
      </c>
      <c r="O334" s="1">
        <f>IF(IFERROR(VLOOKUP(car_price_prediction_[[#This Row],[Car ID]],A335:A2834,1,FALSE),0),1,0)</f>
        <v>0</v>
      </c>
    </row>
    <row r="335" spans="1:15" x14ac:dyDescent="0.25">
      <c r="A335">
        <v>334</v>
      </c>
      <c r="B335" s="1" t="s">
        <v>15</v>
      </c>
      <c r="C335" s="1">
        <f>car_price_prediction_[[#This Row],[Year2]]</f>
        <v>2011</v>
      </c>
      <c r="D335">
        <v>2011</v>
      </c>
      <c r="E335">
        <f>car_price_prediction_[[#This Row],[Engine Size]]/10</f>
        <v>1.5</v>
      </c>
      <c r="F335">
        <v>15</v>
      </c>
      <c r="G335" s="1" t="s">
        <v>29</v>
      </c>
      <c r="H335" s="1" t="s">
        <v>12</v>
      </c>
      <c r="I335" s="12">
        <f>car_price_prediction_[[#This Row],[Mileage]]/1000</f>
        <v>297.19400000000002</v>
      </c>
      <c r="J335" s="5">
        <v>297194</v>
      </c>
      <c r="K335" s="1" t="s">
        <v>13</v>
      </c>
      <c r="L335" s="5">
        <f>car_price_prediction_[[#This Row],[Price]]/100</f>
        <v>93917.45</v>
      </c>
      <c r="M335">
        <v>9391745</v>
      </c>
      <c r="N335" s="1" t="s">
        <v>18</v>
      </c>
      <c r="O335" s="1">
        <f>IF(IFERROR(VLOOKUP(car_price_prediction_[[#This Row],[Car ID]],A336:A2835,1,FALSE),0),1,0)</f>
        <v>0</v>
      </c>
    </row>
    <row r="336" spans="1:15" x14ac:dyDescent="0.25">
      <c r="A336">
        <v>335</v>
      </c>
      <c r="B336" s="1" t="s">
        <v>19</v>
      </c>
      <c r="C336" s="1">
        <f>car_price_prediction_[[#This Row],[Year2]]</f>
        <v>2007</v>
      </c>
      <c r="D336">
        <v>2007</v>
      </c>
      <c r="E336">
        <f>car_price_prediction_[[#This Row],[Engine Size]]/10</f>
        <v>6</v>
      </c>
      <c r="F336">
        <v>60</v>
      </c>
      <c r="G336" s="1" t="s">
        <v>29</v>
      </c>
      <c r="H336" s="1" t="s">
        <v>12</v>
      </c>
      <c r="I336" s="12">
        <f>car_price_prediction_[[#This Row],[Mileage]]/1000</f>
        <v>270.88799999999998</v>
      </c>
      <c r="J336" s="5">
        <v>270888</v>
      </c>
      <c r="K336" s="1" t="s">
        <v>13</v>
      </c>
      <c r="L336" s="5">
        <f>car_price_prediction_[[#This Row],[Price]]/100</f>
        <v>14031.19</v>
      </c>
      <c r="M336">
        <v>1403119</v>
      </c>
      <c r="N336" s="1" t="s">
        <v>27</v>
      </c>
      <c r="O336" s="1">
        <f>IF(IFERROR(VLOOKUP(car_price_prediction_[[#This Row],[Car ID]],A337:A2836,1,FALSE),0),1,0)</f>
        <v>0</v>
      </c>
    </row>
    <row r="337" spans="1:15" x14ac:dyDescent="0.25">
      <c r="A337">
        <v>336</v>
      </c>
      <c r="B337" s="1" t="s">
        <v>19</v>
      </c>
      <c r="C337" s="1">
        <f>car_price_prediction_[[#This Row],[Year2]]</f>
        <v>2019</v>
      </c>
      <c r="D337">
        <v>2019</v>
      </c>
      <c r="E337">
        <f>car_price_prediction_[[#This Row],[Engine Size]]/10</f>
        <v>2.6</v>
      </c>
      <c r="F337">
        <v>26</v>
      </c>
      <c r="G337" s="1" t="s">
        <v>29</v>
      </c>
      <c r="H337" s="1" t="s">
        <v>12</v>
      </c>
      <c r="I337" s="12">
        <f>car_price_prediction_[[#This Row],[Mileage]]/1000</f>
        <v>61.595999999999997</v>
      </c>
      <c r="J337" s="5">
        <v>61596</v>
      </c>
      <c r="K337" s="1" t="s">
        <v>25</v>
      </c>
      <c r="L337" s="5">
        <f>car_price_prediction_[[#This Row],[Price]]/100</f>
        <v>69032.179999999993</v>
      </c>
      <c r="M337">
        <v>6903218</v>
      </c>
      <c r="N337" s="1" t="s">
        <v>20</v>
      </c>
      <c r="O337" s="1">
        <f>IF(IFERROR(VLOOKUP(car_price_prediction_[[#This Row],[Car ID]],A338:A2837,1,FALSE),0),1,0)</f>
        <v>0</v>
      </c>
    </row>
    <row r="338" spans="1:15" x14ac:dyDescent="0.25">
      <c r="A338">
        <v>337</v>
      </c>
      <c r="B338" s="1" t="s">
        <v>24</v>
      </c>
      <c r="C338" s="1">
        <f>car_price_prediction_[[#This Row],[Year2]]</f>
        <v>2002</v>
      </c>
      <c r="D338">
        <v>2002</v>
      </c>
      <c r="E338">
        <f>car_price_prediction_[[#This Row],[Engine Size]]/10</f>
        <v>4.7</v>
      </c>
      <c r="F338">
        <v>47</v>
      </c>
      <c r="G338" s="1" t="s">
        <v>16</v>
      </c>
      <c r="H338" s="1" t="s">
        <v>12</v>
      </c>
      <c r="I338" s="12">
        <f>car_price_prediction_[[#This Row],[Mileage]]/1000</f>
        <v>214.46899999999999</v>
      </c>
      <c r="J338" s="5">
        <v>214469</v>
      </c>
      <c r="K338" s="1" t="s">
        <v>13</v>
      </c>
      <c r="L338" s="5">
        <f>car_price_prediction_[[#This Row],[Price]]/100</f>
        <v>17672.68</v>
      </c>
      <c r="M338">
        <v>1767268</v>
      </c>
      <c r="N338" s="1" t="s">
        <v>26</v>
      </c>
      <c r="O338" s="1">
        <f>IF(IFERROR(VLOOKUP(car_price_prediction_[[#This Row],[Car ID]],A339:A2838,1,FALSE),0),1,0)</f>
        <v>0</v>
      </c>
    </row>
    <row r="339" spans="1:15" x14ac:dyDescent="0.25">
      <c r="A339">
        <v>338</v>
      </c>
      <c r="B339" s="1" t="s">
        <v>10</v>
      </c>
      <c r="C339" s="1">
        <f>car_price_prediction_[[#This Row],[Year2]]</f>
        <v>2015</v>
      </c>
      <c r="D339">
        <v>2015</v>
      </c>
      <c r="E339">
        <f>car_price_prediction_[[#This Row],[Engine Size]]/10</f>
        <v>5</v>
      </c>
      <c r="F339">
        <v>50</v>
      </c>
      <c r="G339" s="1" t="s">
        <v>16</v>
      </c>
      <c r="H339" s="1" t="s">
        <v>12</v>
      </c>
      <c r="I339" s="12">
        <f>car_price_prediction_[[#This Row],[Mileage]]/1000</f>
        <v>177.17500000000001</v>
      </c>
      <c r="J339" s="5">
        <v>177175</v>
      </c>
      <c r="K339" s="1" t="s">
        <v>13</v>
      </c>
      <c r="L339" s="5">
        <f>car_price_prediction_[[#This Row],[Price]]/100</f>
        <v>88591.02</v>
      </c>
      <c r="M339">
        <v>8859102</v>
      </c>
      <c r="N339" s="1" t="s">
        <v>23</v>
      </c>
      <c r="O339" s="1">
        <f>IF(IFERROR(VLOOKUP(car_price_prediction_[[#This Row],[Car ID]],A340:A2839,1,FALSE),0),1,0)</f>
        <v>0</v>
      </c>
    </row>
    <row r="340" spans="1:15" x14ac:dyDescent="0.25">
      <c r="A340">
        <v>339</v>
      </c>
      <c r="B340" s="1" t="s">
        <v>43</v>
      </c>
      <c r="C340" s="1">
        <f>car_price_prediction_[[#This Row],[Year2]]</f>
        <v>2012</v>
      </c>
      <c r="D340">
        <v>2012</v>
      </c>
      <c r="E340">
        <f>car_price_prediction_[[#This Row],[Engine Size]]/10</f>
        <v>5.3</v>
      </c>
      <c r="F340">
        <v>53</v>
      </c>
      <c r="G340" s="1" t="s">
        <v>16</v>
      </c>
      <c r="H340" s="1" t="s">
        <v>12</v>
      </c>
      <c r="I340" s="12">
        <f>car_price_prediction_[[#This Row],[Mileage]]/1000</f>
        <v>153.048</v>
      </c>
      <c r="J340" s="5">
        <v>153048</v>
      </c>
      <c r="K340" s="1" t="s">
        <v>17</v>
      </c>
      <c r="L340" s="5">
        <f>car_price_prediction_[[#This Row],[Price]]/100</f>
        <v>53517.760000000002</v>
      </c>
      <c r="M340">
        <v>5351776</v>
      </c>
      <c r="N340" s="1" t="s">
        <v>50</v>
      </c>
      <c r="O340" s="1">
        <f>IF(IFERROR(VLOOKUP(car_price_prediction_[[#This Row],[Car ID]],A341:A2840,1,FALSE),0),1,0)</f>
        <v>0</v>
      </c>
    </row>
    <row r="341" spans="1:15" x14ac:dyDescent="0.25">
      <c r="A341">
        <v>340</v>
      </c>
      <c r="B341" s="1" t="s">
        <v>43</v>
      </c>
      <c r="C341" s="1">
        <f>car_price_prediction_[[#This Row],[Year2]]</f>
        <v>2022</v>
      </c>
      <c r="D341">
        <v>2022</v>
      </c>
      <c r="E341">
        <f>car_price_prediction_[[#This Row],[Engine Size]]/10</f>
        <v>6</v>
      </c>
      <c r="F341">
        <v>60</v>
      </c>
      <c r="G341" s="1" t="s">
        <v>11</v>
      </c>
      <c r="H341" s="1" t="s">
        <v>22</v>
      </c>
      <c r="I341" s="12">
        <f>car_price_prediction_[[#This Row],[Mileage]]/1000</f>
        <v>6.2770000000000001</v>
      </c>
      <c r="J341" s="5">
        <v>6277</v>
      </c>
      <c r="K341" s="1" t="s">
        <v>13</v>
      </c>
      <c r="L341" s="5">
        <f>car_price_prediction_[[#This Row],[Price]]/100</f>
        <v>12817.89</v>
      </c>
      <c r="M341">
        <v>1281789</v>
      </c>
      <c r="N341" s="1" t="s">
        <v>52</v>
      </c>
      <c r="O341" s="1">
        <f>IF(IFERROR(VLOOKUP(car_price_prediction_[[#This Row],[Car ID]],A342:A2841,1,FALSE),0),1,0)</f>
        <v>0</v>
      </c>
    </row>
    <row r="342" spans="1:15" x14ac:dyDescent="0.25">
      <c r="A342">
        <v>341</v>
      </c>
      <c r="B342" s="1" t="s">
        <v>24</v>
      </c>
      <c r="C342" s="1">
        <f>car_price_prediction_[[#This Row],[Year2]]</f>
        <v>2018</v>
      </c>
      <c r="D342">
        <v>2018</v>
      </c>
      <c r="E342">
        <f>car_price_prediction_[[#This Row],[Engine Size]]/10</f>
        <v>2.2000000000000002</v>
      </c>
      <c r="F342">
        <v>22</v>
      </c>
      <c r="G342" s="1" t="s">
        <v>21</v>
      </c>
      <c r="H342" s="1" t="s">
        <v>22</v>
      </c>
      <c r="I342" s="12">
        <f>car_price_prediction_[[#This Row],[Mileage]]/1000</f>
        <v>133.33199999999999</v>
      </c>
      <c r="J342" s="5">
        <v>133332</v>
      </c>
      <c r="K342" s="1" t="s">
        <v>13</v>
      </c>
      <c r="L342" s="5">
        <f>car_price_prediction_[[#This Row],[Price]]/100</f>
        <v>63588.79</v>
      </c>
      <c r="M342">
        <v>6358879</v>
      </c>
      <c r="N342" s="1" t="s">
        <v>34</v>
      </c>
      <c r="O342" s="1">
        <f>IF(IFERROR(VLOOKUP(car_price_prediction_[[#This Row],[Car ID]],A343:A2842,1,FALSE),0),1,0)</f>
        <v>0</v>
      </c>
    </row>
    <row r="343" spans="1:15" x14ac:dyDescent="0.25">
      <c r="A343">
        <v>342</v>
      </c>
      <c r="B343" s="1" t="s">
        <v>24</v>
      </c>
      <c r="C343" s="1">
        <f>car_price_prediction_[[#This Row],[Year2]]</f>
        <v>2007</v>
      </c>
      <c r="D343">
        <v>2007</v>
      </c>
      <c r="E343">
        <f>car_price_prediction_[[#This Row],[Engine Size]]/10</f>
        <v>1.2</v>
      </c>
      <c r="F343">
        <v>12</v>
      </c>
      <c r="G343" s="1" t="s">
        <v>21</v>
      </c>
      <c r="H343" s="1" t="s">
        <v>22</v>
      </c>
      <c r="I343" s="12">
        <f>car_price_prediction_[[#This Row],[Mileage]]/1000</f>
        <v>240.51499999999999</v>
      </c>
      <c r="J343" s="5">
        <v>240515</v>
      </c>
      <c r="K343" s="1" t="s">
        <v>25</v>
      </c>
      <c r="L343" s="5">
        <f>car_price_prediction_[[#This Row],[Price]]/100</f>
        <v>5865.44</v>
      </c>
      <c r="M343">
        <v>586544</v>
      </c>
      <c r="N343" s="1" t="s">
        <v>34</v>
      </c>
      <c r="O343" s="1">
        <f>IF(IFERROR(VLOOKUP(car_price_prediction_[[#This Row],[Car ID]],A344:A2843,1,FALSE),0),1,0)</f>
        <v>0</v>
      </c>
    </row>
    <row r="344" spans="1:15" x14ac:dyDescent="0.25">
      <c r="A344">
        <v>343</v>
      </c>
      <c r="B344" s="1" t="s">
        <v>24</v>
      </c>
      <c r="C344" s="1">
        <f>car_price_prediction_[[#This Row],[Year2]]</f>
        <v>2021</v>
      </c>
      <c r="D344">
        <v>2021</v>
      </c>
      <c r="E344">
        <f>car_price_prediction_[[#This Row],[Engine Size]]/10</f>
        <v>3.1</v>
      </c>
      <c r="F344">
        <v>31</v>
      </c>
      <c r="G344" s="1" t="s">
        <v>11</v>
      </c>
      <c r="H344" s="1" t="s">
        <v>22</v>
      </c>
      <c r="I344" s="12">
        <f>car_price_prediction_[[#This Row],[Mileage]]/1000</f>
        <v>260.577</v>
      </c>
      <c r="J344" s="5">
        <v>260577</v>
      </c>
      <c r="K344" s="1" t="s">
        <v>17</v>
      </c>
      <c r="L344" s="5">
        <f>car_price_prediction_[[#This Row],[Price]]/100</f>
        <v>78722.11</v>
      </c>
      <c r="M344">
        <v>7872211</v>
      </c>
      <c r="N344" s="1" t="s">
        <v>26</v>
      </c>
      <c r="O344" s="1">
        <f>IF(IFERROR(VLOOKUP(car_price_prediction_[[#This Row],[Car ID]],A345:A2844,1,FALSE),0),1,0)</f>
        <v>0</v>
      </c>
    </row>
    <row r="345" spans="1:15" x14ac:dyDescent="0.25">
      <c r="A345">
        <v>344</v>
      </c>
      <c r="B345" s="1" t="s">
        <v>15</v>
      </c>
      <c r="C345" s="1">
        <f>car_price_prediction_[[#This Row],[Year2]]</f>
        <v>2004</v>
      </c>
      <c r="D345">
        <v>2004</v>
      </c>
      <c r="E345">
        <f>car_price_prediction_[[#This Row],[Engine Size]]/10</f>
        <v>1.7</v>
      </c>
      <c r="F345">
        <v>17</v>
      </c>
      <c r="G345" s="1" t="s">
        <v>11</v>
      </c>
      <c r="H345" s="1" t="s">
        <v>12</v>
      </c>
      <c r="I345" s="12">
        <f>car_price_prediction_[[#This Row],[Mileage]]/1000</f>
        <v>196.95500000000001</v>
      </c>
      <c r="J345" s="5">
        <v>196955</v>
      </c>
      <c r="K345" s="1" t="s">
        <v>25</v>
      </c>
      <c r="L345" s="5">
        <f>car_price_prediction_[[#This Row],[Price]]/100</f>
        <v>66805.570000000007</v>
      </c>
      <c r="M345">
        <v>6680557</v>
      </c>
      <c r="N345" s="1" t="s">
        <v>39</v>
      </c>
      <c r="O345" s="1">
        <f>IF(IFERROR(VLOOKUP(car_price_prediction_[[#This Row],[Car ID]],A346:A2845,1,FALSE),0),1,0)</f>
        <v>0</v>
      </c>
    </row>
    <row r="346" spans="1:15" x14ac:dyDescent="0.25">
      <c r="A346">
        <v>345</v>
      </c>
      <c r="B346" s="1" t="s">
        <v>36</v>
      </c>
      <c r="C346" s="1">
        <f>car_price_prediction_[[#This Row],[Year2]]</f>
        <v>2019</v>
      </c>
      <c r="D346">
        <v>2019</v>
      </c>
      <c r="E346">
        <f>car_price_prediction_[[#This Row],[Engine Size]]/10</f>
        <v>1.1000000000000001</v>
      </c>
      <c r="F346">
        <v>11</v>
      </c>
      <c r="G346" s="1" t="s">
        <v>29</v>
      </c>
      <c r="H346" s="1" t="s">
        <v>22</v>
      </c>
      <c r="I346" s="12">
        <f>car_price_prediction_[[#This Row],[Mileage]]/1000</f>
        <v>286.88499999999999</v>
      </c>
      <c r="J346" s="5">
        <v>286885</v>
      </c>
      <c r="K346" s="1" t="s">
        <v>25</v>
      </c>
      <c r="L346" s="5">
        <f>car_price_prediction_[[#This Row],[Price]]/100</f>
        <v>25199.35</v>
      </c>
      <c r="M346">
        <v>2519935</v>
      </c>
      <c r="N346" s="1" t="s">
        <v>41</v>
      </c>
      <c r="O346" s="1">
        <f>IF(IFERROR(VLOOKUP(car_price_prediction_[[#This Row],[Car ID]],A347:A2846,1,FALSE),0),1,0)</f>
        <v>0</v>
      </c>
    </row>
    <row r="347" spans="1:15" x14ac:dyDescent="0.25">
      <c r="A347">
        <v>346</v>
      </c>
      <c r="B347" s="1" t="s">
        <v>43</v>
      </c>
      <c r="C347" s="1">
        <f>car_price_prediction_[[#This Row],[Year2]]</f>
        <v>2007</v>
      </c>
      <c r="D347">
        <v>2007</v>
      </c>
      <c r="E347">
        <f>car_price_prediction_[[#This Row],[Engine Size]]/10</f>
        <v>2.8</v>
      </c>
      <c r="F347">
        <v>28</v>
      </c>
      <c r="G347" s="1" t="s">
        <v>29</v>
      </c>
      <c r="H347" s="1" t="s">
        <v>12</v>
      </c>
      <c r="I347" s="12">
        <f>car_price_prediction_[[#This Row],[Mileage]]/1000</f>
        <v>299.35500000000002</v>
      </c>
      <c r="J347" s="5">
        <v>299355</v>
      </c>
      <c r="K347" s="1" t="s">
        <v>25</v>
      </c>
      <c r="L347" s="5">
        <f>car_price_prediction_[[#This Row],[Price]]/100</f>
        <v>40601.339999999997</v>
      </c>
      <c r="M347">
        <v>4060134</v>
      </c>
      <c r="N347" s="1" t="s">
        <v>44</v>
      </c>
      <c r="O347" s="1">
        <f>IF(IFERROR(VLOOKUP(car_price_prediction_[[#This Row],[Car ID]],A348:A2847,1,FALSE),0),1,0)</f>
        <v>0</v>
      </c>
    </row>
    <row r="348" spans="1:15" x14ac:dyDescent="0.25">
      <c r="A348">
        <v>347</v>
      </c>
      <c r="B348" s="1" t="s">
        <v>15</v>
      </c>
      <c r="C348" s="1">
        <f>car_price_prediction_[[#This Row],[Year2]]</f>
        <v>2023</v>
      </c>
      <c r="D348">
        <v>2023</v>
      </c>
      <c r="E348">
        <f>car_price_prediction_[[#This Row],[Engine Size]]/10</f>
        <v>4.9000000000000004</v>
      </c>
      <c r="F348">
        <v>49</v>
      </c>
      <c r="G348" s="1" t="s">
        <v>16</v>
      </c>
      <c r="H348" s="1" t="s">
        <v>12</v>
      </c>
      <c r="I348" s="12">
        <f>car_price_prediction_[[#This Row],[Mileage]]/1000</f>
        <v>240.464</v>
      </c>
      <c r="J348" s="5">
        <v>240464</v>
      </c>
      <c r="K348" s="1" t="s">
        <v>13</v>
      </c>
      <c r="L348" s="5">
        <f>car_price_prediction_[[#This Row],[Price]]/100</f>
        <v>5741.64</v>
      </c>
      <c r="M348">
        <v>574164</v>
      </c>
      <c r="N348" s="1" t="s">
        <v>39</v>
      </c>
      <c r="O348" s="1">
        <f>IF(IFERROR(VLOOKUP(car_price_prediction_[[#This Row],[Car ID]],A349:A2848,1,FALSE),0),1,0)</f>
        <v>0</v>
      </c>
    </row>
    <row r="349" spans="1:15" x14ac:dyDescent="0.25">
      <c r="A349">
        <v>348</v>
      </c>
      <c r="B349" s="1" t="s">
        <v>24</v>
      </c>
      <c r="C349" s="1">
        <f>car_price_prediction_[[#This Row],[Year2]]</f>
        <v>2011</v>
      </c>
      <c r="D349">
        <v>2011</v>
      </c>
      <c r="E349">
        <f>car_price_prediction_[[#This Row],[Engine Size]]/10</f>
        <v>3.8</v>
      </c>
      <c r="F349">
        <v>38</v>
      </c>
      <c r="G349" s="1" t="s">
        <v>16</v>
      </c>
      <c r="H349" s="1" t="s">
        <v>12</v>
      </c>
      <c r="I349" s="12">
        <f>car_price_prediction_[[#This Row],[Mileage]]/1000</f>
        <v>258.44499999999999</v>
      </c>
      <c r="J349" s="5">
        <v>258445</v>
      </c>
      <c r="K349" s="1" t="s">
        <v>25</v>
      </c>
      <c r="L349" s="5">
        <f>car_price_prediction_[[#This Row],[Price]]/100</f>
        <v>70899.960000000006</v>
      </c>
      <c r="M349">
        <v>7089996</v>
      </c>
      <c r="N349" s="1" t="s">
        <v>53</v>
      </c>
      <c r="O349" s="1">
        <f>IF(IFERROR(VLOOKUP(car_price_prediction_[[#This Row],[Car ID]],A350:A2849,1,FALSE),0),1,0)</f>
        <v>0</v>
      </c>
    </row>
    <row r="350" spans="1:15" x14ac:dyDescent="0.25">
      <c r="A350">
        <v>349</v>
      </c>
      <c r="B350" s="1" t="s">
        <v>43</v>
      </c>
      <c r="C350" s="1">
        <f>car_price_prediction_[[#This Row],[Year2]]</f>
        <v>2000</v>
      </c>
      <c r="D350">
        <v>2000</v>
      </c>
      <c r="E350">
        <f>car_price_prediction_[[#This Row],[Engine Size]]/10</f>
        <v>2.6</v>
      </c>
      <c r="F350">
        <v>26</v>
      </c>
      <c r="G350" s="1" t="s">
        <v>11</v>
      </c>
      <c r="H350" s="1" t="s">
        <v>22</v>
      </c>
      <c r="I350" s="12">
        <f>car_price_prediction_[[#This Row],[Mileage]]/1000</f>
        <v>269.01299999999998</v>
      </c>
      <c r="J350" s="5">
        <v>269013</v>
      </c>
      <c r="K350" s="1" t="s">
        <v>25</v>
      </c>
      <c r="L350" s="5">
        <f>car_price_prediction_[[#This Row],[Price]]/100</f>
        <v>35653.47</v>
      </c>
      <c r="M350">
        <v>3565347</v>
      </c>
      <c r="N350" s="1" t="s">
        <v>47</v>
      </c>
      <c r="O350" s="1">
        <f>IF(IFERROR(VLOOKUP(car_price_prediction_[[#This Row],[Car ID]],A351:A2850,1,FALSE),0),1,0)</f>
        <v>0</v>
      </c>
    </row>
    <row r="351" spans="1:15" x14ac:dyDescent="0.25">
      <c r="A351">
        <v>350</v>
      </c>
      <c r="B351" s="1" t="s">
        <v>15</v>
      </c>
      <c r="C351" s="1">
        <f>car_price_prediction_[[#This Row],[Year2]]</f>
        <v>2020</v>
      </c>
      <c r="D351">
        <v>2020</v>
      </c>
      <c r="E351">
        <f>car_price_prediction_[[#This Row],[Engine Size]]/10</f>
        <v>4.3</v>
      </c>
      <c r="F351">
        <v>43</v>
      </c>
      <c r="G351" s="1" t="s">
        <v>16</v>
      </c>
      <c r="H351" s="1" t="s">
        <v>12</v>
      </c>
      <c r="I351" s="12">
        <f>car_price_prediction_[[#This Row],[Mileage]]/1000</f>
        <v>94.515000000000001</v>
      </c>
      <c r="J351" s="5">
        <v>94515</v>
      </c>
      <c r="K351" s="1" t="s">
        <v>17</v>
      </c>
      <c r="L351" s="5">
        <f>car_price_prediction_[[#This Row],[Price]]/100</f>
        <v>59300.95</v>
      </c>
      <c r="M351">
        <v>5930095</v>
      </c>
      <c r="N351" s="1" t="s">
        <v>51</v>
      </c>
      <c r="O351" s="1">
        <f>IF(IFERROR(VLOOKUP(car_price_prediction_[[#This Row],[Car ID]],A352:A2851,1,FALSE),0),1,0)</f>
        <v>0</v>
      </c>
    </row>
    <row r="352" spans="1:15" x14ac:dyDescent="0.25">
      <c r="A352">
        <v>351</v>
      </c>
      <c r="B352" s="1" t="s">
        <v>36</v>
      </c>
      <c r="C352" s="1">
        <f>car_price_prediction_[[#This Row],[Year2]]</f>
        <v>2019</v>
      </c>
      <c r="D352">
        <v>2019</v>
      </c>
      <c r="E352">
        <f>car_price_prediction_[[#This Row],[Engine Size]]/10</f>
        <v>2.2000000000000002</v>
      </c>
      <c r="F352">
        <v>22</v>
      </c>
      <c r="G352" s="1" t="s">
        <v>21</v>
      </c>
      <c r="H352" s="1" t="s">
        <v>22</v>
      </c>
      <c r="I352" s="12">
        <f>car_price_prediction_[[#This Row],[Mileage]]/1000</f>
        <v>150.494</v>
      </c>
      <c r="J352" s="5">
        <v>150494</v>
      </c>
      <c r="K352" s="1" t="s">
        <v>17</v>
      </c>
      <c r="L352" s="5">
        <f>car_price_prediction_[[#This Row],[Price]]/100</f>
        <v>95889.12</v>
      </c>
      <c r="M352">
        <v>9588912</v>
      </c>
      <c r="N352" s="1" t="s">
        <v>46</v>
      </c>
      <c r="O352" s="1">
        <f>IF(IFERROR(VLOOKUP(car_price_prediction_[[#This Row],[Car ID]],A353:A2852,1,FALSE),0),1,0)</f>
        <v>0</v>
      </c>
    </row>
    <row r="353" spans="1:15" x14ac:dyDescent="0.25">
      <c r="A353">
        <v>352</v>
      </c>
      <c r="B353" s="1" t="s">
        <v>15</v>
      </c>
      <c r="C353" s="1">
        <f>car_price_prediction_[[#This Row],[Year2]]</f>
        <v>2005</v>
      </c>
      <c r="D353">
        <v>2005</v>
      </c>
      <c r="E353">
        <f>car_price_prediction_[[#This Row],[Engine Size]]/10</f>
        <v>1.1000000000000001</v>
      </c>
      <c r="F353">
        <v>11</v>
      </c>
      <c r="G353" s="1" t="s">
        <v>11</v>
      </c>
      <c r="H353" s="1" t="s">
        <v>22</v>
      </c>
      <c r="I353" s="12">
        <f>car_price_prediction_[[#This Row],[Mileage]]/1000</f>
        <v>166.685</v>
      </c>
      <c r="J353" s="5">
        <v>166685</v>
      </c>
      <c r="K353" s="1" t="s">
        <v>17</v>
      </c>
      <c r="L353" s="5">
        <f>car_price_prediction_[[#This Row],[Price]]/100</f>
        <v>33449.339999999997</v>
      </c>
      <c r="M353">
        <v>3344934</v>
      </c>
      <c r="N353" s="1" t="s">
        <v>39</v>
      </c>
      <c r="O353" s="1">
        <f>IF(IFERROR(VLOOKUP(car_price_prediction_[[#This Row],[Car ID]],A354:A2853,1,FALSE),0),1,0)</f>
        <v>0</v>
      </c>
    </row>
    <row r="354" spans="1:15" x14ac:dyDescent="0.25">
      <c r="A354">
        <v>353</v>
      </c>
      <c r="B354" s="1" t="s">
        <v>36</v>
      </c>
      <c r="C354" s="1">
        <f>car_price_prediction_[[#This Row],[Year2]]</f>
        <v>2021</v>
      </c>
      <c r="D354">
        <v>2021</v>
      </c>
      <c r="E354">
        <f>car_price_prediction_[[#This Row],[Engine Size]]/10</f>
        <v>4.8</v>
      </c>
      <c r="F354">
        <v>48</v>
      </c>
      <c r="G354" s="1" t="s">
        <v>11</v>
      </c>
      <c r="H354" s="1" t="s">
        <v>22</v>
      </c>
      <c r="I354" s="12">
        <f>car_price_prediction_[[#This Row],[Mileage]]/1000</f>
        <v>188.08799999999999</v>
      </c>
      <c r="J354" s="5">
        <v>188088</v>
      </c>
      <c r="K354" s="1" t="s">
        <v>17</v>
      </c>
      <c r="L354" s="5">
        <f>car_price_prediction_[[#This Row],[Price]]/100</f>
        <v>9907.26</v>
      </c>
      <c r="M354">
        <v>990726</v>
      </c>
      <c r="N354" s="1" t="s">
        <v>40</v>
      </c>
      <c r="O354" s="1">
        <f>IF(IFERROR(VLOOKUP(car_price_prediction_[[#This Row],[Car ID]],A355:A2854,1,FALSE),0),1,0)</f>
        <v>0</v>
      </c>
    </row>
    <row r="355" spans="1:15" x14ac:dyDescent="0.25">
      <c r="A355">
        <v>354</v>
      </c>
      <c r="B355" s="1" t="s">
        <v>24</v>
      </c>
      <c r="C355" s="1">
        <f>car_price_prediction_[[#This Row],[Year2]]</f>
        <v>2017</v>
      </c>
      <c r="D355">
        <v>2017</v>
      </c>
      <c r="E355">
        <f>car_price_prediction_[[#This Row],[Engine Size]]/10</f>
        <v>4.0999999999999996</v>
      </c>
      <c r="F355">
        <v>41</v>
      </c>
      <c r="G355" s="1" t="s">
        <v>21</v>
      </c>
      <c r="H355" s="1" t="s">
        <v>22</v>
      </c>
      <c r="I355" s="12">
        <f>car_price_prediction_[[#This Row],[Mileage]]/1000</f>
        <v>60.11</v>
      </c>
      <c r="J355" s="5">
        <v>60110</v>
      </c>
      <c r="K355" s="1" t="s">
        <v>25</v>
      </c>
      <c r="L355" s="5">
        <f>car_price_prediction_[[#This Row],[Price]]/100</f>
        <v>6510.92</v>
      </c>
      <c r="M355">
        <v>651092</v>
      </c>
      <c r="N355" s="1" t="s">
        <v>53</v>
      </c>
      <c r="O355" s="1">
        <f>IF(IFERROR(VLOOKUP(car_price_prediction_[[#This Row],[Car ID]],A356:A2855,1,FALSE),0),1,0)</f>
        <v>0</v>
      </c>
    </row>
    <row r="356" spans="1:15" x14ac:dyDescent="0.25">
      <c r="A356">
        <v>355</v>
      </c>
      <c r="B356" s="1" t="s">
        <v>36</v>
      </c>
      <c r="C356" s="1">
        <f>car_price_prediction_[[#This Row],[Year2]]</f>
        <v>2007</v>
      </c>
      <c r="D356">
        <v>2007</v>
      </c>
      <c r="E356">
        <f>car_price_prediction_[[#This Row],[Engine Size]]/10</f>
        <v>4.8</v>
      </c>
      <c r="F356">
        <v>48</v>
      </c>
      <c r="G356" s="1" t="s">
        <v>29</v>
      </c>
      <c r="H356" s="1" t="s">
        <v>22</v>
      </c>
      <c r="I356" s="12">
        <f>car_price_prediction_[[#This Row],[Mileage]]/1000</f>
        <v>219.601</v>
      </c>
      <c r="J356" s="5">
        <v>219601</v>
      </c>
      <c r="K356" s="1" t="s">
        <v>17</v>
      </c>
      <c r="L356" s="5">
        <f>car_price_prediction_[[#This Row],[Price]]/100</f>
        <v>27998.42</v>
      </c>
      <c r="M356">
        <v>2799842</v>
      </c>
      <c r="N356" s="1" t="s">
        <v>37</v>
      </c>
      <c r="O356" s="1">
        <f>IF(IFERROR(VLOOKUP(car_price_prediction_[[#This Row],[Car ID]],A357:A2856,1,FALSE),0),1,0)</f>
        <v>0</v>
      </c>
    </row>
    <row r="357" spans="1:15" x14ac:dyDescent="0.25">
      <c r="A357">
        <v>356</v>
      </c>
      <c r="B357" s="1" t="s">
        <v>43</v>
      </c>
      <c r="C357" s="1">
        <f>car_price_prediction_[[#This Row],[Year2]]</f>
        <v>2006</v>
      </c>
      <c r="D357">
        <v>2006</v>
      </c>
      <c r="E357">
        <f>car_price_prediction_[[#This Row],[Engine Size]]/10</f>
        <v>1.2</v>
      </c>
      <c r="F357">
        <v>12</v>
      </c>
      <c r="G357" s="1" t="s">
        <v>29</v>
      </c>
      <c r="H357" s="1" t="s">
        <v>12</v>
      </c>
      <c r="I357" s="12">
        <f>car_price_prediction_[[#This Row],[Mileage]]/1000</f>
        <v>208.994</v>
      </c>
      <c r="J357" s="5">
        <v>208994</v>
      </c>
      <c r="K357" s="1" t="s">
        <v>13</v>
      </c>
      <c r="L357" s="5">
        <f>car_price_prediction_[[#This Row],[Price]]/100</f>
        <v>4649.3900000000003</v>
      </c>
      <c r="M357">
        <v>464939</v>
      </c>
      <c r="N357" s="1" t="s">
        <v>44</v>
      </c>
      <c r="O357" s="1">
        <f>IF(IFERROR(VLOOKUP(car_price_prediction_[[#This Row],[Car ID]],A358:A2857,1,FALSE),0),1,0)</f>
        <v>0</v>
      </c>
    </row>
    <row r="358" spans="1:15" x14ac:dyDescent="0.25">
      <c r="A358">
        <v>357</v>
      </c>
      <c r="B358" s="1" t="s">
        <v>24</v>
      </c>
      <c r="C358" s="1">
        <f>car_price_prediction_[[#This Row],[Year2]]</f>
        <v>2000</v>
      </c>
      <c r="D358">
        <v>2000</v>
      </c>
      <c r="E358">
        <f>car_price_prediction_[[#This Row],[Engine Size]]/10</f>
        <v>5.2</v>
      </c>
      <c r="F358">
        <v>52</v>
      </c>
      <c r="G358" s="1" t="s">
        <v>21</v>
      </c>
      <c r="H358" s="1" t="s">
        <v>12</v>
      </c>
      <c r="I358" s="12">
        <f>car_price_prediction_[[#This Row],[Mileage]]/1000</f>
        <v>296.17700000000002</v>
      </c>
      <c r="J358" s="5">
        <v>296177</v>
      </c>
      <c r="K358" s="1" t="s">
        <v>25</v>
      </c>
      <c r="L358" s="5">
        <f>car_price_prediction_[[#This Row],[Price]]/100</f>
        <v>75343.05</v>
      </c>
      <c r="M358">
        <v>7534305</v>
      </c>
      <c r="N358" s="1" t="s">
        <v>26</v>
      </c>
      <c r="O358" s="1">
        <f>IF(IFERROR(VLOOKUP(car_price_prediction_[[#This Row],[Car ID]],A359:A2858,1,FALSE),0),1,0)</f>
        <v>0</v>
      </c>
    </row>
    <row r="359" spans="1:15" x14ac:dyDescent="0.25">
      <c r="A359">
        <v>358</v>
      </c>
      <c r="B359" s="1" t="s">
        <v>43</v>
      </c>
      <c r="C359" s="1">
        <f>car_price_prediction_[[#This Row],[Year2]]</f>
        <v>2020</v>
      </c>
      <c r="D359">
        <v>2020</v>
      </c>
      <c r="E359">
        <f>car_price_prediction_[[#This Row],[Engine Size]]/10</f>
        <v>4.0999999999999996</v>
      </c>
      <c r="F359">
        <v>41</v>
      </c>
      <c r="G359" s="1" t="s">
        <v>21</v>
      </c>
      <c r="H359" s="1" t="s">
        <v>22</v>
      </c>
      <c r="I359" s="12">
        <f>car_price_prediction_[[#This Row],[Mileage]]/1000</f>
        <v>260.70499999999998</v>
      </c>
      <c r="J359" s="5">
        <v>260705</v>
      </c>
      <c r="K359" s="1" t="s">
        <v>17</v>
      </c>
      <c r="L359" s="5">
        <f>car_price_prediction_[[#This Row],[Price]]/100</f>
        <v>4741.54</v>
      </c>
      <c r="M359">
        <v>474154</v>
      </c>
      <c r="N359" s="1" t="s">
        <v>52</v>
      </c>
      <c r="O359" s="1">
        <f>IF(IFERROR(VLOOKUP(car_price_prediction_[[#This Row],[Car ID]],A360:A2859,1,FALSE),0),1,0)</f>
        <v>0</v>
      </c>
    </row>
    <row r="360" spans="1:15" x14ac:dyDescent="0.25">
      <c r="A360">
        <v>359</v>
      </c>
      <c r="B360" s="1" t="s">
        <v>19</v>
      </c>
      <c r="C360" s="1">
        <f>car_price_prediction_[[#This Row],[Year2]]</f>
        <v>2015</v>
      </c>
      <c r="D360">
        <v>2015</v>
      </c>
      <c r="E360">
        <f>car_price_prediction_[[#This Row],[Engine Size]]/10</f>
        <v>3.8</v>
      </c>
      <c r="F360">
        <v>38</v>
      </c>
      <c r="G360" s="1" t="s">
        <v>16</v>
      </c>
      <c r="H360" s="1" t="s">
        <v>12</v>
      </c>
      <c r="I360" s="12">
        <f>car_price_prediction_[[#This Row],[Mileage]]/1000</f>
        <v>12.938000000000001</v>
      </c>
      <c r="J360" s="5">
        <v>12938</v>
      </c>
      <c r="K360" s="1" t="s">
        <v>25</v>
      </c>
      <c r="L360" s="5">
        <f>car_price_prediction_[[#This Row],[Price]]/100</f>
        <v>11508.22</v>
      </c>
      <c r="M360">
        <v>1150822</v>
      </c>
      <c r="N360" s="1" t="s">
        <v>20</v>
      </c>
      <c r="O360" s="1">
        <f>IF(IFERROR(VLOOKUP(car_price_prediction_[[#This Row],[Car ID]],A361:A2860,1,FALSE),0),1,0)</f>
        <v>0</v>
      </c>
    </row>
    <row r="361" spans="1:15" x14ac:dyDescent="0.25">
      <c r="A361">
        <v>360</v>
      </c>
      <c r="B361" s="1" t="s">
        <v>30</v>
      </c>
      <c r="C361" s="1">
        <f>car_price_prediction_[[#This Row],[Year2]]</f>
        <v>2011</v>
      </c>
      <c r="D361">
        <v>2011</v>
      </c>
      <c r="E361">
        <f>car_price_prediction_[[#This Row],[Engine Size]]/10</f>
        <v>4.0999999999999996</v>
      </c>
      <c r="F361">
        <v>41</v>
      </c>
      <c r="G361" s="1" t="s">
        <v>11</v>
      </c>
      <c r="H361" s="1" t="s">
        <v>22</v>
      </c>
      <c r="I361" s="12">
        <f>car_price_prediction_[[#This Row],[Mileage]]/1000</f>
        <v>130.84200000000001</v>
      </c>
      <c r="J361" s="5">
        <v>130842</v>
      </c>
      <c r="K361" s="1" t="s">
        <v>17</v>
      </c>
      <c r="L361" s="5">
        <f>car_price_prediction_[[#This Row],[Price]]/100</f>
        <v>21017.35</v>
      </c>
      <c r="M361">
        <v>2101735</v>
      </c>
      <c r="N361" s="1" t="s">
        <v>45</v>
      </c>
      <c r="O361" s="1">
        <f>IF(IFERROR(VLOOKUP(car_price_prediction_[[#This Row],[Car ID]],A362:A2861,1,FALSE),0),1,0)</f>
        <v>0</v>
      </c>
    </row>
    <row r="362" spans="1:15" x14ac:dyDescent="0.25">
      <c r="A362">
        <v>361</v>
      </c>
      <c r="B362" s="1" t="s">
        <v>36</v>
      </c>
      <c r="C362" s="1">
        <f>car_price_prediction_[[#This Row],[Year2]]</f>
        <v>2005</v>
      </c>
      <c r="D362">
        <v>2005</v>
      </c>
      <c r="E362">
        <f>car_price_prediction_[[#This Row],[Engine Size]]/10</f>
        <v>5.3</v>
      </c>
      <c r="F362">
        <v>53</v>
      </c>
      <c r="G362" s="1" t="s">
        <v>16</v>
      </c>
      <c r="H362" s="1" t="s">
        <v>12</v>
      </c>
      <c r="I362" s="12">
        <f>car_price_prediction_[[#This Row],[Mileage]]/1000</f>
        <v>264.41800000000001</v>
      </c>
      <c r="J362" s="5">
        <v>264418</v>
      </c>
      <c r="K362" s="1" t="s">
        <v>25</v>
      </c>
      <c r="L362" s="5">
        <f>car_price_prediction_[[#This Row],[Price]]/100</f>
        <v>80173.289999999994</v>
      </c>
      <c r="M362">
        <v>8017329</v>
      </c>
      <c r="N362" s="1" t="s">
        <v>40</v>
      </c>
      <c r="O362" s="1">
        <f>IF(IFERROR(VLOOKUP(car_price_prediction_[[#This Row],[Car ID]],A363:A2862,1,FALSE),0),1,0)</f>
        <v>0</v>
      </c>
    </row>
    <row r="363" spans="1:15" x14ac:dyDescent="0.25">
      <c r="A363">
        <v>362</v>
      </c>
      <c r="B363" s="1" t="s">
        <v>30</v>
      </c>
      <c r="C363" s="1">
        <f>car_price_prediction_[[#This Row],[Year2]]</f>
        <v>2019</v>
      </c>
      <c r="D363">
        <v>2019</v>
      </c>
      <c r="E363">
        <f>car_price_prediction_[[#This Row],[Engine Size]]/10</f>
        <v>3.9</v>
      </c>
      <c r="F363">
        <v>39</v>
      </c>
      <c r="G363" s="1" t="s">
        <v>21</v>
      </c>
      <c r="H363" s="1" t="s">
        <v>12</v>
      </c>
      <c r="I363" s="12">
        <f>car_price_prediction_[[#This Row],[Mileage]]/1000</f>
        <v>150.03299999999999</v>
      </c>
      <c r="J363" s="5">
        <v>150033</v>
      </c>
      <c r="K363" s="1" t="s">
        <v>17</v>
      </c>
      <c r="L363" s="5">
        <f>car_price_prediction_[[#This Row],[Price]]/100</f>
        <v>66595.44</v>
      </c>
      <c r="M363">
        <v>6659544</v>
      </c>
      <c r="N363" s="1" t="s">
        <v>31</v>
      </c>
      <c r="O363" s="1">
        <f>IF(IFERROR(VLOOKUP(car_price_prediction_[[#This Row],[Car ID]],A364:A2863,1,FALSE),0),1,0)</f>
        <v>0</v>
      </c>
    </row>
    <row r="364" spans="1:15" x14ac:dyDescent="0.25">
      <c r="A364">
        <v>363</v>
      </c>
      <c r="B364" s="1" t="s">
        <v>30</v>
      </c>
      <c r="C364" s="1">
        <f>car_price_prediction_[[#This Row],[Year2]]</f>
        <v>2001</v>
      </c>
      <c r="D364">
        <v>2001</v>
      </c>
      <c r="E364">
        <f>car_price_prediction_[[#This Row],[Engine Size]]/10</f>
        <v>3.9</v>
      </c>
      <c r="F364">
        <v>39</v>
      </c>
      <c r="G364" s="1" t="s">
        <v>16</v>
      </c>
      <c r="H364" s="1" t="s">
        <v>12</v>
      </c>
      <c r="I364" s="12">
        <f>car_price_prediction_[[#This Row],[Mileage]]/1000</f>
        <v>20.044</v>
      </c>
      <c r="J364" s="5">
        <v>20044</v>
      </c>
      <c r="K364" s="1" t="s">
        <v>13</v>
      </c>
      <c r="L364" s="5">
        <f>car_price_prediction_[[#This Row],[Price]]/100</f>
        <v>59133.42</v>
      </c>
      <c r="M364">
        <v>5913342</v>
      </c>
      <c r="N364" s="1" t="s">
        <v>45</v>
      </c>
      <c r="O364" s="1">
        <f>IF(IFERROR(VLOOKUP(car_price_prediction_[[#This Row],[Car ID]],A365:A2864,1,FALSE),0),1,0)</f>
        <v>0</v>
      </c>
    </row>
    <row r="365" spans="1:15" x14ac:dyDescent="0.25">
      <c r="A365">
        <v>364</v>
      </c>
      <c r="B365" s="1" t="s">
        <v>36</v>
      </c>
      <c r="C365" s="1">
        <f>car_price_prediction_[[#This Row],[Year2]]</f>
        <v>2013</v>
      </c>
      <c r="D365">
        <v>2013</v>
      </c>
      <c r="E365">
        <f>car_price_prediction_[[#This Row],[Engine Size]]/10</f>
        <v>6</v>
      </c>
      <c r="F365">
        <v>60</v>
      </c>
      <c r="G365" s="1" t="s">
        <v>21</v>
      </c>
      <c r="H365" s="1" t="s">
        <v>12</v>
      </c>
      <c r="I365" s="12">
        <f>car_price_prediction_[[#This Row],[Mileage]]/1000</f>
        <v>99.372</v>
      </c>
      <c r="J365" s="5">
        <v>99372</v>
      </c>
      <c r="K365" s="1" t="s">
        <v>17</v>
      </c>
      <c r="L365" s="5">
        <f>car_price_prediction_[[#This Row],[Price]]/100</f>
        <v>20924.09</v>
      </c>
      <c r="M365">
        <v>2092409</v>
      </c>
      <c r="N365" s="1" t="s">
        <v>41</v>
      </c>
      <c r="O365" s="1">
        <f>IF(IFERROR(VLOOKUP(car_price_prediction_[[#This Row],[Car ID]],A366:A2865,1,FALSE),0),1,0)</f>
        <v>0</v>
      </c>
    </row>
    <row r="366" spans="1:15" x14ac:dyDescent="0.25">
      <c r="A366">
        <v>365</v>
      </c>
      <c r="B366" s="1" t="s">
        <v>24</v>
      </c>
      <c r="C366" s="1">
        <f>car_price_prediction_[[#This Row],[Year2]]</f>
        <v>2003</v>
      </c>
      <c r="D366">
        <v>2003</v>
      </c>
      <c r="E366">
        <f>car_price_prediction_[[#This Row],[Engine Size]]/10</f>
        <v>4.8</v>
      </c>
      <c r="F366">
        <v>48</v>
      </c>
      <c r="G366" s="1" t="s">
        <v>16</v>
      </c>
      <c r="H366" s="1" t="s">
        <v>12</v>
      </c>
      <c r="I366" s="12">
        <f>car_price_prediction_[[#This Row],[Mileage]]/1000</f>
        <v>276.85000000000002</v>
      </c>
      <c r="J366" s="5">
        <v>276850</v>
      </c>
      <c r="K366" s="1" t="s">
        <v>25</v>
      </c>
      <c r="L366" s="5">
        <f>car_price_prediction_[[#This Row],[Price]]/100</f>
        <v>84586.96</v>
      </c>
      <c r="M366">
        <v>8458696</v>
      </c>
      <c r="N366" s="1" t="s">
        <v>34</v>
      </c>
      <c r="O366" s="1">
        <f>IF(IFERROR(VLOOKUP(car_price_prediction_[[#This Row],[Car ID]],A367:A2866,1,FALSE),0),1,0)</f>
        <v>0</v>
      </c>
    </row>
    <row r="367" spans="1:15" x14ac:dyDescent="0.25">
      <c r="A367">
        <v>366</v>
      </c>
      <c r="B367" s="1" t="s">
        <v>19</v>
      </c>
      <c r="C367" s="1">
        <f>car_price_prediction_[[#This Row],[Year2]]</f>
        <v>2000</v>
      </c>
      <c r="D367">
        <v>2000</v>
      </c>
      <c r="E367">
        <f>car_price_prediction_[[#This Row],[Engine Size]]/10</f>
        <v>3.2</v>
      </c>
      <c r="F367">
        <v>32</v>
      </c>
      <c r="G367" s="1" t="s">
        <v>16</v>
      </c>
      <c r="H367" s="1" t="s">
        <v>12</v>
      </c>
      <c r="I367" s="12">
        <f>car_price_prediction_[[#This Row],[Mileage]]/1000</f>
        <v>137.04599999999999</v>
      </c>
      <c r="J367" s="5">
        <v>137046</v>
      </c>
      <c r="K367" s="1" t="s">
        <v>25</v>
      </c>
      <c r="L367" s="5">
        <f>car_price_prediction_[[#This Row],[Price]]/100</f>
        <v>96270.31</v>
      </c>
      <c r="M367">
        <v>9627031</v>
      </c>
      <c r="N367" s="1" t="s">
        <v>27</v>
      </c>
      <c r="O367" s="1">
        <f>IF(IFERROR(VLOOKUP(car_price_prediction_[[#This Row],[Car ID]],A368:A2867,1,FALSE),0),1,0)</f>
        <v>0</v>
      </c>
    </row>
    <row r="368" spans="1:15" x14ac:dyDescent="0.25">
      <c r="A368">
        <v>367</v>
      </c>
      <c r="B368" s="1" t="s">
        <v>43</v>
      </c>
      <c r="C368" s="1">
        <f>car_price_prediction_[[#This Row],[Year2]]</f>
        <v>2022</v>
      </c>
      <c r="D368">
        <v>2022</v>
      </c>
      <c r="E368">
        <f>car_price_prediction_[[#This Row],[Engine Size]]/10</f>
        <v>4.5</v>
      </c>
      <c r="F368">
        <v>45</v>
      </c>
      <c r="G368" s="1" t="s">
        <v>29</v>
      </c>
      <c r="H368" s="1" t="s">
        <v>12</v>
      </c>
      <c r="I368" s="12">
        <f>car_price_prediction_[[#This Row],[Mileage]]/1000</f>
        <v>21.213000000000001</v>
      </c>
      <c r="J368" s="5">
        <v>21213</v>
      </c>
      <c r="K368" s="1" t="s">
        <v>13</v>
      </c>
      <c r="L368" s="5">
        <f>car_price_prediction_[[#This Row],[Price]]/100</f>
        <v>8884.27</v>
      </c>
      <c r="M368">
        <v>888427</v>
      </c>
      <c r="N368" s="1" t="s">
        <v>50</v>
      </c>
      <c r="O368" s="1">
        <f>IF(IFERROR(VLOOKUP(car_price_prediction_[[#This Row],[Car ID]],A369:A2868,1,FALSE),0),1,0)</f>
        <v>0</v>
      </c>
    </row>
    <row r="369" spans="1:15" x14ac:dyDescent="0.25">
      <c r="A369">
        <v>368</v>
      </c>
      <c r="B369" s="1" t="s">
        <v>15</v>
      </c>
      <c r="C369" s="1">
        <f>car_price_prediction_[[#This Row],[Year2]]</f>
        <v>2017</v>
      </c>
      <c r="D369">
        <v>2017</v>
      </c>
      <c r="E369">
        <f>car_price_prediction_[[#This Row],[Engine Size]]/10</f>
        <v>2.9</v>
      </c>
      <c r="F369">
        <v>29</v>
      </c>
      <c r="G369" s="1" t="s">
        <v>21</v>
      </c>
      <c r="H369" s="1" t="s">
        <v>12</v>
      </c>
      <c r="I369" s="12">
        <f>car_price_prediction_[[#This Row],[Mileage]]/1000</f>
        <v>1.95</v>
      </c>
      <c r="J369" s="5">
        <v>1950</v>
      </c>
      <c r="K369" s="1" t="s">
        <v>25</v>
      </c>
      <c r="L369" s="5">
        <f>car_price_prediction_[[#This Row],[Price]]/100</f>
        <v>12413.03</v>
      </c>
      <c r="M369">
        <v>1241303</v>
      </c>
      <c r="N369" s="1" t="s">
        <v>35</v>
      </c>
      <c r="O369" s="1">
        <f>IF(IFERROR(VLOOKUP(car_price_prediction_[[#This Row],[Car ID]],A370:A2869,1,FALSE),0),1,0)</f>
        <v>0</v>
      </c>
    </row>
    <row r="370" spans="1:15" x14ac:dyDescent="0.25">
      <c r="A370">
        <v>369</v>
      </c>
      <c r="B370" s="1" t="s">
        <v>43</v>
      </c>
      <c r="C370" s="1">
        <f>car_price_prediction_[[#This Row],[Year2]]</f>
        <v>2012</v>
      </c>
      <c r="D370">
        <v>2012</v>
      </c>
      <c r="E370">
        <f>car_price_prediction_[[#This Row],[Engine Size]]/10</f>
        <v>2.1</v>
      </c>
      <c r="F370">
        <v>21</v>
      </c>
      <c r="G370" s="1" t="s">
        <v>16</v>
      </c>
      <c r="H370" s="1" t="s">
        <v>12</v>
      </c>
      <c r="I370" s="12">
        <f>car_price_prediction_[[#This Row],[Mileage]]/1000</f>
        <v>254.04300000000001</v>
      </c>
      <c r="J370" s="5">
        <v>254043</v>
      </c>
      <c r="K370" s="1" t="s">
        <v>13</v>
      </c>
      <c r="L370" s="5">
        <f>car_price_prediction_[[#This Row],[Price]]/100</f>
        <v>89048.83</v>
      </c>
      <c r="M370">
        <v>8904883</v>
      </c>
      <c r="N370" s="1" t="s">
        <v>52</v>
      </c>
      <c r="O370" s="1">
        <f>IF(IFERROR(VLOOKUP(car_price_prediction_[[#This Row],[Car ID]],A371:A2870,1,FALSE),0),1,0)</f>
        <v>0</v>
      </c>
    </row>
    <row r="371" spans="1:15" x14ac:dyDescent="0.25">
      <c r="A371">
        <v>370</v>
      </c>
      <c r="B371" s="1" t="s">
        <v>15</v>
      </c>
      <c r="C371" s="1">
        <f>car_price_prediction_[[#This Row],[Year2]]</f>
        <v>2001</v>
      </c>
      <c r="D371">
        <v>2001</v>
      </c>
      <c r="E371">
        <f>car_price_prediction_[[#This Row],[Engine Size]]/10</f>
        <v>4</v>
      </c>
      <c r="F371">
        <v>40</v>
      </c>
      <c r="G371" s="1" t="s">
        <v>11</v>
      </c>
      <c r="H371" s="1" t="s">
        <v>12</v>
      </c>
      <c r="I371" s="12">
        <f>car_price_prediction_[[#This Row],[Mileage]]/1000</f>
        <v>216.08500000000001</v>
      </c>
      <c r="J371" s="5">
        <v>216085</v>
      </c>
      <c r="K371" s="1" t="s">
        <v>25</v>
      </c>
      <c r="L371" s="5">
        <f>car_price_prediction_[[#This Row],[Price]]/100</f>
        <v>82477.460000000006</v>
      </c>
      <c r="M371">
        <v>8247746</v>
      </c>
      <c r="N371" s="1" t="s">
        <v>39</v>
      </c>
      <c r="O371" s="1">
        <f>IF(IFERROR(VLOOKUP(car_price_prediction_[[#This Row],[Car ID]],A372:A2871,1,FALSE),0),1,0)</f>
        <v>0</v>
      </c>
    </row>
    <row r="372" spans="1:15" x14ac:dyDescent="0.25">
      <c r="A372">
        <v>371</v>
      </c>
      <c r="B372" s="1" t="s">
        <v>43</v>
      </c>
      <c r="C372" s="1">
        <f>car_price_prediction_[[#This Row],[Year2]]</f>
        <v>2008</v>
      </c>
      <c r="D372">
        <v>2008</v>
      </c>
      <c r="E372">
        <f>car_price_prediction_[[#This Row],[Engine Size]]/10</f>
        <v>5.6</v>
      </c>
      <c r="F372">
        <v>56</v>
      </c>
      <c r="G372" s="1" t="s">
        <v>16</v>
      </c>
      <c r="H372" s="1" t="s">
        <v>12</v>
      </c>
      <c r="I372" s="12">
        <f>car_price_prediction_[[#This Row],[Mileage]]/1000</f>
        <v>272.55500000000001</v>
      </c>
      <c r="J372" s="5">
        <v>272555</v>
      </c>
      <c r="K372" s="1" t="s">
        <v>25</v>
      </c>
      <c r="L372" s="5">
        <f>car_price_prediction_[[#This Row],[Price]]/100</f>
        <v>63703.77</v>
      </c>
      <c r="M372">
        <v>6370377</v>
      </c>
      <c r="N372" s="1" t="s">
        <v>50</v>
      </c>
      <c r="O372" s="1">
        <f>IF(IFERROR(VLOOKUP(car_price_prediction_[[#This Row],[Car ID]],A373:A2872,1,FALSE),0),1,0)</f>
        <v>0</v>
      </c>
    </row>
    <row r="373" spans="1:15" x14ac:dyDescent="0.25">
      <c r="A373">
        <v>372</v>
      </c>
      <c r="B373" s="1" t="s">
        <v>36</v>
      </c>
      <c r="C373" s="1">
        <f>car_price_prediction_[[#This Row],[Year2]]</f>
        <v>2020</v>
      </c>
      <c r="D373">
        <v>2020</v>
      </c>
      <c r="E373">
        <f>car_price_prediction_[[#This Row],[Engine Size]]/10</f>
        <v>5.6</v>
      </c>
      <c r="F373">
        <v>56</v>
      </c>
      <c r="G373" s="1" t="s">
        <v>16</v>
      </c>
      <c r="H373" s="1" t="s">
        <v>12</v>
      </c>
      <c r="I373" s="12">
        <f>car_price_prediction_[[#This Row],[Mileage]]/1000</f>
        <v>148.84299999999999</v>
      </c>
      <c r="J373" s="5">
        <v>148843</v>
      </c>
      <c r="K373" s="1" t="s">
        <v>13</v>
      </c>
      <c r="L373" s="5">
        <f>car_price_prediction_[[#This Row],[Price]]/100</f>
        <v>94771.69</v>
      </c>
      <c r="M373">
        <v>9477169</v>
      </c>
      <c r="N373" s="1" t="s">
        <v>37</v>
      </c>
      <c r="O373" s="1">
        <f>IF(IFERROR(VLOOKUP(car_price_prediction_[[#This Row],[Car ID]],A374:A2873,1,FALSE),0),1,0)</f>
        <v>0</v>
      </c>
    </row>
    <row r="374" spans="1:15" x14ac:dyDescent="0.25">
      <c r="A374">
        <v>373</v>
      </c>
      <c r="B374" s="1" t="s">
        <v>19</v>
      </c>
      <c r="C374" s="1">
        <f>car_price_prediction_[[#This Row],[Year2]]</f>
        <v>2001</v>
      </c>
      <c r="D374">
        <v>2001</v>
      </c>
      <c r="E374">
        <f>car_price_prediction_[[#This Row],[Engine Size]]/10</f>
        <v>2.7</v>
      </c>
      <c r="F374">
        <v>27</v>
      </c>
      <c r="G374" s="1" t="s">
        <v>11</v>
      </c>
      <c r="H374" s="1" t="s">
        <v>12</v>
      </c>
      <c r="I374" s="12">
        <f>car_price_prediction_[[#This Row],[Mileage]]/1000</f>
        <v>297.197</v>
      </c>
      <c r="J374" s="5">
        <v>297197</v>
      </c>
      <c r="K374" s="1" t="s">
        <v>25</v>
      </c>
      <c r="L374" s="5">
        <f>car_price_prediction_[[#This Row],[Price]]/100</f>
        <v>6641.09</v>
      </c>
      <c r="M374">
        <v>664109</v>
      </c>
      <c r="N374" s="1" t="s">
        <v>28</v>
      </c>
      <c r="O374" s="1">
        <f>IF(IFERROR(VLOOKUP(car_price_prediction_[[#This Row],[Car ID]],A375:A2874,1,FALSE),0),1,0)</f>
        <v>0</v>
      </c>
    </row>
    <row r="375" spans="1:15" x14ac:dyDescent="0.25">
      <c r="A375">
        <v>374</v>
      </c>
      <c r="B375" s="1" t="s">
        <v>15</v>
      </c>
      <c r="C375" s="1">
        <f>car_price_prediction_[[#This Row],[Year2]]</f>
        <v>2008</v>
      </c>
      <c r="D375">
        <v>2008</v>
      </c>
      <c r="E375">
        <f>car_price_prediction_[[#This Row],[Engine Size]]/10</f>
        <v>3.6</v>
      </c>
      <c r="F375">
        <v>36</v>
      </c>
      <c r="G375" s="1" t="s">
        <v>21</v>
      </c>
      <c r="H375" s="1" t="s">
        <v>22</v>
      </c>
      <c r="I375" s="12">
        <f>car_price_prediction_[[#This Row],[Mileage]]/1000</f>
        <v>248.96600000000001</v>
      </c>
      <c r="J375" s="5">
        <v>248966</v>
      </c>
      <c r="K375" s="1" t="s">
        <v>25</v>
      </c>
      <c r="L375" s="5">
        <f>car_price_prediction_[[#This Row],[Price]]/100</f>
        <v>2551.86</v>
      </c>
      <c r="M375">
        <v>255186</v>
      </c>
      <c r="N375" s="1" t="s">
        <v>51</v>
      </c>
      <c r="O375" s="1">
        <f>IF(IFERROR(VLOOKUP(car_price_prediction_[[#This Row],[Car ID]],A376:A2875,1,FALSE),0),1,0)</f>
        <v>0</v>
      </c>
    </row>
    <row r="376" spans="1:15" x14ac:dyDescent="0.25">
      <c r="A376">
        <v>375</v>
      </c>
      <c r="B376" s="1" t="s">
        <v>10</v>
      </c>
      <c r="C376" s="1">
        <f>car_price_prediction_[[#This Row],[Year2]]</f>
        <v>2000</v>
      </c>
      <c r="D376">
        <v>2000</v>
      </c>
      <c r="E376">
        <f>car_price_prediction_[[#This Row],[Engine Size]]/10</f>
        <v>2.1</v>
      </c>
      <c r="F376">
        <v>21</v>
      </c>
      <c r="G376" s="1" t="s">
        <v>29</v>
      </c>
      <c r="H376" s="1" t="s">
        <v>12</v>
      </c>
      <c r="I376" s="12">
        <f>car_price_prediction_[[#This Row],[Mileage]]/1000</f>
        <v>138.11699999999999</v>
      </c>
      <c r="J376" s="5">
        <v>138117</v>
      </c>
      <c r="K376" s="1" t="s">
        <v>13</v>
      </c>
      <c r="L376" s="5">
        <f>car_price_prediction_[[#This Row],[Price]]/100</f>
        <v>74221.02</v>
      </c>
      <c r="M376">
        <v>7422102</v>
      </c>
      <c r="N376" s="1" t="s">
        <v>14</v>
      </c>
      <c r="O376" s="1">
        <f>IF(IFERROR(VLOOKUP(car_price_prediction_[[#This Row],[Car ID]],A377:A2876,1,FALSE),0),1,0)</f>
        <v>0</v>
      </c>
    </row>
    <row r="377" spans="1:15" x14ac:dyDescent="0.25">
      <c r="A377">
        <v>376</v>
      </c>
      <c r="B377" s="1" t="s">
        <v>24</v>
      </c>
      <c r="C377" s="1">
        <f>car_price_prediction_[[#This Row],[Year2]]</f>
        <v>2010</v>
      </c>
      <c r="D377">
        <v>2010</v>
      </c>
      <c r="E377">
        <f>car_price_prediction_[[#This Row],[Engine Size]]/10</f>
        <v>6</v>
      </c>
      <c r="F377">
        <v>60</v>
      </c>
      <c r="G377" s="1" t="s">
        <v>29</v>
      </c>
      <c r="H377" s="1" t="s">
        <v>12</v>
      </c>
      <c r="I377" s="12">
        <f>car_price_prediction_[[#This Row],[Mileage]]/1000</f>
        <v>29.713999999999999</v>
      </c>
      <c r="J377" s="5">
        <v>29714</v>
      </c>
      <c r="K377" s="1" t="s">
        <v>17</v>
      </c>
      <c r="L377" s="5">
        <f>car_price_prediction_[[#This Row],[Price]]/100</f>
        <v>66342.48</v>
      </c>
      <c r="M377">
        <v>6634248</v>
      </c>
      <c r="N377" s="1" t="s">
        <v>32</v>
      </c>
      <c r="O377" s="1">
        <f>IF(IFERROR(VLOOKUP(car_price_prediction_[[#This Row],[Car ID]],A378:A2877,1,FALSE),0),1,0)</f>
        <v>0</v>
      </c>
    </row>
    <row r="378" spans="1:15" x14ac:dyDescent="0.25">
      <c r="A378">
        <v>377</v>
      </c>
      <c r="B378" s="1" t="s">
        <v>43</v>
      </c>
      <c r="C378" s="1">
        <f>car_price_prediction_[[#This Row],[Year2]]</f>
        <v>2002</v>
      </c>
      <c r="D378">
        <v>2002</v>
      </c>
      <c r="E378">
        <f>car_price_prediction_[[#This Row],[Engine Size]]/10</f>
        <v>5.9</v>
      </c>
      <c r="F378">
        <v>59</v>
      </c>
      <c r="G378" s="1" t="s">
        <v>29</v>
      </c>
      <c r="H378" s="1" t="s">
        <v>12</v>
      </c>
      <c r="I378" s="12">
        <f>car_price_prediction_[[#This Row],[Mileage]]/1000</f>
        <v>165.458</v>
      </c>
      <c r="J378" s="5">
        <v>165458</v>
      </c>
      <c r="K378" s="1" t="s">
        <v>13</v>
      </c>
      <c r="L378" s="5">
        <f>car_price_prediction_[[#This Row],[Price]]/100</f>
        <v>98645.75</v>
      </c>
      <c r="M378">
        <v>9864575</v>
      </c>
      <c r="N378" s="1" t="s">
        <v>52</v>
      </c>
      <c r="O378" s="1">
        <f>IF(IFERROR(VLOOKUP(car_price_prediction_[[#This Row],[Car ID]],A379:A2878,1,FALSE),0),1,0)</f>
        <v>0</v>
      </c>
    </row>
    <row r="379" spans="1:15" x14ac:dyDescent="0.25">
      <c r="A379">
        <v>378</v>
      </c>
      <c r="B379" s="1" t="s">
        <v>43</v>
      </c>
      <c r="C379" s="1">
        <f>car_price_prediction_[[#This Row],[Year2]]</f>
        <v>2019</v>
      </c>
      <c r="D379">
        <v>2019</v>
      </c>
      <c r="E379">
        <f>car_price_prediction_[[#This Row],[Engine Size]]/10</f>
        <v>4.2</v>
      </c>
      <c r="F379">
        <v>42</v>
      </c>
      <c r="G379" s="1" t="s">
        <v>11</v>
      </c>
      <c r="H379" s="1" t="s">
        <v>12</v>
      </c>
      <c r="I379" s="12">
        <f>car_price_prediction_[[#This Row],[Mileage]]/1000</f>
        <v>270.70600000000002</v>
      </c>
      <c r="J379" s="5">
        <v>270706</v>
      </c>
      <c r="K379" s="1" t="s">
        <v>25</v>
      </c>
      <c r="L379" s="5">
        <f>car_price_prediction_[[#This Row],[Price]]/100</f>
        <v>25320.09</v>
      </c>
      <c r="M379">
        <v>2532009</v>
      </c>
      <c r="N379" s="1" t="s">
        <v>47</v>
      </c>
      <c r="O379" s="1">
        <f>IF(IFERROR(VLOOKUP(car_price_prediction_[[#This Row],[Car ID]],A380:A2879,1,FALSE),0),1,0)</f>
        <v>0</v>
      </c>
    </row>
    <row r="380" spans="1:15" x14ac:dyDescent="0.25">
      <c r="A380">
        <v>379</v>
      </c>
      <c r="B380" s="1" t="s">
        <v>15</v>
      </c>
      <c r="C380" s="1">
        <f>car_price_prediction_[[#This Row],[Year2]]</f>
        <v>2022</v>
      </c>
      <c r="D380">
        <v>2022</v>
      </c>
      <c r="E380">
        <f>car_price_prediction_[[#This Row],[Engine Size]]/10</f>
        <v>5</v>
      </c>
      <c r="F380">
        <v>50</v>
      </c>
      <c r="G380" s="1" t="s">
        <v>16</v>
      </c>
      <c r="H380" s="1" t="s">
        <v>12</v>
      </c>
      <c r="I380" s="12">
        <f>car_price_prediction_[[#This Row],[Mileage]]/1000</f>
        <v>12.026</v>
      </c>
      <c r="J380" s="5">
        <v>12026</v>
      </c>
      <c r="K380" s="1" t="s">
        <v>17</v>
      </c>
      <c r="L380" s="5">
        <f>car_price_prediction_[[#This Row],[Price]]/100</f>
        <v>61799.07</v>
      </c>
      <c r="M380">
        <v>6179907</v>
      </c>
      <c r="N380" s="1" t="s">
        <v>51</v>
      </c>
      <c r="O380" s="1">
        <f>IF(IFERROR(VLOOKUP(car_price_prediction_[[#This Row],[Car ID]],A381:A2880,1,FALSE),0),1,0)</f>
        <v>0</v>
      </c>
    </row>
    <row r="381" spans="1:15" x14ac:dyDescent="0.25">
      <c r="A381">
        <v>380</v>
      </c>
      <c r="B381" s="1" t="s">
        <v>24</v>
      </c>
      <c r="C381" s="1">
        <f>car_price_prediction_[[#This Row],[Year2]]</f>
        <v>2003</v>
      </c>
      <c r="D381">
        <v>2003</v>
      </c>
      <c r="E381">
        <f>car_price_prediction_[[#This Row],[Engine Size]]/10</f>
        <v>4.5999999999999996</v>
      </c>
      <c r="F381">
        <v>46</v>
      </c>
      <c r="G381" s="1" t="s">
        <v>21</v>
      </c>
      <c r="H381" s="1" t="s">
        <v>12</v>
      </c>
      <c r="I381" s="12">
        <f>car_price_prediction_[[#This Row],[Mileage]]/1000</f>
        <v>106.14700000000001</v>
      </c>
      <c r="J381" s="5">
        <v>106147</v>
      </c>
      <c r="K381" s="1" t="s">
        <v>17</v>
      </c>
      <c r="L381" s="5">
        <f>car_price_prediction_[[#This Row],[Price]]/100</f>
        <v>79115.91</v>
      </c>
      <c r="M381">
        <v>7911591</v>
      </c>
      <c r="N381" s="1" t="s">
        <v>34</v>
      </c>
      <c r="O381" s="1">
        <f>IF(IFERROR(VLOOKUP(car_price_prediction_[[#This Row],[Car ID]],A382:A2881,1,FALSE),0),1,0)</f>
        <v>0</v>
      </c>
    </row>
    <row r="382" spans="1:15" x14ac:dyDescent="0.25">
      <c r="A382">
        <v>381</v>
      </c>
      <c r="B382" s="1" t="s">
        <v>24</v>
      </c>
      <c r="C382" s="1">
        <f>car_price_prediction_[[#This Row],[Year2]]</f>
        <v>2017</v>
      </c>
      <c r="D382">
        <v>2017</v>
      </c>
      <c r="E382">
        <f>car_price_prediction_[[#This Row],[Engine Size]]/10</f>
        <v>4</v>
      </c>
      <c r="F382">
        <v>40</v>
      </c>
      <c r="G382" s="1" t="s">
        <v>16</v>
      </c>
      <c r="H382" s="1" t="s">
        <v>22</v>
      </c>
      <c r="I382" s="12">
        <f>car_price_prediction_[[#This Row],[Mileage]]/1000</f>
        <v>31.588999999999999</v>
      </c>
      <c r="J382" s="5">
        <v>31589</v>
      </c>
      <c r="K382" s="1" t="s">
        <v>17</v>
      </c>
      <c r="L382" s="5">
        <f>car_price_prediction_[[#This Row],[Price]]/100</f>
        <v>37203.39</v>
      </c>
      <c r="M382">
        <v>3720339</v>
      </c>
      <c r="N382" s="1" t="s">
        <v>34</v>
      </c>
      <c r="O382" s="1">
        <f>IF(IFERROR(VLOOKUP(car_price_prediction_[[#This Row],[Car ID]],A383:A2882,1,FALSE),0),1,0)</f>
        <v>0</v>
      </c>
    </row>
    <row r="383" spans="1:15" x14ac:dyDescent="0.25">
      <c r="A383">
        <v>382</v>
      </c>
      <c r="B383" s="1" t="s">
        <v>36</v>
      </c>
      <c r="C383" s="1">
        <f>car_price_prediction_[[#This Row],[Year2]]</f>
        <v>2022</v>
      </c>
      <c r="D383">
        <v>2022</v>
      </c>
      <c r="E383">
        <f>car_price_prediction_[[#This Row],[Engine Size]]/10</f>
        <v>1.3</v>
      </c>
      <c r="F383">
        <v>13</v>
      </c>
      <c r="G383" s="1" t="s">
        <v>29</v>
      </c>
      <c r="H383" s="1" t="s">
        <v>22</v>
      </c>
      <c r="I383" s="12">
        <f>car_price_prediction_[[#This Row],[Mileage]]/1000</f>
        <v>108.199</v>
      </c>
      <c r="J383" s="5">
        <v>108199</v>
      </c>
      <c r="K383" s="1" t="s">
        <v>13</v>
      </c>
      <c r="L383" s="5">
        <f>car_price_prediction_[[#This Row],[Price]]/100</f>
        <v>41069.56</v>
      </c>
      <c r="M383">
        <v>4106956</v>
      </c>
      <c r="N383" s="1" t="s">
        <v>40</v>
      </c>
      <c r="O383" s="1">
        <f>IF(IFERROR(VLOOKUP(car_price_prediction_[[#This Row],[Car ID]],A384:A2883,1,FALSE),0),1,0)</f>
        <v>0</v>
      </c>
    </row>
    <row r="384" spans="1:15" x14ac:dyDescent="0.25">
      <c r="A384">
        <v>383</v>
      </c>
      <c r="B384" s="1" t="s">
        <v>10</v>
      </c>
      <c r="C384" s="1">
        <f>car_price_prediction_[[#This Row],[Year2]]</f>
        <v>2005</v>
      </c>
      <c r="D384">
        <v>2005</v>
      </c>
      <c r="E384">
        <f>car_price_prediction_[[#This Row],[Engine Size]]/10</f>
        <v>3.3</v>
      </c>
      <c r="F384">
        <v>33</v>
      </c>
      <c r="G384" s="1" t="s">
        <v>16</v>
      </c>
      <c r="H384" s="1" t="s">
        <v>22</v>
      </c>
      <c r="I384" s="12">
        <f>car_price_prediction_[[#This Row],[Mileage]]/1000</f>
        <v>288.988</v>
      </c>
      <c r="J384" s="5">
        <v>288988</v>
      </c>
      <c r="K384" s="1" t="s">
        <v>17</v>
      </c>
      <c r="L384" s="5">
        <f>car_price_prediction_[[#This Row],[Price]]/100</f>
        <v>89350.67</v>
      </c>
      <c r="M384">
        <v>8935067</v>
      </c>
      <c r="N384" s="1" t="s">
        <v>23</v>
      </c>
      <c r="O384" s="1">
        <f>IF(IFERROR(VLOOKUP(car_price_prediction_[[#This Row],[Car ID]],A385:A2884,1,FALSE),0),1,0)</f>
        <v>0</v>
      </c>
    </row>
    <row r="385" spans="1:15" x14ac:dyDescent="0.25">
      <c r="A385">
        <v>384</v>
      </c>
      <c r="B385" s="1" t="s">
        <v>36</v>
      </c>
      <c r="C385" s="1">
        <f>car_price_prediction_[[#This Row],[Year2]]</f>
        <v>2002</v>
      </c>
      <c r="D385">
        <v>2002</v>
      </c>
      <c r="E385">
        <f>car_price_prediction_[[#This Row],[Engine Size]]/10</f>
        <v>4.4000000000000004</v>
      </c>
      <c r="F385">
        <v>44</v>
      </c>
      <c r="G385" s="1" t="s">
        <v>11</v>
      </c>
      <c r="H385" s="1" t="s">
        <v>12</v>
      </c>
      <c r="I385" s="12">
        <f>car_price_prediction_[[#This Row],[Mileage]]/1000</f>
        <v>208.57400000000001</v>
      </c>
      <c r="J385" s="5">
        <v>208574</v>
      </c>
      <c r="K385" s="1" t="s">
        <v>17</v>
      </c>
      <c r="L385" s="5">
        <f>car_price_prediction_[[#This Row],[Price]]/100</f>
        <v>43398.51</v>
      </c>
      <c r="M385">
        <v>4339851</v>
      </c>
      <c r="N385" s="1" t="s">
        <v>41</v>
      </c>
      <c r="O385" s="1">
        <f>IF(IFERROR(VLOOKUP(car_price_prediction_[[#This Row],[Car ID]],A386:A2885,1,FALSE),0),1,0)</f>
        <v>0</v>
      </c>
    </row>
    <row r="386" spans="1:15" x14ac:dyDescent="0.25">
      <c r="A386">
        <v>385</v>
      </c>
      <c r="B386" s="1" t="s">
        <v>36</v>
      </c>
      <c r="C386" s="1">
        <f>car_price_prediction_[[#This Row],[Year2]]</f>
        <v>2021</v>
      </c>
      <c r="D386">
        <v>2021</v>
      </c>
      <c r="E386">
        <f>car_price_prediction_[[#This Row],[Engine Size]]/10</f>
        <v>4.4000000000000004</v>
      </c>
      <c r="F386">
        <v>44</v>
      </c>
      <c r="G386" s="1" t="s">
        <v>11</v>
      </c>
      <c r="H386" s="1" t="s">
        <v>12</v>
      </c>
      <c r="I386" s="12">
        <f>car_price_prediction_[[#This Row],[Mileage]]/1000</f>
        <v>214.34</v>
      </c>
      <c r="J386" s="5">
        <v>214340</v>
      </c>
      <c r="K386" s="1" t="s">
        <v>17</v>
      </c>
      <c r="L386" s="5">
        <f>car_price_prediction_[[#This Row],[Price]]/100</f>
        <v>64349.62</v>
      </c>
      <c r="M386">
        <v>6434962</v>
      </c>
      <c r="N386" s="1" t="s">
        <v>37</v>
      </c>
      <c r="O386" s="1">
        <f>IF(IFERROR(VLOOKUP(car_price_prediction_[[#This Row],[Car ID]],A387:A2886,1,FALSE),0),1,0)</f>
        <v>0</v>
      </c>
    </row>
    <row r="387" spans="1:15" x14ac:dyDescent="0.25">
      <c r="A387">
        <v>386</v>
      </c>
      <c r="B387" s="1" t="s">
        <v>36</v>
      </c>
      <c r="C387" s="1">
        <f>car_price_prediction_[[#This Row],[Year2]]</f>
        <v>2010</v>
      </c>
      <c r="D387">
        <v>2010</v>
      </c>
      <c r="E387">
        <f>car_price_prediction_[[#This Row],[Engine Size]]/10</f>
        <v>2.9</v>
      </c>
      <c r="F387">
        <v>29</v>
      </c>
      <c r="G387" s="1" t="s">
        <v>21</v>
      </c>
      <c r="H387" s="1" t="s">
        <v>12</v>
      </c>
      <c r="I387" s="12">
        <f>car_price_prediction_[[#This Row],[Mileage]]/1000</f>
        <v>54.707999999999998</v>
      </c>
      <c r="J387" s="5">
        <v>54708</v>
      </c>
      <c r="K387" s="1" t="s">
        <v>25</v>
      </c>
      <c r="L387" s="5">
        <f>car_price_prediction_[[#This Row],[Price]]/100</f>
        <v>89477.62</v>
      </c>
      <c r="M387">
        <v>8947762</v>
      </c>
      <c r="N387" s="1" t="s">
        <v>46</v>
      </c>
      <c r="O387" s="1">
        <f>IF(IFERROR(VLOOKUP(car_price_prediction_[[#This Row],[Car ID]],A388:A2887,1,FALSE),0),1,0)</f>
        <v>0</v>
      </c>
    </row>
    <row r="388" spans="1:15" x14ac:dyDescent="0.25">
      <c r="A388">
        <v>387</v>
      </c>
      <c r="B388" s="1" t="s">
        <v>36</v>
      </c>
      <c r="C388" s="1">
        <f>car_price_prediction_[[#This Row],[Year2]]</f>
        <v>2014</v>
      </c>
      <c r="D388">
        <v>2014</v>
      </c>
      <c r="E388">
        <f>car_price_prediction_[[#This Row],[Engine Size]]/10</f>
        <v>5.7</v>
      </c>
      <c r="F388">
        <v>57</v>
      </c>
      <c r="G388" s="1" t="s">
        <v>21</v>
      </c>
      <c r="H388" s="1" t="s">
        <v>22</v>
      </c>
      <c r="I388" s="12">
        <f>car_price_prediction_[[#This Row],[Mileage]]/1000</f>
        <v>70.825000000000003</v>
      </c>
      <c r="J388" s="5">
        <v>70825</v>
      </c>
      <c r="K388" s="1" t="s">
        <v>13</v>
      </c>
      <c r="L388" s="5">
        <f>car_price_prediction_[[#This Row],[Price]]/100</f>
        <v>24933.53</v>
      </c>
      <c r="M388">
        <v>2493353</v>
      </c>
      <c r="N388" s="1" t="s">
        <v>40</v>
      </c>
      <c r="O388" s="1">
        <f>IF(IFERROR(VLOOKUP(car_price_prediction_[[#This Row],[Car ID]],A389:A2888,1,FALSE),0),1,0)</f>
        <v>0</v>
      </c>
    </row>
    <row r="389" spans="1:15" x14ac:dyDescent="0.25">
      <c r="A389">
        <v>388</v>
      </c>
      <c r="B389" s="1" t="s">
        <v>36</v>
      </c>
      <c r="C389" s="1">
        <f>car_price_prediction_[[#This Row],[Year2]]</f>
        <v>2021</v>
      </c>
      <c r="D389">
        <v>2021</v>
      </c>
      <c r="E389">
        <f>car_price_prediction_[[#This Row],[Engine Size]]/10</f>
        <v>1.8</v>
      </c>
      <c r="F389">
        <v>18</v>
      </c>
      <c r="G389" s="1" t="s">
        <v>29</v>
      </c>
      <c r="H389" s="1" t="s">
        <v>12</v>
      </c>
      <c r="I389" s="12">
        <f>car_price_prediction_[[#This Row],[Mileage]]/1000</f>
        <v>51.573999999999998</v>
      </c>
      <c r="J389" s="5">
        <v>51574</v>
      </c>
      <c r="K389" s="1" t="s">
        <v>13</v>
      </c>
      <c r="L389" s="5">
        <f>car_price_prediction_[[#This Row],[Price]]/100</f>
        <v>98278.34</v>
      </c>
      <c r="M389">
        <v>9827834</v>
      </c>
      <c r="N389" s="1" t="s">
        <v>37</v>
      </c>
      <c r="O389" s="1">
        <f>IF(IFERROR(VLOOKUP(car_price_prediction_[[#This Row],[Car ID]],A390:A2889,1,FALSE),0),1,0)</f>
        <v>0</v>
      </c>
    </row>
    <row r="390" spans="1:15" x14ac:dyDescent="0.25">
      <c r="A390">
        <v>389</v>
      </c>
      <c r="B390" s="1" t="s">
        <v>19</v>
      </c>
      <c r="C390" s="1">
        <f>car_price_prediction_[[#This Row],[Year2]]</f>
        <v>2004</v>
      </c>
      <c r="D390">
        <v>2004</v>
      </c>
      <c r="E390">
        <f>car_price_prediction_[[#This Row],[Engine Size]]/10</f>
        <v>3.5</v>
      </c>
      <c r="F390">
        <v>35</v>
      </c>
      <c r="G390" s="1" t="s">
        <v>21</v>
      </c>
      <c r="H390" s="1" t="s">
        <v>12</v>
      </c>
      <c r="I390" s="12">
        <f>car_price_prediction_[[#This Row],[Mileage]]/1000</f>
        <v>232.40899999999999</v>
      </c>
      <c r="J390" s="5">
        <v>232409</v>
      </c>
      <c r="K390" s="1" t="s">
        <v>25</v>
      </c>
      <c r="L390" s="5">
        <f>car_price_prediction_[[#This Row],[Price]]/100</f>
        <v>71685.59</v>
      </c>
      <c r="M390">
        <v>7168559</v>
      </c>
      <c r="N390" s="1" t="s">
        <v>38</v>
      </c>
      <c r="O390" s="1">
        <f>IF(IFERROR(VLOOKUP(car_price_prediction_[[#This Row],[Car ID]],A391:A2890,1,FALSE),0),1,0)</f>
        <v>0</v>
      </c>
    </row>
    <row r="391" spans="1:15" x14ac:dyDescent="0.25">
      <c r="A391">
        <v>390</v>
      </c>
      <c r="B391" s="1" t="s">
        <v>24</v>
      </c>
      <c r="C391" s="1">
        <f>car_price_prediction_[[#This Row],[Year2]]</f>
        <v>2019</v>
      </c>
      <c r="D391">
        <v>2019</v>
      </c>
      <c r="E391">
        <f>car_price_prediction_[[#This Row],[Engine Size]]/10</f>
        <v>4.5</v>
      </c>
      <c r="F391">
        <v>45</v>
      </c>
      <c r="G391" s="1" t="s">
        <v>16</v>
      </c>
      <c r="H391" s="1" t="s">
        <v>22</v>
      </c>
      <c r="I391" s="12">
        <f>car_price_prediction_[[#This Row],[Mileage]]/1000</f>
        <v>186.381</v>
      </c>
      <c r="J391" s="5">
        <v>186381</v>
      </c>
      <c r="K391" s="1" t="s">
        <v>17</v>
      </c>
      <c r="L391" s="5">
        <f>car_price_prediction_[[#This Row],[Price]]/100</f>
        <v>52131.56</v>
      </c>
      <c r="M391">
        <v>5213156</v>
      </c>
      <c r="N391" s="1" t="s">
        <v>32</v>
      </c>
      <c r="O391" s="1">
        <f>IF(IFERROR(VLOOKUP(car_price_prediction_[[#This Row],[Car ID]],A392:A2891,1,FALSE),0),1,0)</f>
        <v>0</v>
      </c>
    </row>
    <row r="392" spans="1:15" x14ac:dyDescent="0.25">
      <c r="A392">
        <v>391</v>
      </c>
      <c r="B392" s="1" t="s">
        <v>36</v>
      </c>
      <c r="C392" s="1">
        <f>car_price_prediction_[[#This Row],[Year2]]</f>
        <v>2009</v>
      </c>
      <c r="D392">
        <v>2009</v>
      </c>
      <c r="E392">
        <f>car_price_prediction_[[#This Row],[Engine Size]]/10</f>
        <v>4.5</v>
      </c>
      <c r="F392">
        <v>45</v>
      </c>
      <c r="G392" s="1" t="s">
        <v>11</v>
      </c>
      <c r="H392" s="1" t="s">
        <v>22</v>
      </c>
      <c r="I392" s="12">
        <f>car_price_prediction_[[#This Row],[Mileage]]/1000</f>
        <v>64.23</v>
      </c>
      <c r="J392" s="5">
        <v>64230</v>
      </c>
      <c r="K392" s="1" t="s">
        <v>25</v>
      </c>
      <c r="L392" s="5">
        <f>car_price_prediction_[[#This Row],[Price]]/100</f>
        <v>45937.45</v>
      </c>
      <c r="M392">
        <v>4593745</v>
      </c>
      <c r="N392" s="1" t="s">
        <v>40</v>
      </c>
      <c r="O392" s="1">
        <f>IF(IFERROR(VLOOKUP(car_price_prediction_[[#This Row],[Car ID]],A393:A2892,1,FALSE),0),1,0)</f>
        <v>0</v>
      </c>
    </row>
    <row r="393" spans="1:15" x14ac:dyDescent="0.25">
      <c r="A393">
        <v>392</v>
      </c>
      <c r="B393" s="1" t="s">
        <v>24</v>
      </c>
      <c r="C393" s="1">
        <f>car_price_prediction_[[#This Row],[Year2]]</f>
        <v>2011</v>
      </c>
      <c r="D393">
        <v>2011</v>
      </c>
      <c r="E393">
        <f>car_price_prediction_[[#This Row],[Engine Size]]/10</f>
        <v>4.2</v>
      </c>
      <c r="F393">
        <v>42</v>
      </c>
      <c r="G393" s="1" t="s">
        <v>11</v>
      </c>
      <c r="H393" s="1" t="s">
        <v>12</v>
      </c>
      <c r="I393" s="12">
        <f>car_price_prediction_[[#This Row],[Mileage]]/1000</f>
        <v>254.45099999999999</v>
      </c>
      <c r="J393" s="5">
        <v>254451</v>
      </c>
      <c r="K393" s="1" t="s">
        <v>25</v>
      </c>
      <c r="L393" s="5">
        <f>car_price_prediction_[[#This Row],[Price]]/100</f>
        <v>95664.639999999999</v>
      </c>
      <c r="M393">
        <v>9566464</v>
      </c>
      <c r="N393" s="1" t="s">
        <v>26</v>
      </c>
      <c r="O393" s="1">
        <f>IF(IFERROR(VLOOKUP(car_price_prediction_[[#This Row],[Car ID]],A394:A2893,1,FALSE),0),1,0)</f>
        <v>0</v>
      </c>
    </row>
    <row r="394" spans="1:15" x14ac:dyDescent="0.25">
      <c r="A394">
        <v>393</v>
      </c>
      <c r="B394" s="1" t="s">
        <v>24</v>
      </c>
      <c r="C394" s="1">
        <f>car_price_prediction_[[#This Row],[Year2]]</f>
        <v>2014</v>
      </c>
      <c r="D394">
        <v>2014</v>
      </c>
      <c r="E394">
        <f>car_price_prediction_[[#This Row],[Engine Size]]/10</f>
        <v>2.4</v>
      </c>
      <c r="F394">
        <v>24</v>
      </c>
      <c r="G394" s="1" t="s">
        <v>11</v>
      </c>
      <c r="H394" s="1" t="s">
        <v>12</v>
      </c>
      <c r="I394" s="12">
        <f>car_price_prediction_[[#This Row],[Mileage]]/1000</f>
        <v>247.17400000000001</v>
      </c>
      <c r="J394" s="5">
        <v>247174</v>
      </c>
      <c r="K394" s="1" t="s">
        <v>17</v>
      </c>
      <c r="L394" s="5">
        <f>car_price_prediction_[[#This Row],[Price]]/100</f>
        <v>24543.86</v>
      </c>
      <c r="M394">
        <v>2454386</v>
      </c>
      <c r="N394" s="1" t="s">
        <v>34</v>
      </c>
      <c r="O394" s="1">
        <f>IF(IFERROR(VLOOKUP(car_price_prediction_[[#This Row],[Car ID]],A395:A2894,1,FALSE),0),1,0)</f>
        <v>0</v>
      </c>
    </row>
    <row r="395" spans="1:15" x14ac:dyDescent="0.25">
      <c r="A395">
        <v>394</v>
      </c>
      <c r="B395" s="1" t="s">
        <v>30</v>
      </c>
      <c r="C395" s="1">
        <f>car_price_prediction_[[#This Row],[Year2]]</f>
        <v>2016</v>
      </c>
      <c r="D395">
        <v>2016</v>
      </c>
      <c r="E395">
        <f>car_price_prediction_[[#This Row],[Engine Size]]/10</f>
        <v>1.8</v>
      </c>
      <c r="F395">
        <v>18</v>
      </c>
      <c r="G395" s="1" t="s">
        <v>21</v>
      </c>
      <c r="H395" s="1" t="s">
        <v>12</v>
      </c>
      <c r="I395" s="12">
        <f>car_price_prediction_[[#This Row],[Mileage]]/1000</f>
        <v>219.7</v>
      </c>
      <c r="J395" s="5">
        <v>219700</v>
      </c>
      <c r="K395" s="1" t="s">
        <v>17</v>
      </c>
      <c r="L395" s="5">
        <f>car_price_prediction_[[#This Row],[Price]]/100</f>
        <v>34609.910000000003</v>
      </c>
      <c r="M395">
        <v>3460991</v>
      </c>
      <c r="N395" s="1" t="s">
        <v>42</v>
      </c>
      <c r="O395" s="1">
        <f>IF(IFERROR(VLOOKUP(car_price_prediction_[[#This Row],[Car ID]],A396:A2895,1,FALSE),0),1,0)</f>
        <v>0</v>
      </c>
    </row>
    <row r="396" spans="1:15" x14ac:dyDescent="0.25">
      <c r="A396">
        <v>395</v>
      </c>
      <c r="B396" s="1" t="s">
        <v>19</v>
      </c>
      <c r="C396" s="1">
        <f>car_price_prediction_[[#This Row],[Year2]]</f>
        <v>2009</v>
      </c>
      <c r="D396">
        <v>2009</v>
      </c>
      <c r="E396">
        <f>car_price_prediction_[[#This Row],[Engine Size]]/10</f>
        <v>4.2</v>
      </c>
      <c r="F396">
        <v>42</v>
      </c>
      <c r="G396" s="1" t="s">
        <v>11</v>
      </c>
      <c r="H396" s="1" t="s">
        <v>12</v>
      </c>
      <c r="I396" s="12">
        <f>car_price_prediction_[[#This Row],[Mileage]]/1000</f>
        <v>287.24900000000002</v>
      </c>
      <c r="J396" s="5">
        <v>287249</v>
      </c>
      <c r="K396" s="1" t="s">
        <v>13</v>
      </c>
      <c r="L396" s="5">
        <f>car_price_prediction_[[#This Row],[Price]]/100</f>
        <v>34240.31</v>
      </c>
      <c r="M396">
        <v>3424031</v>
      </c>
      <c r="N396" s="1" t="s">
        <v>28</v>
      </c>
      <c r="O396" s="1">
        <f>IF(IFERROR(VLOOKUP(car_price_prediction_[[#This Row],[Car ID]],A397:A2896,1,FALSE),0),1,0)</f>
        <v>0</v>
      </c>
    </row>
    <row r="397" spans="1:15" x14ac:dyDescent="0.25">
      <c r="A397">
        <v>396</v>
      </c>
      <c r="B397" s="1" t="s">
        <v>36</v>
      </c>
      <c r="C397" s="1">
        <f>car_price_prediction_[[#This Row],[Year2]]</f>
        <v>2005</v>
      </c>
      <c r="D397">
        <v>2005</v>
      </c>
      <c r="E397">
        <f>car_price_prediction_[[#This Row],[Engine Size]]/10</f>
        <v>4</v>
      </c>
      <c r="F397">
        <v>40</v>
      </c>
      <c r="G397" s="1" t="s">
        <v>11</v>
      </c>
      <c r="H397" s="1" t="s">
        <v>22</v>
      </c>
      <c r="I397" s="12">
        <f>car_price_prediction_[[#This Row],[Mileage]]/1000</f>
        <v>246.51400000000001</v>
      </c>
      <c r="J397" s="5">
        <v>246514</v>
      </c>
      <c r="K397" s="1" t="s">
        <v>17</v>
      </c>
      <c r="L397" s="5">
        <f>car_price_prediction_[[#This Row],[Price]]/100</f>
        <v>3245.56</v>
      </c>
      <c r="M397">
        <v>324556</v>
      </c>
      <c r="N397" s="1" t="s">
        <v>37</v>
      </c>
      <c r="O397" s="1">
        <f>IF(IFERROR(VLOOKUP(car_price_prediction_[[#This Row],[Car ID]],A398:A2897,1,FALSE),0),1,0)</f>
        <v>0</v>
      </c>
    </row>
    <row r="398" spans="1:15" x14ac:dyDescent="0.25">
      <c r="A398">
        <v>397</v>
      </c>
      <c r="B398" s="1" t="s">
        <v>43</v>
      </c>
      <c r="C398" s="1">
        <f>car_price_prediction_[[#This Row],[Year2]]</f>
        <v>2017</v>
      </c>
      <c r="D398">
        <v>2017</v>
      </c>
      <c r="E398">
        <f>car_price_prediction_[[#This Row],[Engine Size]]/10</f>
        <v>1.9</v>
      </c>
      <c r="F398">
        <v>19</v>
      </c>
      <c r="G398" s="1" t="s">
        <v>11</v>
      </c>
      <c r="H398" s="1" t="s">
        <v>12</v>
      </c>
      <c r="I398" s="12">
        <f>car_price_prediction_[[#This Row],[Mileage]]/1000</f>
        <v>264.49099999999999</v>
      </c>
      <c r="J398" s="5">
        <v>264491</v>
      </c>
      <c r="K398" s="1" t="s">
        <v>25</v>
      </c>
      <c r="L398" s="5">
        <f>car_price_prediction_[[#This Row],[Price]]/100</f>
        <v>49511.11</v>
      </c>
      <c r="M398">
        <v>4951111</v>
      </c>
      <c r="N398" s="1" t="s">
        <v>52</v>
      </c>
      <c r="O398" s="1">
        <f>IF(IFERROR(VLOOKUP(car_price_prediction_[[#This Row],[Car ID]],A399:A2898,1,FALSE),0),1,0)</f>
        <v>0</v>
      </c>
    </row>
    <row r="399" spans="1:15" x14ac:dyDescent="0.25">
      <c r="A399">
        <v>398</v>
      </c>
      <c r="B399" s="1" t="s">
        <v>15</v>
      </c>
      <c r="C399" s="1">
        <f>car_price_prediction_[[#This Row],[Year2]]</f>
        <v>2012</v>
      </c>
      <c r="D399">
        <v>2012</v>
      </c>
      <c r="E399">
        <f>car_price_prediction_[[#This Row],[Engine Size]]/10</f>
        <v>4.5</v>
      </c>
      <c r="F399">
        <v>45</v>
      </c>
      <c r="G399" s="1" t="s">
        <v>29</v>
      </c>
      <c r="H399" s="1" t="s">
        <v>12</v>
      </c>
      <c r="I399" s="12">
        <f>car_price_prediction_[[#This Row],[Mileage]]/1000</f>
        <v>226.09399999999999</v>
      </c>
      <c r="J399" s="5">
        <v>226094</v>
      </c>
      <c r="K399" s="1" t="s">
        <v>25</v>
      </c>
      <c r="L399" s="5">
        <f>car_price_prediction_[[#This Row],[Price]]/100</f>
        <v>98972.03</v>
      </c>
      <c r="M399">
        <v>9897203</v>
      </c>
      <c r="N399" s="1" t="s">
        <v>18</v>
      </c>
      <c r="O399" s="1">
        <f>IF(IFERROR(VLOOKUP(car_price_prediction_[[#This Row],[Car ID]],A400:A2899,1,FALSE),0),1,0)</f>
        <v>0</v>
      </c>
    </row>
    <row r="400" spans="1:15" x14ac:dyDescent="0.25">
      <c r="A400">
        <v>399</v>
      </c>
      <c r="B400" s="1" t="s">
        <v>10</v>
      </c>
      <c r="C400" s="1">
        <f>car_price_prediction_[[#This Row],[Year2]]</f>
        <v>2002</v>
      </c>
      <c r="D400">
        <v>2002</v>
      </c>
      <c r="E400">
        <f>car_price_prediction_[[#This Row],[Engine Size]]/10</f>
        <v>3.3</v>
      </c>
      <c r="F400">
        <v>33</v>
      </c>
      <c r="G400" s="1" t="s">
        <v>29</v>
      </c>
      <c r="H400" s="1" t="s">
        <v>22</v>
      </c>
      <c r="I400" s="12">
        <f>car_price_prediction_[[#This Row],[Mileage]]/1000</f>
        <v>148.18199999999999</v>
      </c>
      <c r="J400" s="5">
        <v>148182</v>
      </c>
      <c r="K400" s="1" t="s">
        <v>17</v>
      </c>
      <c r="L400" s="5">
        <f>car_price_prediction_[[#This Row],[Price]]/100</f>
        <v>89434.74</v>
      </c>
      <c r="M400">
        <v>8943474</v>
      </c>
      <c r="N400" s="1" t="s">
        <v>14</v>
      </c>
      <c r="O400" s="1">
        <f>IF(IFERROR(VLOOKUP(car_price_prediction_[[#This Row],[Car ID]],A401:A2900,1,FALSE),0),1,0)</f>
        <v>0</v>
      </c>
    </row>
    <row r="401" spans="1:15" x14ac:dyDescent="0.25">
      <c r="A401">
        <v>400</v>
      </c>
      <c r="B401" s="1" t="s">
        <v>43</v>
      </c>
      <c r="C401" s="1">
        <f>car_price_prediction_[[#This Row],[Year2]]</f>
        <v>2023</v>
      </c>
      <c r="D401">
        <v>2023</v>
      </c>
      <c r="E401">
        <f>car_price_prediction_[[#This Row],[Engine Size]]/10</f>
        <v>4.3</v>
      </c>
      <c r="F401">
        <v>43</v>
      </c>
      <c r="G401" s="1" t="s">
        <v>21</v>
      </c>
      <c r="H401" s="1" t="s">
        <v>12</v>
      </c>
      <c r="I401" s="12">
        <f>car_price_prediction_[[#This Row],[Mileage]]/1000</f>
        <v>193.24199999999999</v>
      </c>
      <c r="J401" s="5">
        <v>193242</v>
      </c>
      <c r="K401" s="1" t="s">
        <v>13</v>
      </c>
      <c r="L401" s="5">
        <f>car_price_prediction_[[#This Row],[Price]]/100</f>
        <v>36155.21</v>
      </c>
      <c r="M401">
        <v>3615521</v>
      </c>
      <c r="N401" s="1" t="s">
        <v>47</v>
      </c>
      <c r="O401" s="1">
        <f>IF(IFERROR(VLOOKUP(car_price_prediction_[[#This Row],[Car ID]],A402:A2901,1,FALSE),0),1,0)</f>
        <v>0</v>
      </c>
    </row>
    <row r="402" spans="1:15" x14ac:dyDescent="0.25">
      <c r="A402">
        <v>401</v>
      </c>
      <c r="B402" s="1" t="s">
        <v>19</v>
      </c>
      <c r="C402" s="1">
        <f>car_price_prediction_[[#This Row],[Year2]]</f>
        <v>2009</v>
      </c>
      <c r="D402">
        <v>2009</v>
      </c>
      <c r="E402">
        <f>car_price_prediction_[[#This Row],[Engine Size]]/10</f>
        <v>5.2</v>
      </c>
      <c r="F402">
        <v>52</v>
      </c>
      <c r="G402" s="1" t="s">
        <v>11</v>
      </c>
      <c r="H402" s="1" t="s">
        <v>12</v>
      </c>
      <c r="I402" s="12">
        <f>car_price_prediction_[[#This Row],[Mileage]]/1000</f>
        <v>182.87299999999999</v>
      </c>
      <c r="J402" s="5">
        <v>182873</v>
      </c>
      <c r="K402" s="1" t="s">
        <v>25</v>
      </c>
      <c r="L402" s="5">
        <f>car_price_prediction_[[#This Row],[Price]]/100</f>
        <v>45172.66</v>
      </c>
      <c r="M402">
        <v>4517266</v>
      </c>
      <c r="N402" s="1" t="s">
        <v>20</v>
      </c>
      <c r="O402" s="1">
        <f>IF(IFERROR(VLOOKUP(car_price_prediction_[[#This Row],[Car ID]],A403:A2902,1,FALSE),0),1,0)</f>
        <v>0</v>
      </c>
    </row>
    <row r="403" spans="1:15" x14ac:dyDescent="0.25">
      <c r="A403">
        <v>402</v>
      </c>
      <c r="B403" s="1" t="s">
        <v>15</v>
      </c>
      <c r="C403" s="1">
        <f>car_price_prediction_[[#This Row],[Year2]]</f>
        <v>2013</v>
      </c>
      <c r="D403">
        <v>2013</v>
      </c>
      <c r="E403">
        <f>car_price_prediction_[[#This Row],[Engine Size]]/10</f>
        <v>1.8</v>
      </c>
      <c r="F403">
        <v>18</v>
      </c>
      <c r="G403" s="1" t="s">
        <v>21</v>
      </c>
      <c r="H403" s="1" t="s">
        <v>22</v>
      </c>
      <c r="I403" s="12">
        <f>car_price_prediction_[[#This Row],[Mileage]]/1000</f>
        <v>124.926</v>
      </c>
      <c r="J403" s="5">
        <v>124926</v>
      </c>
      <c r="K403" s="1" t="s">
        <v>17</v>
      </c>
      <c r="L403" s="5">
        <f>car_price_prediction_[[#This Row],[Price]]/100</f>
        <v>68600.67</v>
      </c>
      <c r="M403">
        <v>6860067</v>
      </c>
      <c r="N403" s="1" t="s">
        <v>51</v>
      </c>
      <c r="O403" s="1">
        <f>IF(IFERROR(VLOOKUP(car_price_prediction_[[#This Row],[Car ID]],A404:A2903,1,FALSE),0),1,0)</f>
        <v>0</v>
      </c>
    </row>
    <row r="404" spans="1:15" x14ac:dyDescent="0.25">
      <c r="A404">
        <v>403</v>
      </c>
      <c r="B404" s="1" t="s">
        <v>19</v>
      </c>
      <c r="C404" s="1">
        <f>car_price_prediction_[[#This Row],[Year2]]</f>
        <v>2005</v>
      </c>
      <c r="D404">
        <v>2005</v>
      </c>
      <c r="E404">
        <f>car_price_prediction_[[#This Row],[Engine Size]]/10</f>
        <v>1.1000000000000001</v>
      </c>
      <c r="F404">
        <v>11</v>
      </c>
      <c r="G404" s="1" t="s">
        <v>11</v>
      </c>
      <c r="H404" s="1" t="s">
        <v>22</v>
      </c>
      <c r="I404" s="12">
        <f>car_price_prediction_[[#This Row],[Mileage]]/1000</f>
        <v>81.147000000000006</v>
      </c>
      <c r="J404" s="5">
        <v>81147</v>
      </c>
      <c r="K404" s="1" t="s">
        <v>13</v>
      </c>
      <c r="L404" s="5">
        <f>car_price_prediction_[[#This Row],[Price]]/100</f>
        <v>6629.41</v>
      </c>
      <c r="M404">
        <v>662941</v>
      </c>
      <c r="N404" s="1" t="s">
        <v>28</v>
      </c>
      <c r="O404" s="1">
        <f>IF(IFERROR(VLOOKUP(car_price_prediction_[[#This Row],[Car ID]],A405:A2904,1,FALSE),0),1,0)</f>
        <v>0</v>
      </c>
    </row>
    <row r="405" spans="1:15" x14ac:dyDescent="0.25">
      <c r="A405">
        <v>404</v>
      </c>
      <c r="B405" s="1" t="s">
        <v>24</v>
      </c>
      <c r="C405" s="1">
        <f>car_price_prediction_[[#This Row],[Year2]]</f>
        <v>2002</v>
      </c>
      <c r="D405">
        <v>2002</v>
      </c>
      <c r="E405">
        <f>car_price_prediction_[[#This Row],[Engine Size]]/10</f>
        <v>4.9000000000000004</v>
      </c>
      <c r="F405">
        <v>49</v>
      </c>
      <c r="G405" s="1" t="s">
        <v>11</v>
      </c>
      <c r="H405" s="1" t="s">
        <v>12</v>
      </c>
      <c r="I405" s="12">
        <f>car_price_prediction_[[#This Row],[Mileage]]/1000</f>
        <v>19.199000000000002</v>
      </c>
      <c r="J405" s="5">
        <v>19199</v>
      </c>
      <c r="K405" s="1" t="s">
        <v>13</v>
      </c>
      <c r="L405" s="5">
        <f>car_price_prediction_[[#This Row],[Price]]/100</f>
        <v>8291.4599999999991</v>
      </c>
      <c r="M405">
        <v>829146</v>
      </c>
      <c r="N405" s="1" t="s">
        <v>32</v>
      </c>
      <c r="O405" s="1">
        <f>IF(IFERROR(VLOOKUP(car_price_prediction_[[#This Row],[Car ID]],A406:A2905,1,FALSE),0),1,0)</f>
        <v>0</v>
      </c>
    </row>
    <row r="406" spans="1:15" x14ac:dyDescent="0.25">
      <c r="A406">
        <v>405</v>
      </c>
      <c r="B406" s="1" t="s">
        <v>15</v>
      </c>
      <c r="C406" s="1">
        <f>car_price_prediction_[[#This Row],[Year2]]</f>
        <v>2015</v>
      </c>
      <c r="D406">
        <v>2015</v>
      </c>
      <c r="E406">
        <f>car_price_prediction_[[#This Row],[Engine Size]]/10</f>
        <v>4</v>
      </c>
      <c r="F406">
        <v>40</v>
      </c>
      <c r="G406" s="1" t="s">
        <v>11</v>
      </c>
      <c r="H406" s="1" t="s">
        <v>22</v>
      </c>
      <c r="I406" s="12">
        <f>car_price_prediction_[[#This Row],[Mileage]]/1000</f>
        <v>183.208</v>
      </c>
      <c r="J406" s="5">
        <v>183208</v>
      </c>
      <c r="K406" s="1" t="s">
        <v>25</v>
      </c>
      <c r="L406" s="5">
        <f>car_price_prediction_[[#This Row],[Price]]/100</f>
        <v>88580.82</v>
      </c>
      <c r="M406">
        <v>8858082</v>
      </c>
      <c r="N406" s="1" t="s">
        <v>18</v>
      </c>
      <c r="O406" s="1">
        <f>IF(IFERROR(VLOOKUP(car_price_prediction_[[#This Row],[Car ID]],A407:A2906,1,FALSE),0),1,0)</f>
        <v>0</v>
      </c>
    </row>
    <row r="407" spans="1:15" x14ac:dyDescent="0.25">
      <c r="A407">
        <v>406</v>
      </c>
      <c r="B407" s="1" t="s">
        <v>24</v>
      </c>
      <c r="C407" s="1">
        <f>car_price_prediction_[[#This Row],[Year2]]</f>
        <v>2006</v>
      </c>
      <c r="D407">
        <v>2006</v>
      </c>
      <c r="E407">
        <f>car_price_prediction_[[#This Row],[Engine Size]]/10</f>
        <v>4.5</v>
      </c>
      <c r="F407">
        <v>45</v>
      </c>
      <c r="G407" s="1" t="s">
        <v>21</v>
      </c>
      <c r="H407" s="1" t="s">
        <v>22</v>
      </c>
      <c r="I407" s="12">
        <f>car_price_prediction_[[#This Row],[Mileage]]/1000</f>
        <v>220.86799999999999</v>
      </c>
      <c r="J407" s="5">
        <v>220868</v>
      </c>
      <c r="K407" s="1" t="s">
        <v>25</v>
      </c>
      <c r="L407" s="5">
        <f>car_price_prediction_[[#This Row],[Price]]/100</f>
        <v>86434.03</v>
      </c>
      <c r="M407">
        <v>8643403</v>
      </c>
      <c r="N407" s="1" t="s">
        <v>32</v>
      </c>
      <c r="O407" s="1">
        <f>IF(IFERROR(VLOOKUP(car_price_prediction_[[#This Row],[Car ID]],A408:A2907,1,FALSE),0),1,0)</f>
        <v>0</v>
      </c>
    </row>
    <row r="408" spans="1:15" x14ac:dyDescent="0.25">
      <c r="A408">
        <v>407</v>
      </c>
      <c r="B408" s="1" t="s">
        <v>43</v>
      </c>
      <c r="C408" s="1">
        <f>car_price_prediction_[[#This Row],[Year2]]</f>
        <v>2019</v>
      </c>
      <c r="D408">
        <v>2019</v>
      </c>
      <c r="E408">
        <f>car_price_prediction_[[#This Row],[Engine Size]]/10</f>
        <v>5.2</v>
      </c>
      <c r="F408">
        <v>52</v>
      </c>
      <c r="G408" s="1" t="s">
        <v>21</v>
      </c>
      <c r="H408" s="1" t="s">
        <v>12</v>
      </c>
      <c r="I408" s="12">
        <f>car_price_prediction_[[#This Row],[Mileage]]/1000</f>
        <v>120.78700000000001</v>
      </c>
      <c r="J408" s="5">
        <v>120787</v>
      </c>
      <c r="K408" s="1" t="s">
        <v>13</v>
      </c>
      <c r="L408" s="5">
        <f>car_price_prediction_[[#This Row],[Price]]/100</f>
        <v>40630.17</v>
      </c>
      <c r="M408">
        <v>4063017</v>
      </c>
      <c r="N408" s="1" t="s">
        <v>47</v>
      </c>
      <c r="O408" s="1">
        <f>IF(IFERROR(VLOOKUP(car_price_prediction_[[#This Row],[Car ID]],A409:A2908,1,FALSE),0),1,0)</f>
        <v>0</v>
      </c>
    </row>
    <row r="409" spans="1:15" x14ac:dyDescent="0.25">
      <c r="A409">
        <v>408</v>
      </c>
      <c r="B409" s="1" t="s">
        <v>43</v>
      </c>
      <c r="C409" s="1">
        <f>car_price_prediction_[[#This Row],[Year2]]</f>
        <v>2013</v>
      </c>
      <c r="D409">
        <v>2013</v>
      </c>
      <c r="E409">
        <f>car_price_prediction_[[#This Row],[Engine Size]]/10</f>
        <v>5</v>
      </c>
      <c r="F409">
        <v>50</v>
      </c>
      <c r="G409" s="1" t="s">
        <v>11</v>
      </c>
      <c r="H409" s="1" t="s">
        <v>22</v>
      </c>
      <c r="I409" s="12">
        <f>car_price_prediction_[[#This Row],[Mileage]]/1000</f>
        <v>114.42700000000001</v>
      </c>
      <c r="J409" s="5">
        <v>114427</v>
      </c>
      <c r="K409" s="1" t="s">
        <v>13</v>
      </c>
      <c r="L409" s="5">
        <f>car_price_prediction_[[#This Row],[Price]]/100</f>
        <v>48889.95</v>
      </c>
      <c r="M409">
        <v>4888995</v>
      </c>
      <c r="N409" s="1" t="s">
        <v>47</v>
      </c>
      <c r="O409" s="1">
        <f>IF(IFERROR(VLOOKUP(car_price_prediction_[[#This Row],[Car ID]],A410:A2909,1,FALSE),0),1,0)</f>
        <v>0</v>
      </c>
    </row>
    <row r="410" spans="1:15" x14ac:dyDescent="0.25">
      <c r="A410">
        <v>409</v>
      </c>
      <c r="B410" s="1" t="s">
        <v>15</v>
      </c>
      <c r="C410" s="1">
        <f>car_price_prediction_[[#This Row],[Year2]]</f>
        <v>2008</v>
      </c>
      <c r="D410">
        <v>2008</v>
      </c>
      <c r="E410">
        <f>car_price_prediction_[[#This Row],[Engine Size]]/10</f>
        <v>5.8</v>
      </c>
      <c r="F410">
        <v>58</v>
      </c>
      <c r="G410" s="1" t="s">
        <v>16</v>
      </c>
      <c r="H410" s="1" t="s">
        <v>12</v>
      </c>
      <c r="I410" s="12">
        <f>car_price_prediction_[[#This Row],[Mileage]]/1000</f>
        <v>148.06299999999999</v>
      </c>
      <c r="J410" s="5">
        <v>148063</v>
      </c>
      <c r="K410" s="1" t="s">
        <v>13</v>
      </c>
      <c r="L410" s="5">
        <f>car_price_prediction_[[#This Row],[Price]]/100</f>
        <v>6176.89</v>
      </c>
      <c r="M410">
        <v>617689</v>
      </c>
      <c r="N410" s="1" t="s">
        <v>51</v>
      </c>
      <c r="O410" s="1">
        <f>IF(IFERROR(VLOOKUP(car_price_prediction_[[#This Row],[Car ID]],A411:A2910,1,FALSE),0),1,0)</f>
        <v>0</v>
      </c>
    </row>
    <row r="411" spans="1:15" x14ac:dyDescent="0.25">
      <c r="A411">
        <v>410</v>
      </c>
      <c r="B411" s="1" t="s">
        <v>15</v>
      </c>
      <c r="C411" s="1">
        <f>car_price_prediction_[[#This Row],[Year2]]</f>
        <v>2014</v>
      </c>
      <c r="D411">
        <v>2014</v>
      </c>
      <c r="E411">
        <f>car_price_prediction_[[#This Row],[Engine Size]]/10</f>
        <v>3.7</v>
      </c>
      <c r="F411">
        <v>37</v>
      </c>
      <c r="G411" s="1" t="s">
        <v>21</v>
      </c>
      <c r="H411" s="1" t="s">
        <v>12</v>
      </c>
      <c r="I411" s="12">
        <f>car_price_prediction_[[#This Row],[Mileage]]/1000</f>
        <v>153.625</v>
      </c>
      <c r="J411" s="5">
        <v>153625</v>
      </c>
      <c r="K411" s="1" t="s">
        <v>17</v>
      </c>
      <c r="L411" s="5">
        <f>car_price_prediction_[[#This Row],[Price]]/100</f>
        <v>42942.559999999998</v>
      </c>
      <c r="M411">
        <v>4294256</v>
      </c>
      <c r="N411" s="1" t="s">
        <v>39</v>
      </c>
      <c r="O411" s="1">
        <f>IF(IFERROR(VLOOKUP(car_price_prediction_[[#This Row],[Car ID]],A412:A2911,1,FALSE),0),1,0)</f>
        <v>0</v>
      </c>
    </row>
    <row r="412" spans="1:15" x14ac:dyDescent="0.25">
      <c r="A412">
        <v>411</v>
      </c>
      <c r="B412" s="1" t="s">
        <v>36</v>
      </c>
      <c r="C412" s="1">
        <f>car_price_prediction_[[#This Row],[Year2]]</f>
        <v>2020</v>
      </c>
      <c r="D412">
        <v>2020</v>
      </c>
      <c r="E412">
        <f>car_price_prediction_[[#This Row],[Engine Size]]/10</f>
        <v>3.4</v>
      </c>
      <c r="F412">
        <v>34</v>
      </c>
      <c r="G412" s="1" t="s">
        <v>29</v>
      </c>
      <c r="H412" s="1" t="s">
        <v>12</v>
      </c>
      <c r="I412" s="12">
        <f>car_price_prediction_[[#This Row],[Mileage]]/1000</f>
        <v>220.78200000000001</v>
      </c>
      <c r="J412" s="5">
        <v>220782</v>
      </c>
      <c r="K412" s="1" t="s">
        <v>25</v>
      </c>
      <c r="L412" s="5">
        <f>car_price_prediction_[[#This Row],[Price]]/100</f>
        <v>48740.55</v>
      </c>
      <c r="M412">
        <v>4874055</v>
      </c>
      <c r="N412" s="1" t="s">
        <v>37</v>
      </c>
      <c r="O412" s="1">
        <f>IF(IFERROR(VLOOKUP(car_price_prediction_[[#This Row],[Car ID]],A413:A2912,1,FALSE),0),1,0)</f>
        <v>0</v>
      </c>
    </row>
    <row r="413" spans="1:15" x14ac:dyDescent="0.25">
      <c r="A413">
        <v>412</v>
      </c>
      <c r="B413" s="1" t="s">
        <v>19</v>
      </c>
      <c r="C413" s="1">
        <f>car_price_prediction_[[#This Row],[Year2]]</f>
        <v>2002</v>
      </c>
      <c r="D413">
        <v>2002</v>
      </c>
      <c r="E413">
        <f>car_price_prediction_[[#This Row],[Engine Size]]/10</f>
        <v>3</v>
      </c>
      <c r="F413">
        <v>30</v>
      </c>
      <c r="G413" s="1" t="s">
        <v>21</v>
      </c>
      <c r="H413" s="1" t="s">
        <v>12</v>
      </c>
      <c r="I413" s="12">
        <f>car_price_prediction_[[#This Row],[Mileage]]/1000</f>
        <v>87.492999999999995</v>
      </c>
      <c r="J413" s="5">
        <v>87493</v>
      </c>
      <c r="K413" s="1" t="s">
        <v>13</v>
      </c>
      <c r="L413" s="5">
        <f>car_price_prediction_[[#This Row],[Price]]/100</f>
        <v>91162.559999999998</v>
      </c>
      <c r="M413">
        <v>9116256</v>
      </c>
      <c r="N413" s="1" t="s">
        <v>27</v>
      </c>
      <c r="O413" s="1">
        <f>IF(IFERROR(VLOOKUP(car_price_prediction_[[#This Row],[Car ID]],A414:A2913,1,FALSE),0),1,0)</f>
        <v>0</v>
      </c>
    </row>
    <row r="414" spans="1:15" x14ac:dyDescent="0.25">
      <c r="A414">
        <v>413</v>
      </c>
      <c r="B414" s="1" t="s">
        <v>36</v>
      </c>
      <c r="C414" s="1">
        <f>car_price_prediction_[[#This Row],[Year2]]</f>
        <v>2001</v>
      </c>
      <c r="D414">
        <v>2001</v>
      </c>
      <c r="E414">
        <f>car_price_prediction_[[#This Row],[Engine Size]]/10</f>
        <v>1.8</v>
      </c>
      <c r="F414">
        <v>18</v>
      </c>
      <c r="G414" s="1" t="s">
        <v>11</v>
      </c>
      <c r="H414" s="1" t="s">
        <v>22</v>
      </c>
      <c r="I414" s="12">
        <f>car_price_prediction_[[#This Row],[Mileage]]/1000</f>
        <v>274.91500000000002</v>
      </c>
      <c r="J414" s="5">
        <v>274915</v>
      </c>
      <c r="K414" s="1" t="s">
        <v>25</v>
      </c>
      <c r="L414" s="5">
        <f>car_price_prediction_[[#This Row],[Price]]/100</f>
        <v>89928.83</v>
      </c>
      <c r="M414">
        <v>8992883</v>
      </c>
      <c r="N414" s="1" t="s">
        <v>37</v>
      </c>
      <c r="O414" s="1">
        <f>IF(IFERROR(VLOOKUP(car_price_prediction_[[#This Row],[Car ID]],A415:A2914,1,FALSE),0),1,0)</f>
        <v>0</v>
      </c>
    </row>
    <row r="415" spans="1:15" x14ac:dyDescent="0.25">
      <c r="A415">
        <v>414</v>
      </c>
      <c r="B415" s="1" t="s">
        <v>19</v>
      </c>
      <c r="C415" s="1">
        <f>car_price_prediction_[[#This Row],[Year2]]</f>
        <v>2001</v>
      </c>
      <c r="D415">
        <v>2001</v>
      </c>
      <c r="E415">
        <f>car_price_prediction_[[#This Row],[Engine Size]]/10</f>
        <v>3.9</v>
      </c>
      <c r="F415">
        <v>39</v>
      </c>
      <c r="G415" s="1" t="s">
        <v>16</v>
      </c>
      <c r="H415" s="1" t="s">
        <v>12</v>
      </c>
      <c r="I415" s="12">
        <f>car_price_prediction_[[#This Row],[Mileage]]/1000</f>
        <v>125.607</v>
      </c>
      <c r="J415" s="5">
        <v>125607</v>
      </c>
      <c r="K415" s="1" t="s">
        <v>25</v>
      </c>
      <c r="L415" s="5">
        <f>car_price_prediction_[[#This Row],[Price]]/100</f>
        <v>96779.22</v>
      </c>
      <c r="M415">
        <v>9677922</v>
      </c>
      <c r="N415" s="1" t="s">
        <v>27</v>
      </c>
      <c r="O415" s="1">
        <f>IF(IFERROR(VLOOKUP(car_price_prediction_[[#This Row],[Car ID]],A416:A2915,1,FALSE),0),1,0)</f>
        <v>0</v>
      </c>
    </row>
    <row r="416" spans="1:15" x14ac:dyDescent="0.25">
      <c r="A416">
        <v>415</v>
      </c>
      <c r="B416" s="1" t="s">
        <v>36</v>
      </c>
      <c r="C416" s="1">
        <f>car_price_prediction_[[#This Row],[Year2]]</f>
        <v>2002</v>
      </c>
      <c r="D416">
        <v>2002</v>
      </c>
      <c r="E416">
        <f>car_price_prediction_[[#This Row],[Engine Size]]/10</f>
        <v>2.4</v>
      </c>
      <c r="F416">
        <v>24</v>
      </c>
      <c r="G416" s="1" t="s">
        <v>11</v>
      </c>
      <c r="H416" s="1" t="s">
        <v>12</v>
      </c>
      <c r="I416" s="12">
        <f>car_price_prediction_[[#This Row],[Mileage]]/1000</f>
        <v>246.834</v>
      </c>
      <c r="J416" s="5">
        <v>246834</v>
      </c>
      <c r="K416" s="1" t="s">
        <v>25</v>
      </c>
      <c r="L416" s="5">
        <f>car_price_prediction_[[#This Row],[Price]]/100</f>
        <v>89084.97</v>
      </c>
      <c r="M416">
        <v>8908497</v>
      </c>
      <c r="N416" s="1" t="s">
        <v>37</v>
      </c>
      <c r="O416" s="1">
        <f>IF(IFERROR(VLOOKUP(car_price_prediction_[[#This Row],[Car ID]],A417:A2916,1,FALSE),0),1,0)</f>
        <v>0</v>
      </c>
    </row>
    <row r="417" spans="1:15" x14ac:dyDescent="0.25">
      <c r="A417">
        <v>416</v>
      </c>
      <c r="B417" s="1" t="s">
        <v>24</v>
      </c>
      <c r="C417" s="1">
        <f>car_price_prediction_[[#This Row],[Year2]]</f>
        <v>2017</v>
      </c>
      <c r="D417">
        <v>2017</v>
      </c>
      <c r="E417">
        <f>car_price_prediction_[[#This Row],[Engine Size]]/10</f>
        <v>5.6</v>
      </c>
      <c r="F417">
        <v>56</v>
      </c>
      <c r="G417" s="1" t="s">
        <v>29</v>
      </c>
      <c r="H417" s="1" t="s">
        <v>12</v>
      </c>
      <c r="I417" s="12">
        <f>car_price_prediction_[[#This Row],[Mileage]]/1000</f>
        <v>79.876000000000005</v>
      </c>
      <c r="J417" s="5">
        <v>79876</v>
      </c>
      <c r="K417" s="1" t="s">
        <v>13</v>
      </c>
      <c r="L417" s="5">
        <f>car_price_prediction_[[#This Row],[Price]]/100</f>
        <v>5779.07</v>
      </c>
      <c r="M417">
        <v>577907</v>
      </c>
      <c r="N417" s="1" t="s">
        <v>34</v>
      </c>
      <c r="O417" s="1">
        <f>IF(IFERROR(VLOOKUP(car_price_prediction_[[#This Row],[Car ID]],A418:A2917,1,FALSE),0),1,0)</f>
        <v>0</v>
      </c>
    </row>
    <row r="418" spans="1:15" x14ac:dyDescent="0.25">
      <c r="A418">
        <v>417</v>
      </c>
      <c r="B418" s="1" t="s">
        <v>15</v>
      </c>
      <c r="C418" s="1">
        <f>car_price_prediction_[[#This Row],[Year2]]</f>
        <v>2013</v>
      </c>
      <c r="D418">
        <v>2013</v>
      </c>
      <c r="E418">
        <f>car_price_prediction_[[#This Row],[Engine Size]]/10</f>
        <v>3.9</v>
      </c>
      <c r="F418">
        <v>39</v>
      </c>
      <c r="G418" s="1" t="s">
        <v>21</v>
      </c>
      <c r="H418" s="1" t="s">
        <v>12</v>
      </c>
      <c r="I418" s="12">
        <f>car_price_prediction_[[#This Row],[Mileage]]/1000</f>
        <v>167.071</v>
      </c>
      <c r="J418" s="5">
        <v>167071</v>
      </c>
      <c r="K418" s="1" t="s">
        <v>17</v>
      </c>
      <c r="L418" s="5">
        <f>car_price_prediction_[[#This Row],[Price]]/100</f>
        <v>65938.78</v>
      </c>
      <c r="M418">
        <v>6593878</v>
      </c>
      <c r="N418" s="1" t="s">
        <v>51</v>
      </c>
      <c r="O418" s="1">
        <f>IF(IFERROR(VLOOKUP(car_price_prediction_[[#This Row],[Car ID]],A419:A2918,1,FALSE),0),1,0)</f>
        <v>0</v>
      </c>
    </row>
    <row r="419" spans="1:15" x14ac:dyDescent="0.25">
      <c r="A419">
        <v>418</v>
      </c>
      <c r="B419" s="1" t="s">
        <v>43</v>
      </c>
      <c r="C419" s="1">
        <f>car_price_prediction_[[#This Row],[Year2]]</f>
        <v>2019</v>
      </c>
      <c r="D419">
        <v>2019</v>
      </c>
      <c r="E419">
        <f>car_price_prediction_[[#This Row],[Engine Size]]/10</f>
        <v>4</v>
      </c>
      <c r="F419">
        <v>40</v>
      </c>
      <c r="G419" s="1" t="s">
        <v>21</v>
      </c>
      <c r="H419" s="1" t="s">
        <v>22</v>
      </c>
      <c r="I419" s="12">
        <f>car_price_prediction_[[#This Row],[Mileage]]/1000</f>
        <v>202.959</v>
      </c>
      <c r="J419" s="5">
        <v>202959</v>
      </c>
      <c r="K419" s="1" t="s">
        <v>13</v>
      </c>
      <c r="L419" s="5">
        <f>car_price_prediction_[[#This Row],[Price]]/100</f>
        <v>11482.58</v>
      </c>
      <c r="M419">
        <v>1148258</v>
      </c>
      <c r="N419" s="1" t="s">
        <v>50</v>
      </c>
      <c r="O419" s="1">
        <f>IF(IFERROR(VLOOKUP(car_price_prediction_[[#This Row],[Car ID]],A420:A2919,1,FALSE),0),1,0)</f>
        <v>0</v>
      </c>
    </row>
    <row r="420" spans="1:15" x14ac:dyDescent="0.25">
      <c r="A420">
        <v>419</v>
      </c>
      <c r="B420" s="1" t="s">
        <v>19</v>
      </c>
      <c r="C420" s="1">
        <f>car_price_prediction_[[#This Row],[Year2]]</f>
        <v>2017</v>
      </c>
      <c r="D420">
        <v>2017</v>
      </c>
      <c r="E420">
        <f>car_price_prediction_[[#This Row],[Engine Size]]/10</f>
        <v>2.8</v>
      </c>
      <c r="F420">
        <v>28</v>
      </c>
      <c r="G420" s="1" t="s">
        <v>11</v>
      </c>
      <c r="H420" s="1" t="s">
        <v>22</v>
      </c>
      <c r="I420" s="12">
        <f>car_price_prediction_[[#This Row],[Mileage]]/1000</f>
        <v>243.72200000000001</v>
      </c>
      <c r="J420" s="5">
        <v>243722</v>
      </c>
      <c r="K420" s="1" t="s">
        <v>25</v>
      </c>
      <c r="L420" s="5">
        <f>car_price_prediction_[[#This Row],[Price]]/100</f>
        <v>30896.46</v>
      </c>
      <c r="M420">
        <v>3089646</v>
      </c>
      <c r="N420" s="1" t="s">
        <v>20</v>
      </c>
      <c r="O420" s="1">
        <f>IF(IFERROR(VLOOKUP(car_price_prediction_[[#This Row],[Car ID]],A421:A2920,1,FALSE),0),1,0)</f>
        <v>0</v>
      </c>
    </row>
    <row r="421" spans="1:15" x14ac:dyDescent="0.25">
      <c r="A421">
        <v>420</v>
      </c>
      <c r="B421" s="1" t="s">
        <v>19</v>
      </c>
      <c r="C421" s="1">
        <f>car_price_prediction_[[#This Row],[Year2]]</f>
        <v>2009</v>
      </c>
      <c r="D421">
        <v>2009</v>
      </c>
      <c r="E421">
        <f>car_price_prediction_[[#This Row],[Engine Size]]/10</f>
        <v>1.3</v>
      </c>
      <c r="F421">
        <v>13</v>
      </c>
      <c r="G421" s="1" t="s">
        <v>11</v>
      </c>
      <c r="H421" s="1" t="s">
        <v>22</v>
      </c>
      <c r="I421" s="12">
        <f>car_price_prediction_[[#This Row],[Mileage]]/1000</f>
        <v>44.44</v>
      </c>
      <c r="J421" s="5">
        <v>44440</v>
      </c>
      <c r="K421" s="1" t="s">
        <v>13</v>
      </c>
      <c r="L421" s="5">
        <f>car_price_prediction_[[#This Row],[Price]]/100</f>
        <v>59939.22</v>
      </c>
      <c r="M421">
        <v>5993922</v>
      </c>
      <c r="N421" s="1" t="s">
        <v>27</v>
      </c>
      <c r="O421" s="1">
        <f>IF(IFERROR(VLOOKUP(car_price_prediction_[[#This Row],[Car ID]],A422:A2921,1,FALSE),0),1,0)</f>
        <v>0</v>
      </c>
    </row>
    <row r="422" spans="1:15" x14ac:dyDescent="0.25">
      <c r="A422">
        <v>421</v>
      </c>
      <c r="B422" s="1" t="s">
        <v>43</v>
      </c>
      <c r="C422" s="1">
        <f>car_price_prediction_[[#This Row],[Year2]]</f>
        <v>2001</v>
      </c>
      <c r="D422">
        <v>2001</v>
      </c>
      <c r="E422">
        <f>car_price_prediction_[[#This Row],[Engine Size]]/10</f>
        <v>1.2</v>
      </c>
      <c r="F422">
        <v>12</v>
      </c>
      <c r="G422" s="1" t="s">
        <v>29</v>
      </c>
      <c r="H422" s="1" t="s">
        <v>12</v>
      </c>
      <c r="I422" s="12">
        <f>car_price_prediction_[[#This Row],[Mileage]]/1000</f>
        <v>31.655000000000001</v>
      </c>
      <c r="J422" s="5">
        <v>31655</v>
      </c>
      <c r="K422" s="1" t="s">
        <v>13</v>
      </c>
      <c r="L422" s="5">
        <f>car_price_prediction_[[#This Row],[Price]]/100</f>
        <v>71558.31</v>
      </c>
      <c r="M422">
        <v>7155831</v>
      </c>
      <c r="N422" s="1" t="s">
        <v>44</v>
      </c>
      <c r="O422" s="1">
        <f>IF(IFERROR(VLOOKUP(car_price_prediction_[[#This Row],[Car ID]],A423:A2922,1,FALSE),0),1,0)</f>
        <v>0</v>
      </c>
    </row>
    <row r="423" spans="1:15" x14ac:dyDescent="0.25">
      <c r="A423">
        <v>422</v>
      </c>
      <c r="B423" s="1" t="s">
        <v>36</v>
      </c>
      <c r="C423" s="1">
        <f>car_price_prediction_[[#This Row],[Year2]]</f>
        <v>2021</v>
      </c>
      <c r="D423">
        <v>2021</v>
      </c>
      <c r="E423">
        <f>car_price_prediction_[[#This Row],[Engine Size]]/10</f>
        <v>3.1</v>
      </c>
      <c r="F423">
        <v>31</v>
      </c>
      <c r="G423" s="1" t="s">
        <v>16</v>
      </c>
      <c r="H423" s="1" t="s">
        <v>22</v>
      </c>
      <c r="I423" s="12">
        <f>car_price_prediction_[[#This Row],[Mileage]]/1000</f>
        <v>43.039000000000001</v>
      </c>
      <c r="J423" s="5">
        <v>43039</v>
      </c>
      <c r="K423" s="1" t="s">
        <v>25</v>
      </c>
      <c r="L423" s="5">
        <f>car_price_prediction_[[#This Row],[Price]]/100</f>
        <v>67190.039999999994</v>
      </c>
      <c r="M423">
        <v>6719004</v>
      </c>
      <c r="N423" s="1" t="s">
        <v>37</v>
      </c>
      <c r="O423" s="1">
        <f>IF(IFERROR(VLOOKUP(car_price_prediction_[[#This Row],[Car ID]],A424:A2923,1,FALSE),0),1,0)</f>
        <v>0</v>
      </c>
    </row>
    <row r="424" spans="1:15" x14ac:dyDescent="0.25">
      <c r="A424">
        <v>423</v>
      </c>
      <c r="B424" s="1" t="s">
        <v>19</v>
      </c>
      <c r="C424" s="1">
        <f>car_price_prediction_[[#This Row],[Year2]]</f>
        <v>2000</v>
      </c>
      <c r="D424">
        <v>2000</v>
      </c>
      <c r="E424">
        <f>car_price_prediction_[[#This Row],[Engine Size]]/10</f>
        <v>1.4</v>
      </c>
      <c r="F424">
        <v>14</v>
      </c>
      <c r="G424" s="1" t="s">
        <v>29</v>
      </c>
      <c r="H424" s="1" t="s">
        <v>22</v>
      </c>
      <c r="I424" s="12">
        <f>car_price_prediction_[[#This Row],[Mileage]]/1000</f>
        <v>72.218999999999994</v>
      </c>
      <c r="J424" s="5">
        <v>72219</v>
      </c>
      <c r="K424" s="1" t="s">
        <v>25</v>
      </c>
      <c r="L424" s="5">
        <f>car_price_prediction_[[#This Row],[Price]]/100</f>
        <v>9660.5400000000009</v>
      </c>
      <c r="M424">
        <v>966054</v>
      </c>
      <c r="N424" s="1" t="s">
        <v>27</v>
      </c>
      <c r="O424" s="1">
        <f>IF(IFERROR(VLOOKUP(car_price_prediction_[[#This Row],[Car ID]],A425:A2924,1,FALSE),0),1,0)</f>
        <v>0</v>
      </c>
    </row>
    <row r="425" spans="1:15" x14ac:dyDescent="0.25">
      <c r="A425">
        <v>424</v>
      </c>
      <c r="B425" s="1" t="s">
        <v>10</v>
      </c>
      <c r="C425" s="1">
        <f>car_price_prediction_[[#This Row],[Year2]]</f>
        <v>2003</v>
      </c>
      <c r="D425">
        <v>2003</v>
      </c>
      <c r="E425">
        <f>car_price_prediction_[[#This Row],[Engine Size]]/10</f>
        <v>4</v>
      </c>
      <c r="F425">
        <v>40</v>
      </c>
      <c r="G425" s="1" t="s">
        <v>16</v>
      </c>
      <c r="H425" s="1" t="s">
        <v>12</v>
      </c>
      <c r="I425" s="12">
        <f>car_price_prediction_[[#This Row],[Mileage]]/1000</f>
        <v>186.06100000000001</v>
      </c>
      <c r="J425" s="5">
        <v>186061</v>
      </c>
      <c r="K425" s="1" t="s">
        <v>13</v>
      </c>
      <c r="L425" s="5">
        <f>car_price_prediction_[[#This Row],[Price]]/100</f>
        <v>14842.37</v>
      </c>
      <c r="M425">
        <v>1484237</v>
      </c>
      <c r="N425" s="1" t="s">
        <v>49</v>
      </c>
      <c r="O425" s="1">
        <f>IF(IFERROR(VLOOKUP(car_price_prediction_[[#This Row],[Car ID]],A426:A2925,1,FALSE),0),1,0)</f>
        <v>0</v>
      </c>
    </row>
    <row r="426" spans="1:15" x14ac:dyDescent="0.25">
      <c r="A426">
        <v>425</v>
      </c>
      <c r="B426" s="1" t="s">
        <v>24</v>
      </c>
      <c r="C426" s="1">
        <f>car_price_prediction_[[#This Row],[Year2]]</f>
        <v>2013</v>
      </c>
      <c r="D426">
        <v>2013</v>
      </c>
      <c r="E426">
        <f>car_price_prediction_[[#This Row],[Engine Size]]/10</f>
        <v>5.4</v>
      </c>
      <c r="F426">
        <v>54</v>
      </c>
      <c r="G426" s="1" t="s">
        <v>21</v>
      </c>
      <c r="H426" s="1" t="s">
        <v>22</v>
      </c>
      <c r="I426" s="12">
        <f>car_price_prediction_[[#This Row],[Mileage]]/1000</f>
        <v>273.38799999999998</v>
      </c>
      <c r="J426" s="5">
        <v>273388</v>
      </c>
      <c r="K426" s="1" t="s">
        <v>13</v>
      </c>
      <c r="L426" s="5">
        <f>car_price_prediction_[[#This Row],[Price]]/100</f>
        <v>17215.75</v>
      </c>
      <c r="M426">
        <v>1721575</v>
      </c>
      <c r="N426" s="1" t="s">
        <v>34</v>
      </c>
      <c r="O426" s="1">
        <f>IF(IFERROR(VLOOKUP(car_price_prediction_[[#This Row],[Car ID]],A427:A2926,1,FALSE),0),1,0)</f>
        <v>0</v>
      </c>
    </row>
    <row r="427" spans="1:15" x14ac:dyDescent="0.25">
      <c r="A427">
        <v>426</v>
      </c>
      <c r="B427" s="1" t="s">
        <v>15</v>
      </c>
      <c r="C427" s="1">
        <f>car_price_prediction_[[#This Row],[Year2]]</f>
        <v>2000</v>
      </c>
      <c r="D427">
        <v>2000</v>
      </c>
      <c r="E427">
        <f>car_price_prediction_[[#This Row],[Engine Size]]/10</f>
        <v>5.4</v>
      </c>
      <c r="F427">
        <v>54</v>
      </c>
      <c r="G427" s="1" t="s">
        <v>16</v>
      </c>
      <c r="H427" s="1" t="s">
        <v>12</v>
      </c>
      <c r="I427" s="12">
        <f>car_price_prediction_[[#This Row],[Mileage]]/1000</f>
        <v>94.593999999999994</v>
      </c>
      <c r="J427" s="5">
        <v>94594</v>
      </c>
      <c r="K427" s="1" t="s">
        <v>13</v>
      </c>
      <c r="L427" s="5">
        <f>car_price_prediction_[[#This Row],[Price]]/100</f>
        <v>13684.37</v>
      </c>
      <c r="M427">
        <v>1368437</v>
      </c>
      <c r="N427" s="1" t="s">
        <v>35</v>
      </c>
      <c r="O427" s="1">
        <f>IF(IFERROR(VLOOKUP(car_price_prediction_[[#This Row],[Car ID]],A428:A2927,1,FALSE),0),1,0)</f>
        <v>0</v>
      </c>
    </row>
    <row r="428" spans="1:15" x14ac:dyDescent="0.25">
      <c r="A428">
        <v>427</v>
      </c>
      <c r="B428" s="1" t="s">
        <v>43</v>
      </c>
      <c r="C428" s="1">
        <f>car_price_prediction_[[#This Row],[Year2]]</f>
        <v>2013</v>
      </c>
      <c r="D428">
        <v>2013</v>
      </c>
      <c r="E428">
        <f>car_price_prediction_[[#This Row],[Engine Size]]/10</f>
        <v>4.3</v>
      </c>
      <c r="F428">
        <v>43</v>
      </c>
      <c r="G428" s="1" t="s">
        <v>16</v>
      </c>
      <c r="H428" s="1" t="s">
        <v>22</v>
      </c>
      <c r="I428" s="12">
        <f>car_price_prediction_[[#This Row],[Mileage]]/1000</f>
        <v>170.62299999999999</v>
      </c>
      <c r="J428" s="5">
        <v>170623</v>
      </c>
      <c r="K428" s="1" t="s">
        <v>13</v>
      </c>
      <c r="L428" s="5">
        <f>car_price_prediction_[[#This Row],[Price]]/100</f>
        <v>21932.27</v>
      </c>
      <c r="M428">
        <v>2193227</v>
      </c>
      <c r="N428" s="1" t="s">
        <v>50</v>
      </c>
      <c r="O428" s="1">
        <f>IF(IFERROR(VLOOKUP(car_price_prediction_[[#This Row],[Car ID]],A429:A2928,1,FALSE),0),1,0)</f>
        <v>0</v>
      </c>
    </row>
    <row r="429" spans="1:15" x14ac:dyDescent="0.25">
      <c r="A429">
        <v>428</v>
      </c>
      <c r="B429" s="1" t="s">
        <v>15</v>
      </c>
      <c r="C429" s="1">
        <f>car_price_prediction_[[#This Row],[Year2]]</f>
        <v>2015</v>
      </c>
      <c r="D429">
        <v>2015</v>
      </c>
      <c r="E429">
        <f>car_price_prediction_[[#This Row],[Engine Size]]/10</f>
        <v>2.1</v>
      </c>
      <c r="F429">
        <v>21</v>
      </c>
      <c r="G429" s="1" t="s">
        <v>21</v>
      </c>
      <c r="H429" s="1" t="s">
        <v>22</v>
      </c>
      <c r="I429" s="12">
        <f>car_price_prediction_[[#This Row],[Mileage]]/1000</f>
        <v>194.30199999999999</v>
      </c>
      <c r="J429" s="5">
        <v>194302</v>
      </c>
      <c r="K429" s="1" t="s">
        <v>17</v>
      </c>
      <c r="L429" s="5">
        <f>car_price_prediction_[[#This Row],[Price]]/100</f>
        <v>70406.34</v>
      </c>
      <c r="M429">
        <v>7040634</v>
      </c>
      <c r="N429" s="1" t="s">
        <v>18</v>
      </c>
      <c r="O429" s="1">
        <f>IF(IFERROR(VLOOKUP(car_price_prediction_[[#This Row],[Car ID]],A430:A2929,1,FALSE),0),1,0)</f>
        <v>0</v>
      </c>
    </row>
    <row r="430" spans="1:15" x14ac:dyDescent="0.25">
      <c r="A430">
        <v>429</v>
      </c>
      <c r="B430" s="1" t="s">
        <v>10</v>
      </c>
      <c r="C430" s="1">
        <f>car_price_prediction_[[#This Row],[Year2]]</f>
        <v>2021</v>
      </c>
      <c r="D430">
        <v>2021</v>
      </c>
      <c r="E430">
        <f>car_price_prediction_[[#This Row],[Engine Size]]/10</f>
        <v>5.3</v>
      </c>
      <c r="F430">
        <v>53</v>
      </c>
      <c r="G430" s="1" t="s">
        <v>21</v>
      </c>
      <c r="H430" s="1" t="s">
        <v>22</v>
      </c>
      <c r="I430" s="12">
        <f>car_price_prediction_[[#This Row],[Mileage]]/1000</f>
        <v>290.51499999999999</v>
      </c>
      <c r="J430" s="5">
        <v>290515</v>
      </c>
      <c r="K430" s="1" t="s">
        <v>13</v>
      </c>
      <c r="L430" s="5">
        <f>car_price_prediction_[[#This Row],[Price]]/100</f>
        <v>83929.54</v>
      </c>
      <c r="M430">
        <v>8392954</v>
      </c>
      <c r="N430" s="1" t="s">
        <v>33</v>
      </c>
      <c r="O430" s="1">
        <f>IF(IFERROR(VLOOKUP(car_price_prediction_[[#This Row],[Car ID]],A431:A2930,1,FALSE),0),1,0)</f>
        <v>0</v>
      </c>
    </row>
    <row r="431" spans="1:15" x14ac:dyDescent="0.25">
      <c r="A431">
        <v>430</v>
      </c>
      <c r="B431" s="1" t="s">
        <v>19</v>
      </c>
      <c r="C431" s="1">
        <f>car_price_prediction_[[#This Row],[Year2]]</f>
        <v>2013</v>
      </c>
      <c r="D431">
        <v>2013</v>
      </c>
      <c r="E431">
        <f>car_price_prediction_[[#This Row],[Engine Size]]/10</f>
        <v>5.4</v>
      </c>
      <c r="F431">
        <v>54</v>
      </c>
      <c r="G431" s="1" t="s">
        <v>21</v>
      </c>
      <c r="H431" s="1" t="s">
        <v>22</v>
      </c>
      <c r="I431" s="12">
        <f>car_price_prediction_[[#This Row],[Mileage]]/1000</f>
        <v>159.94999999999999</v>
      </c>
      <c r="J431" s="5">
        <v>159950</v>
      </c>
      <c r="K431" s="1" t="s">
        <v>17</v>
      </c>
      <c r="L431" s="5">
        <f>car_price_prediction_[[#This Row],[Price]]/100</f>
        <v>43837.32</v>
      </c>
      <c r="M431">
        <v>4383732</v>
      </c>
      <c r="N431" s="1" t="s">
        <v>28</v>
      </c>
      <c r="O431" s="1">
        <f>IF(IFERROR(VLOOKUP(car_price_prediction_[[#This Row],[Car ID]],A432:A2931,1,FALSE),0),1,0)</f>
        <v>0</v>
      </c>
    </row>
    <row r="432" spans="1:15" x14ac:dyDescent="0.25">
      <c r="A432">
        <v>431</v>
      </c>
      <c r="B432" s="1" t="s">
        <v>19</v>
      </c>
      <c r="C432" s="1">
        <f>car_price_prediction_[[#This Row],[Year2]]</f>
        <v>2019</v>
      </c>
      <c r="D432">
        <v>2019</v>
      </c>
      <c r="E432">
        <f>car_price_prediction_[[#This Row],[Engine Size]]/10</f>
        <v>2</v>
      </c>
      <c r="F432">
        <v>20</v>
      </c>
      <c r="G432" s="1" t="s">
        <v>29</v>
      </c>
      <c r="H432" s="1" t="s">
        <v>12</v>
      </c>
      <c r="I432" s="12">
        <f>car_price_prediction_[[#This Row],[Mileage]]/1000</f>
        <v>167.22900000000001</v>
      </c>
      <c r="J432" s="5">
        <v>167229</v>
      </c>
      <c r="K432" s="1" t="s">
        <v>25</v>
      </c>
      <c r="L432" s="5">
        <f>car_price_prediction_[[#This Row],[Price]]/100</f>
        <v>70814.240000000005</v>
      </c>
      <c r="M432">
        <v>7081424</v>
      </c>
      <c r="N432" s="1" t="s">
        <v>38</v>
      </c>
      <c r="O432" s="1">
        <f>IF(IFERROR(VLOOKUP(car_price_prediction_[[#This Row],[Car ID]],A433:A2932,1,FALSE),0),1,0)</f>
        <v>0</v>
      </c>
    </row>
    <row r="433" spans="1:15" x14ac:dyDescent="0.25">
      <c r="A433">
        <v>432</v>
      </c>
      <c r="B433" s="1" t="s">
        <v>10</v>
      </c>
      <c r="C433" s="1">
        <f>car_price_prediction_[[#This Row],[Year2]]</f>
        <v>2002</v>
      </c>
      <c r="D433">
        <v>2002</v>
      </c>
      <c r="E433">
        <f>car_price_prediction_[[#This Row],[Engine Size]]/10</f>
        <v>4.7</v>
      </c>
      <c r="F433">
        <v>47</v>
      </c>
      <c r="G433" s="1" t="s">
        <v>21</v>
      </c>
      <c r="H433" s="1" t="s">
        <v>12</v>
      </c>
      <c r="I433" s="12">
        <f>car_price_prediction_[[#This Row],[Mileage]]/1000</f>
        <v>5.9139999999999997</v>
      </c>
      <c r="J433" s="5">
        <v>5914</v>
      </c>
      <c r="K433" s="1" t="s">
        <v>17</v>
      </c>
      <c r="L433" s="5">
        <f>car_price_prediction_[[#This Row],[Price]]/100</f>
        <v>24001.54</v>
      </c>
      <c r="M433">
        <v>2400154</v>
      </c>
      <c r="N433" s="1" t="s">
        <v>23</v>
      </c>
      <c r="O433" s="1">
        <f>IF(IFERROR(VLOOKUP(car_price_prediction_[[#This Row],[Car ID]],A434:A2933,1,FALSE),0),1,0)</f>
        <v>0</v>
      </c>
    </row>
    <row r="434" spans="1:15" x14ac:dyDescent="0.25">
      <c r="A434">
        <v>433</v>
      </c>
      <c r="B434" s="1" t="s">
        <v>43</v>
      </c>
      <c r="C434" s="1">
        <f>car_price_prediction_[[#This Row],[Year2]]</f>
        <v>2002</v>
      </c>
      <c r="D434">
        <v>2002</v>
      </c>
      <c r="E434">
        <f>car_price_prediction_[[#This Row],[Engine Size]]/10</f>
        <v>2.4</v>
      </c>
      <c r="F434">
        <v>24</v>
      </c>
      <c r="G434" s="1" t="s">
        <v>11</v>
      </c>
      <c r="H434" s="1" t="s">
        <v>22</v>
      </c>
      <c r="I434" s="12">
        <f>car_price_prediction_[[#This Row],[Mileage]]/1000</f>
        <v>214.77199999999999</v>
      </c>
      <c r="J434" s="5">
        <v>214772</v>
      </c>
      <c r="K434" s="1" t="s">
        <v>25</v>
      </c>
      <c r="L434" s="5">
        <f>car_price_prediction_[[#This Row],[Price]]/100</f>
        <v>97461.61</v>
      </c>
      <c r="M434">
        <v>9746161</v>
      </c>
      <c r="N434" s="1" t="s">
        <v>50</v>
      </c>
      <c r="O434" s="1">
        <f>IF(IFERROR(VLOOKUP(car_price_prediction_[[#This Row],[Car ID]],A435:A2934,1,FALSE),0),1,0)</f>
        <v>0</v>
      </c>
    </row>
    <row r="435" spans="1:15" x14ac:dyDescent="0.25">
      <c r="A435">
        <v>434</v>
      </c>
      <c r="B435" s="1" t="s">
        <v>24</v>
      </c>
      <c r="C435" s="1">
        <f>car_price_prediction_[[#This Row],[Year2]]</f>
        <v>2008</v>
      </c>
      <c r="D435">
        <v>2008</v>
      </c>
      <c r="E435">
        <f>car_price_prediction_[[#This Row],[Engine Size]]/10</f>
        <v>5</v>
      </c>
      <c r="F435">
        <v>50</v>
      </c>
      <c r="G435" s="1" t="s">
        <v>21</v>
      </c>
      <c r="H435" s="1" t="s">
        <v>12</v>
      </c>
      <c r="I435" s="12">
        <f>car_price_prediction_[[#This Row],[Mileage]]/1000</f>
        <v>289.32400000000001</v>
      </c>
      <c r="J435" s="5">
        <v>289324</v>
      </c>
      <c r="K435" s="1" t="s">
        <v>17</v>
      </c>
      <c r="L435" s="5">
        <f>car_price_prediction_[[#This Row],[Price]]/100</f>
        <v>38249.760000000002</v>
      </c>
      <c r="M435">
        <v>3824976</v>
      </c>
      <c r="N435" s="1" t="s">
        <v>34</v>
      </c>
      <c r="O435" s="1">
        <f>IF(IFERROR(VLOOKUP(car_price_prediction_[[#This Row],[Car ID]],A436:A2935,1,FALSE),0),1,0)</f>
        <v>0</v>
      </c>
    </row>
    <row r="436" spans="1:15" x14ac:dyDescent="0.25">
      <c r="A436">
        <v>435</v>
      </c>
      <c r="B436" s="1" t="s">
        <v>30</v>
      </c>
      <c r="C436" s="1">
        <f>car_price_prediction_[[#This Row],[Year2]]</f>
        <v>2005</v>
      </c>
      <c r="D436">
        <v>2005</v>
      </c>
      <c r="E436">
        <f>car_price_prediction_[[#This Row],[Engine Size]]/10</f>
        <v>6</v>
      </c>
      <c r="F436">
        <v>60</v>
      </c>
      <c r="G436" s="1" t="s">
        <v>21</v>
      </c>
      <c r="H436" s="1" t="s">
        <v>22</v>
      </c>
      <c r="I436" s="12">
        <f>car_price_prediction_[[#This Row],[Mileage]]/1000</f>
        <v>227.56100000000001</v>
      </c>
      <c r="J436" s="5">
        <v>227561</v>
      </c>
      <c r="K436" s="1" t="s">
        <v>25</v>
      </c>
      <c r="L436" s="5">
        <f>car_price_prediction_[[#This Row],[Price]]/100</f>
        <v>85357.36</v>
      </c>
      <c r="M436">
        <v>8535736</v>
      </c>
      <c r="N436" s="1" t="s">
        <v>45</v>
      </c>
      <c r="O436" s="1">
        <f>IF(IFERROR(VLOOKUP(car_price_prediction_[[#This Row],[Car ID]],A437:A2936,1,FALSE),0),1,0)</f>
        <v>0</v>
      </c>
    </row>
    <row r="437" spans="1:15" x14ac:dyDescent="0.25">
      <c r="A437">
        <v>436</v>
      </c>
      <c r="B437" s="1" t="s">
        <v>43</v>
      </c>
      <c r="C437" s="1">
        <f>car_price_prediction_[[#This Row],[Year2]]</f>
        <v>2012</v>
      </c>
      <c r="D437">
        <v>2012</v>
      </c>
      <c r="E437">
        <f>car_price_prediction_[[#This Row],[Engine Size]]/10</f>
        <v>1.2</v>
      </c>
      <c r="F437">
        <v>12</v>
      </c>
      <c r="G437" s="1" t="s">
        <v>21</v>
      </c>
      <c r="H437" s="1" t="s">
        <v>22</v>
      </c>
      <c r="I437" s="12">
        <f>car_price_prediction_[[#This Row],[Mileage]]/1000</f>
        <v>187.435</v>
      </c>
      <c r="J437" s="5">
        <v>187435</v>
      </c>
      <c r="K437" s="1" t="s">
        <v>13</v>
      </c>
      <c r="L437" s="5">
        <f>car_price_prediction_[[#This Row],[Price]]/100</f>
        <v>94809.81</v>
      </c>
      <c r="M437">
        <v>9480981</v>
      </c>
      <c r="N437" s="1" t="s">
        <v>44</v>
      </c>
      <c r="O437" s="1">
        <f>IF(IFERROR(VLOOKUP(car_price_prediction_[[#This Row],[Car ID]],A438:A2937,1,FALSE),0),1,0)</f>
        <v>0</v>
      </c>
    </row>
    <row r="438" spans="1:15" x14ac:dyDescent="0.25">
      <c r="A438">
        <v>437</v>
      </c>
      <c r="B438" s="1" t="s">
        <v>30</v>
      </c>
      <c r="C438" s="1">
        <f>car_price_prediction_[[#This Row],[Year2]]</f>
        <v>2020</v>
      </c>
      <c r="D438">
        <v>2020</v>
      </c>
      <c r="E438">
        <f>car_price_prediction_[[#This Row],[Engine Size]]/10</f>
        <v>5.5</v>
      </c>
      <c r="F438">
        <v>55</v>
      </c>
      <c r="G438" s="1" t="s">
        <v>16</v>
      </c>
      <c r="H438" s="1" t="s">
        <v>22</v>
      </c>
      <c r="I438" s="12">
        <f>car_price_prediction_[[#This Row],[Mileage]]/1000</f>
        <v>95.212999999999994</v>
      </c>
      <c r="J438" s="5">
        <v>95213</v>
      </c>
      <c r="K438" s="1" t="s">
        <v>17</v>
      </c>
      <c r="L438" s="5">
        <f>car_price_prediction_[[#This Row],[Price]]/100</f>
        <v>87147.83</v>
      </c>
      <c r="M438">
        <v>8714783</v>
      </c>
      <c r="N438" s="1" t="s">
        <v>48</v>
      </c>
      <c r="O438" s="1">
        <f>IF(IFERROR(VLOOKUP(car_price_prediction_[[#This Row],[Car ID]],A439:A2938,1,FALSE),0),1,0)</f>
        <v>0</v>
      </c>
    </row>
    <row r="439" spans="1:15" x14ac:dyDescent="0.25">
      <c r="A439">
        <v>438</v>
      </c>
      <c r="B439" s="1" t="s">
        <v>10</v>
      </c>
      <c r="C439" s="1">
        <f>car_price_prediction_[[#This Row],[Year2]]</f>
        <v>2001</v>
      </c>
      <c r="D439">
        <v>2001</v>
      </c>
      <c r="E439">
        <f>car_price_prediction_[[#This Row],[Engine Size]]/10</f>
        <v>4.0999999999999996</v>
      </c>
      <c r="F439">
        <v>41</v>
      </c>
      <c r="G439" s="1" t="s">
        <v>29</v>
      </c>
      <c r="H439" s="1" t="s">
        <v>22</v>
      </c>
      <c r="I439" s="12">
        <f>car_price_prediction_[[#This Row],[Mileage]]/1000</f>
        <v>37.805</v>
      </c>
      <c r="J439" s="5">
        <v>37805</v>
      </c>
      <c r="K439" s="1" t="s">
        <v>17</v>
      </c>
      <c r="L439" s="5">
        <f>car_price_prediction_[[#This Row],[Price]]/100</f>
        <v>11371.43</v>
      </c>
      <c r="M439">
        <v>1137143</v>
      </c>
      <c r="N439" s="1" t="s">
        <v>49</v>
      </c>
      <c r="O439" s="1">
        <f>IF(IFERROR(VLOOKUP(car_price_prediction_[[#This Row],[Car ID]],A440:A2939,1,FALSE),0),1,0)</f>
        <v>0</v>
      </c>
    </row>
    <row r="440" spans="1:15" x14ac:dyDescent="0.25">
      <c r="A440">
        <v>439</v>
      </c>
      <c r="B440" s="1" t="s">
        <v>36</v>
      </c>
      <c r="C440" s="1">
        <f>car_price_prediction_[[#This Row],[Year2]]</f>
        <v>2007</v>
      </c>
      <c r="D440">
        <v>2007</v>
      </c>
      <c r="E440">
        <f>car_price_prediction_[[#This Row],[Engine Size]]/10</f>
        <v>5.9</v>
      </c>
      <c r="F440">
        <v>59</v>
      </c>
      <c r="G440" s="1" t="s">
        <v>21</v>
      </c>
      <c r="H440" s="1" t="s">
        <v>22</v>
      </c>
      <c r="I440" s="12">
        <f>car_price_prediction_[[#This Row],[Mileage]]/1000</f>
        <v>126.599</v>
      </c>
      <c r="J440" s="5">
        <v>126599</v>
      </c>
      <c r="K440" s="1" t="s">
        <v>25</v>
      </c>
      <c r="L440" s="5">
        <f>car_price_prediction_[[#This Row],[Price]]/100</f>
        <v>66779.179999999993</v>
      </c>
      <c r="M440">
        <v>6677918</v>
      </c>
      <c r="N440" s="1" t="s">
        <v>40</v>
      </c>
      <c r="O440" s="1">
        <f>IF(IFERROR(VLOOKUP(car_price_prediction_[[#This Row],[Car ID]],A441:A2940,1,FALSE),0),1,0)</f>
        <v>0</v>
      </c>
    </row>
    <row r="441" spans="1:15" x14ac:dyDescent="0.25">
      <c r="A441">
        <v>440</v>
      </c>
      <c r="B441" s="1" t="s">
        <v>30</v>
      </c>
      <c r="C441" s="1">
        <f>car_price_prediction_[[#This Row],[Year2]]</f>
        <v>2020</v>
      </c>
      <c r="D441">
        <v>2020</v>
      </c>
      <c r="E441">
        <f>car_price_prediction_[[#This Row],[Engine Size]]/10</f>
        <v>3.3</v>
      </c>
      <c r="F441">
        <v>33</v>
      </c>
      <c r="G441" s="1" t="s">
        <v>29</v>
      </c>
      <c r="H441" s="1" t="s">
        <v>22</v>
      </c>
      <c r="I441" s="12">
        <f>car_price_prediction_[[#This Row],[Mileage]]/1000</f>
        <v>153.77500000000001</v>
      </c>
      <c r="J441" s="5">
        <v>153775</v>
      </c>
      <c r="K441" s="1" t="s">
        <v>25</v>
      </c>
      <c r="L441" s="5">
        <f>car_price_prediction_[[#This Row],[Price]]/100</f>
        <v>16408.62</v>
      </c>
      <c r="M441">
        <v>1640862</v>
      </c>
      <c r="N441" s="1" t="s">
        <v>31</v>
      </c>
      <c r="O441" s="1">
        <f>IF(IFERROR(VLOOKUP(car_price_prediction_[[#This Row],[Car ID]],A442:A2941,1,FALSE),0),1,0)</f>
        <v>0</v>
      </c>
    </row>
    <row r="442" spans="1:15" x14ac:dyDescent="0.25">
      <c r="A442">
        <v>441</v>
      </c>
      <c r="B442" s="1" t="s">
        <v>24</v>
      </c>
      <c r="C442" s="1">
        <f>car_price_prediction_[[#This Row],[Year2]]</f>
        <v>2001</v>
      </c>
      <c r="D442">
        <v>2001</v>
      </c>
      <c r="E442">
        <f>car_price_prediction_[[#This Row],[Engine Size]]/10</f>
        <v>5.2</v>
      </c>
      <c r="F442">
        <v>52</v>
      </c>
      <c r="G442" s="1" t="s">
        <v>11</v>
      </c>
      <c r="H442" s="1" t="s">
        <v>12</v>
      </c>
      <c r="I442" s="12">
        <f>car_price_prediction_[[#This Row],[Mileage]]/1000</f>
        <v>190.09299999999999</v>
      </c>
      <c r="J442" s="5">
        <v>190093</v>
      </c>
      <c r="K442" s="1" t="s">
        <v>17</v>
      </c>
      <c r="L442" s="5">
        <f>car_price_prediction_[[#This Row],[Price]]/100</f>
        <v>5537.99</v>
      </c>
      <c r="M442">
        <v>553799</v>
      </c>
      <c r="N442" s="1" t="s">
        <v>26</v>
      </c>
      <c r="O442" s="1">
        <f>IF(IFERROR(VLOOKUP(car_price_prediction_[[#This Row],[Car ID]],A443:A2942,1,FALSE),0),1,0)</f>
        <v>0</v>
      </c>
    </row>
    <row r="443" spans="1:15" x14ac:dyDescent="0.25">
      <c r="A443">
        <v>442</v>
      </c>
      <c r="B443" s="1" t="s">
        <v>36</v>
      </c>
      <c r="C443" s="1">
        <f>car_price_prediction_[[#This Row],[Year2]]</f>
        <v>2003</v>
      </c>
      <c r="D443">
        <v>2003</v>
      </c>
      <c r="E443">
        <f>car_price_prediction_[[#This Row],[Engine Size]]/10</f>
        <v>1.3</v>
      </c>
      <c r="F443">
        <v>13</v>
      </c>
      <c r="G443" s="1" t="s">
        <v>11</v>
      </c>
      <c r="H443" s="1" t="s">
        <v>12</v>
      </c>
      <c r="I443" s="12">
        <f>car_price_prediction_[[#This Row],[Mileage]]/1000</f>
        <v>74.176000000000002</v>
      </c>
      <c r="J443" s="5">
        <v>74176</v>
      </c>
      <c r="K443" s="1" t="s">
        <v>25</v>
      </c>
      <c r="L443" s="5">
        <f>car_price_prediction_[[#This Row],[Price]]/100</f>
        <v>9919.43</v>
      </c>
      <c r="M443">
        <v>991943</v>
      </c>
      <c r="N443" s="1" t="s">
        <v>37</v>
      </c>
      <c r="O443" s="1">
        <f>IF(IFERROR(VLOOKUP(car_price_prediction_[[#This Row],[Car ID]],A444:A2943,1,FALSE),0),1,0)</f>
        <v>0</v>
      </c>
    </row>
    <row r="444" spans="1:15" x14ac:dyDescent="0.25">
      <c r="A444">
        <v>443</v>
      </c>
      <c r="B444" s="1" t="s">
        <v>30</v>
      </c>
      <c r="C444" s="1">
        <f>car_price_prediction_[[#This Row],[Year2]]</f>
        <v>2014</v>
      </c>
      <c r="D444">
        <v>2014</v>
      </c>
      <c r="E444">
        <f>car_price_prediction_[[#This Row],[Engine Size]]/10</f>
        <v>2.7</v>
      </c>
      <c r="F444">
        <v>27</v>
      </c>
      <c r="G444" s="1" t="s">
        <v>21</v>
      </c>
      <c r="H444" s="1" t="s">
        <v>22</v>
      </c>
      <c r="I444" s="12">
        <f>car_price_prediction_[[#This Row],[Mileage]]/1000</f>
        <v>94.799000000000007</v>
      </c>
      <c r="J444" s="5">
        <v>94799</v>
      </c>
      <c r="K444" s="1" t="s">
        <v>13</v>
      </c>
      <c r="L444" s="5">
        <f>car_price_prediction_[[#This Row],[Price]]/100</f>
        <v>92034.17</v>
      </c>
      <c r="M444">
        <v>9203417</v>
      </c>
      <c r="N444" s="1" t="s">
        <v>31</v>
      </c>
      <c r="O444" s="1">
        <f>IF(IFERROR(VLOOKUP(car_price_prediction_[[#This Row],[Car ID]],A445:A2944,1,FALSE),0),1,0)</f>
        <v>0</v>
      </c>
    </row>
    <row r="445" spans="1:15" x14ac:dyDescent="0.25">
      <c r="A445">
        <v>444</v>
      </c>
      <c r="B445" s="1" t="s">
        <v>10</v>
      </c>
      <c r="C445" s="1">
        <f>car_price_prediction_[[#This Row],[Year2]]</f>
        <v>2003</v>
      </c>
      <c r="D445">
        <v>2003</v>
      </c>
      <c r="E445">
        <f>car_price_prediction_[[#This Row],[Engine Size]]/10</f>
        <v>1.3</v>
      </c>
      <c r="F445">
        <v>13</v>
      </c>
      <c r="G445" s="1" t="s">
        <v>11</v>
      </c>
      <c r="H445" s="1" t="s">
        <v>12</v>
      </c>
      <c r="I445" s="12">
        <f>car_price_prediction_[[#This Row],[Mileage]]/1000</f>
        <v>98.385000000000005</v>
      </c>
      <c r="J445" s="5">
        <v>98385</v>
      </c>
      <c r="K445" s="1" t="s">
        <v>17</v>
      </c>
      <c r="L445" s="5">
        <f>car_price_prediction_[[#This Row],[Price]]/100</f>
        <v>91304.03</v>
      </c>
      <c r="M445">
        <v>9130403</v>
      </c>
      <c r="N445" s="1" t="s">
        <v>33</v>
      </c>
      <c r="O445" s="1">
        <f>IF(IFERROR(VLOOKUP(car_price_prediction_[[#This Row],[Car ID]],A446:A2945,1,FALSE),0),1,0)</f>
        <v>0</v>
      </c>
    </row>
    <row r="446" spans="1:15" x14ac:dyDescent="0.25">
      <c r="A446">
        <v>445</v>
      </c>
      <c r="B446" s="1" t="s">
        <v>36</v>
      </c>
      <c r="C446" s="1">
        <f>car_price_prediction_[[#This Row],[Year2]]</f>
        <v>2012</v>
      </c>
      <c r="D446">
        <v>2012</v>
      </c>
      <c r="E446">
        <f>car_price_prediction_[[#This Row],[Engine Size]]/10</f>
        <v>5.9</v>
      </c>
      <c r="F446">
        <v>59</v>
      </c>
      <c r="G446" s="1" t="s">
        <v>29</v>
      </c>
      <c r="H446" s="1" t="s">
        <v>22</v>
      </c>
      <c r="I446" s="12">
        <f>car_price_prediction_[[#This Row],[Mileage]]/1000</f>
        <v>235.654</v>
      </c>
      <c r="J446" s="5">
        <v>235654</v>
      </c>
      <c r="K446" s="1" t="s">
        <v>13</v>
      </c>
      <c r="L446" s="5">
        <f>car_price_prediction_[[#This Row],[Price]]/100</f>
        <v>26453.32</v>
      </c>
      <c r="M446">
        <v>2645332</v>
      </c>
      <c r="N446" s="1" t="s">
        <v>40</v>
      </c>
      <c r="O446" s="1">
        <f>IF(IFERROR(VLOOKUP(car_price_prediction_[[#This Row],[Car ID]],A447:A2946,1,FALSE),0),1,0)</f>
        <v>0</v>
      </c>
    </row>
    <row r="447" spans="1:15" x14ac:dyDescent="0.25">
      <c r="A447">
        <v>446</v>
      </c>
      <c r="B447" s="1" t="s">
        <v>10</v>
      </c>
      <c r="C447" s="1">
        <f>car_price_prediction_[[#This Row],[Year2]]</f>
        <v>2011</v>
      </c>
      <c r="D447">
        <v>2011</v>
      </c>
      <c r="E447">
        <f>car_price_prediction_[[#This Row],[Engine Size]]/10</f>
        <v>5.0999999999999996</v>
      </c>
      <c r="F447">
        <v>51</v>
      </c>
      <c r="G447" s="1" t="s">
        <v>16</v>
      </c>
      <c r="H447" s="1" t="s">
        <v>12</v>
      </c>
      <c r="I447" s="12">
        <f>car_price_prediction_[[#This Row],[Mileage]]/1000</f>
        <v>88.918999999999997</v>
      </c>
      <c r="J447" s="5">
        <v>88919</v>
      </c>
      <c r="K447" s="1" t="s">
        <v>17</v>
      </c>
      <c r="L447" s="5">
        <f>car_price_prediction_[[#This Row],[Price]]/100</f>
        <v>56970.82</v>
      </c>
      <c r="M447">
        <v>5697082</v>
      </c>
      <c r="N447" s="1" t="s">
        <v>23</v>
      </c>
      <c r="O447" s="1">
        <f>IF(IFERROR(VLOOKUP(car_price_prediction_[[#This Row],[Car ID]],A448:A2947,1,FALSE),0),1,0)</f>
        <v>0</v>
      </c>
    </row>
    <row r="448" spans="1:15" x14ac:dyDescent="0.25">
      <c r="A448">
        <v>447</v>
      </c>
      <c r="B448" s="1" t="s">
        <v>30</v>
      </c>
      <c r="C448" s="1">
        <f>car_price_prediction_[[#This Row],[Year2]]</f>
        <v>2012</v>
      </c>
      <c r="D448">
        <v>2012</v>
      </c>
      <c r="E448">
        <f>car_price_prediction_[[#This Row],[Engine Size]]/10</f>
        <v>5.3</v>
      </c>
      <c r="F448">
        <v>53</v>
      </c>
      <c r="G448" s="1" t="s">
        <v>21</v>
      </c>
      <c r="H448" s="1" t="s">
        <v>12</v>
      </c>
      <c r="I448" s="12">
        <f>car_price_prediction_[[#This Row],[Mileage]]/1000</f>
        <v>81.462000000000003</v>
      </c>
      <c r="J448" s="5">
        <v>81462</v>
      </c>
      <c r="K448" s="1" t="s">
        <v>13</v>
      </c>
      <c r="L448" s="5">
        <f>car_price_prediction_[[#This Row],[Price]]/100</f>
        <v>95727.679999999993</v>
      </c>
      <c r="M448">
        <v>9572768</v>
      </c>
      <c r="N448" s="1" t="s">
        <v>45</v>
      </c>
      <c r="O448" s="1">
        <f>IF(IFERROR(VLOOKUP(car_price_prediction_[[#This Row],[Car ID]],A449:A2948,1,FALSE),0),1,0)</f>
        <v>0</v>
      </c>
    </row>
    <row r="449" spans="1:15" x14ac:dyDescent="0.25">
      <c r="A449">
        <v>448</v>
      </c>
      <c r="B449" s="1" t="s">
        <v>10</v>
      </c>
      <c r="C449" s="1">
        <f>car_price_prediction_[[#This Row],[Year2]]</f>
        <v>2013</v>
      </c>
      <c r="D449">
        <v>2013</v>
      </c>
      <c r="E449">
        <f>car_price_prediction_[[#This Row],[Engine Size]]/10</f>
        <v>5.7</v>
      </c>
      <c r="F449">
        <v>57</v>
      </c>
      <c r="G449" s="1" t="s">
        <v>11</v>
      </c>
      <c r="H449" s="1" t="s">
        <v>12</v>
      </c>
      <c r="I449" s="12">
        <f>car_price_prediction_[[#This Row],[Mileage]]/1000</f>
        <v>179.34</v>
      </c>
      <c r="J449" s="5">
        <v>179340</v>
      </c>
      <c r="K449" s="1" t="s">
        <v>17</v>
      </c>
      <c r="L449" s="5">
        <f>car_price_prediction_[[#This Row],[Price]]/100</f>
        <v>52187.08</v>
      </c>
      <c r="M449">
        <v>5218708</v>
      </c>
      <c r="N449" s="1" t="s">
        <v>23</v>
      </c>
      <c r="O449" s="1">
        <f>IF(IFERROR(VLOOKUP(car_price_prediction_[[#This Row],[Car ID]],A450:A2949,1,FALSE),0),1,0)</f>
        <v>0</v>
      </c>
    </row>
    <row r="450" spans="1:15" x14ac:dyDescent="0.25">
      <c r="A450">
        <v>449</v>
      </c>
      <c r="B450" s="1" t="s">
        <v>24</v>
      </c>
      <c r="C450" s="1">
        <f>car_price_prediction_[[#This Row],[Year2]]</f>
        <v>2019</v>
      </c>
      <c r="D450">
        <v>2019</v>
      </c>
      <c r="E450">
        <f>car_price_prediction_[[#This Row],[Engine Size]]/10</f>
        <v>1.4</v>
      </c>
      <c r="F450">
        <v>14</v>
      </c>
      <c r="G450" s="1" t="s">
        <v>29</v>
      </c>
      <c r="H450" s="1" t="s">
        <v>22</v>
      </c>
      <c r="I450" s="12">
        <f>car_price_prediction_[[#This Row],[Mileage]]/1000</f>
        <v>165.32</v>
      </c>
      <c r="J450" s="5">
        <v>165320</v>
      </c>
      <c r="K450" s="1" t="s">
        <v>25</v>
      </c>
      <c r="L450" s="5">
        <f>car_price_prediction_[[#This Row],[Price]]/100</f>
        <v>42389.89</v>
      </c>
      <c r="M450">
        <v>4238989</v>
      </c>
      <c r="N450" s="1" t="s">
        <v>26</v>
      </c>
      <c r="O450" s="1">
        <f>IF(IFERROR(VLOOKUP(car_price_prediction_[[#This Row],[Car ID]],A451:A2950,1,FALSE),0),1,0)</f>
        <v>0</v>
      </c>
    </row>
    <row r="451" spans="1:15" x14ac:dyDescent="0.25">
      <c r="A451">
        <v>450</v>
      </c>
      <c r="B451" s="1" t="s">
        <v>30</v>
      </c>
      <c r="C451" s="1">
        <f>car_price_prediction_[[#This Row],[Year2]]</f>
        <v>2017</v>
      </c>
      <c r="D451">
        <v>2017</v>
      </c>
      <c r="E451">
        <f>car_price_prediction_[[#This Row],[Engine Size]]/10</f>
        <v>2.9</v>
      </c>
      <c r="F451">
        <v>29</v>
      </c>
      <c r="G451" s="1" t="s">
        <v>29</v>
      </c>
      <c r="H451" s="1" t="s">
        <v>12</v>
      </c>
      <c r="I451" s="12">
        <f>car_price_prediction_[[#This Row],[Mileage]]/1000</f>
        <v>31.158999999999999</v>
      </c>
      <c r="J451" s="5">
        <v>31159</v>
      </c>
      <c r="K451" s="1" t="s">
        <v>17</v>
      </c>
      <c r="L451" s="5">
        <f>car_price_prediction_[[#This Row],[Price]]/100</f>
        <v>50908.63</v>
      </c>
      <c r="M451">
        <v>5090863</v>
      </c>
      <c r="N451" s="1" t="s">
        <v>42</v>
      </c>
      <c r="O451" s="1">
        <f>IF(IFERROR(VLOOKUP(car_price_prediction_[[#This Row],[Car ID]],A452:A2951,1,FALSE),0),1,0)</f>
        <v>0</v>
      </c>
    </row>
    <row r="452" spans="1:15" x14ac:dyDescent="0.25">
      <c r="A452">
        <v>451</v>
      </c>
      <c r="B452" s="1" t="s">
        <v>30</v>
      </c>
      <c r="C452" s="1">
        <f>car_price_prediction_[[#This Row],[Year2]]</f>
        <v>2005</v>
      </c>
      <c r="D452">
        <v>2005</v>
      </c>
      <c r="E452">
        <f>car_price_prediction_[[#This Row],[Engine Size]]/10</f>
        <v>1.4</v>
      </c>
      <c r="F452">
        <v>14</v>
      </c>
      <c r="G452" s="1" t="s">
        <v>11</v>
      </c>
      <c r="H452" s="1" t="s">
        <v>22</v>
      </c>
      <c r="I452" s="12">
        <f>car_price_prediction_[[#This Row],[Mileage]]/1000</f>
        <v>42.039000000000001</v>
      </c>
      <c r="J452" s="5">
        <v>42039</v>
      </c>
      <c r="K452" s="1" t="s">
        <v>13</v>
      </c>
      <c r="L452" s="5">
        <f>car_price_prediction_[[#This Row],[Price]]/100</f>
        <v>8007.05</v>
      </c>
      <c r="M452">
        <v>800705</v>
      </c>
      <c r="N452" s="1" t="s">
        <v>48</v>
      </c>
      <c r="O452" s="1">
        <f>IF(IFERROR(VLOOKUP(car_price_prediction_[[#This Row],[Car ID]],A453:A2952,1,FALSE),0),1,0)</f>
        <v>0</v>
      </c>
    </row>
    <row r="453" spans="1:15" x14ac:dyDescent="0.25">
      <c r="A453">
        <v>452</v>
      </c>
      <c r="B453" s="1" t="s">
        <v>30</v>
      </c>
      <c r="C453" s="1">
        <f>car_price_prediction_[[#This Row],[Year2]]</f>
        <v>2010</v>
      </c>
      <c r="D453">
        <v>2010</v>
      </c>
      <c r="E453">
        <f>car_price_prediction_[[#This Row],[Engine Size]]/10</f>
        <v>2.1</v>
      </c>
      <c r="F453">
        <v>21</v>
      </c>
      <c r="G453" s="1" t="s">
        <v>29</v>
      </c>
      <c r="H453" s="1" t="s">
        <v>22</v>
      </c>
      <c r="I453" s="12">
        <f>car_price_prediction_[[#This Row],[Mileage]]/1000</f>
        <v>232.97399999999999</v>
      </c>
      <c r="J453" s="5">
        <v>232974</v>
      </c>
      <c r="K453" s="1" t="s">
        <v>17</v>
      </c>
      <c r="L453" s="5">
        <f>car_price_prediction_[[#This Row],[Price]]/100</f>
        <v>50341.38</v>
      </c>
      <c r="M453">
        <v>5034138</v>
      </c>
      <c r="N453" s="1" t="s">
        <v>31</v>
      </c>
      <c r="O453" s="1">
        <f>IF(IFERROR(VLOOKUP(car_price_prediction_[[#This Row],[Car ID]],A454:A2953,1,FALSE),0),1,0)</f>
        <v>0</v>
      </c>
    </row>
    <row r="454" spans="1:15" x14ac:dyDescent="0.25">
      <c r="A454">
        <v>453</v>
      </c>
      <c r="B454" s="1" t="s">
        <v>43</v>
      </c>
      <c r="C454" s="1">
        <f>car_price_prediction_[[#This Row],[Year2]]</f>
        <v>2001</v>
      </c>
      <c r="D454">
        <v>2001</v>
      </c>
      <c r="E454">
        <f>car_price_prediction_[[#This Row],[Engine Size]]/10</f>
        <v>2.1</v>
      </c>
      <c r="F454">
        <v>21</v>
      </c>
      <c r="G454" s="1" t="s">
        <v>29</v>
      </c>
      <c r="H454" s="1" t="s">
        <v>22</v>
      </c>
      <c r="I454" s="12">
        <f>car_price_prediction_[[#This Row],[Mileage]]/1000</f>
        <v>47.8</v>
      </c>
      <c r="J454" s="5">
        <v>47800</v>
      </c>
      <c r="K454" s="1" t="s">
        <v>13</v>
      </c>
      <c r="L454" s="5">
        <f>car_price_prediction_[[#This Row],[Price]]/100</f>
        <v>79411.38</v>
      </c>
      <c r="M454">
        <v>7941138</v>
      </c>
      <c r="N454" s="1" t="s">
        <v>44</v>
      </c>
      <c r="O454" s="1">
        <f>IF(IFERROR(VLOOKUP(car_price_prediction_[[#This Row],[Car ID]],A455:A2954,1,FALSE),0),1,0)</f>
        <v>0</v>
      </c>
    </row>
    <row r="455" spans="1:15" x14ac:dyDescent="0.25">
      <c r="A455">
        <v>454</v>
      </c>
      <c r="B455" s="1" t="s">
        <v>43</v>
      </c>
      <c r="C455" s="1">
        <f>car_price_prediction_[[#This Row],[Year2]]</f>
        <v>2022</v>
      </c>
      <c r="D455">
        <v>2022</v>
      </c>
      <c r="E455">
        <f>car_price_prediction_[[#This Row],[Engine Size]]/10</f>
        <v>3.3</v>
      </c>
      <c r="F455">
        <v>33</v>
      </c>
      <c r="G455" s="1" t="s">
        <v>21</v>
      </c>
      <c r="H455" s="1" t="s">
        <v>12</v>
      </c>
      <c r="I455" s="12">
        <f>car_price_prediction_[[#This Row],[Mileage]]/1000</f>
        <v>94.626000000000005</v>
      </c>
      <c r="J455" s="5">
        <v>94626</v>
      </c>
      <c r="K455" s="1" t="s">
        <v>13</v>
      </c>
      <c r="L455" s="5">
        <f>car_price_prediction_[[#This Row],[Price]]/100</f>
        <v>46011.26</v>
      </c>
      <c r="M455">
        <v>4601126</v>
      </c>
      <c r="N455" s="1" t="s">
        <v>47</v>
      </c>
      <c r="O455" s="1">
        <f>IF(IFERROR(VLOOKUP(car_price_prediction_[[#This Row],[Car ID]],A456:A2955,1,FALSE),0),1,0)</f>
        <v>0</v>
      </c>
    </row>
    <row r="456" spans="1:15" x14ac:dyDescent="0.25">
      <c r="A456">
        <v>455</v>
      </c>
      <c r="B456" s="1" t="s">
        <v>43</v>
      </c>
      <c r="C456" s="1">
        <f>car_price_prediction_[[#This Row],[Year2]]</f>
        <v>2018</v>
      </c>
      <c r="D456">
        <v>2018</v>
      </c>
      <c r="E456">
        <f>car_price_prediction_[[#This Row],[Engine Size]]/10</f>
        <v>2.2999999999999998</v>
      </c>
      <c r="F456">
        <v>23</v>
      </c>
      <c r="G456" s="1" t="s">
        <v>29</v>
      </c>
      <c r="H456" s="1" t="s">
        <v>12</v>
      </c>
      <c r="I456" s="12">
        <f>car_price_prediction_[[#This Row],[Mileage]]/1000</f>
        <v>118.36799999999999</v>
      </c>
      <c r="J456" s="5">
        <v>118368</v>
      </c>
      <c r="K456" s="1" t="s">
        <v>13</v>
      </c>
      <c r="L456" s="5">
        <f>car_price_prediction_[[#This Row],[Price]]/100</f>
        <v>28940.54</v>
      </c>
      <c r="M456">
        <v>2894054</v>
      </c>
      <c r="N456" s="1" t="s">
        <v>52</v>
      </c>
      <c r="O456" s="1">
        <f>IF(IFERROR(VLOOKUP(car_price_prediction_[[#This Row],[Car ID]],A457:A2956,1,FALSE),0),1,0)</f>
        <v>0</v>
      </c>
    </row>
    <row r="457" spans="1:15" x14ac:dyDescent="0.25">
      <c r="A457">
        <v>456</v>
      </c>
      <c r="B457" s="1" t="s">
        <v>24</v>
      </c>
      <c r="C457" s="1">
        <f>car_price_prediction_[[#This Row],[Year2]]</f>
        <v>2018</v>
      </c>
      <c r="D457">
        <v>2018</v>
      </c>
      <c r="E457">
        <f>car_price_prediction_[[#This Row],[Engine Size]]/10</f>
        <v>1.5</v>
      </c>
      <c r="F457">
        <v>15</v>
      </c>
      <c r="G457" s="1" t="s">
        <v>11</v>
      </c>
      <c r="H457" s="1" t="s">
        <v>12</v>
      </c>
      <c r="I457" s="12">
        <f>car_price_prediction_[[#This Row],[Mileage]]/1000</f>
        <v>174.73500000000001</v>
      </c>
      <c r="J457" s="5">
        <v>174735</v>
      </c>
      <c r="K457" s="1" t="s">
        <v>25</v>
      </c>
      <c r="L457" s="5">
        <f>car_price_prediction_[[#This Row],[Price]]/100</f>
        <v>36014.910000000003</v>
      </c>
      <c r="M457">
        <v>3601491</v>
      </c>
      <c r="N457" s="1" t="s">
        <v>32</v>
      </c>
      <c r="O457" s="1">
        <f>IF(IFERROR(VLOOKUP(car_price_prediction_[[#This Row],[Car ID]],A458:A2957,1,FALSE),0),1,0)</f>
        <v>0</v>
      </c>
    </row>
    <row r="458" spans="1:15" x14ac:dyDescent="0.25">
      <c r="A458">
        <v>457</v>
      </c>
      <c r="B458" s="1" t="s">
        <v>36</v>
      </c>
      <c r="C458" s="1">
        <f>car_price_prediction_[[#This Row],[Year2]]</f>
        <v>2004</v>
      </c>
      <c r="D458">
        <v>2004</v>
      </c>
      <c r="E458">
        <f>car_price_prediction_[[#This Row],[Engine Size]]/10</f>
        <v>1.8</v>
      </c>
      <c r="F458">
        <v>18</v>
      </c>
      <c r="G458" s="1" t="s">
        <v>21</v>
      </c>
      <c r="H458" s="1" t="s">
        <v>22</v>
      </c>
      <c r="I458" s="12">
        <f>car_price_prediction_[[#This Row],[Mileage]]/1000</f>
        <v>80.903000000000006</v>
      </c>
      <c r="J458" s="5">
        <v>80903</v>
      </c>
      <c r="K458" s="1" t="s">
        <v>17</v>
      </c>
      <c r="L458" s="5">
        <f>car_price_prediction_[[#This Row],[Price]]/100</f>
        <v>12393.23</v>
      </c>
      <c r="M458">
        <v>1239323</v>
      </c>
      <c r="N458" s="1" t="s">
        <v>40</v>
      </c>
      <c r="O458" s="1">
        <f>IF(IFERROR(VLOOKUP(car_price_prediction_[[#This Row],[Car ID]],A459:A2958,1,FALSE),0),1,0)</f>
        <v>0</v>
      </c>
    </row>
    <row r="459" spans="1:15" x14ac:dyDescent="0.25">
      <c r="A459">
        <v>458</v>
      </c>
      <c r="B459" s="1" t="s">
        <v>10</v>
      </c>
      <c r="C459" s="1">
        <f>car_price_prediction_[[#This Row],[Year2]]</f>
        <v>2018</v>
      </c>
      <c r="D459">
        <v>2018</v>
      </c>
      <c r="E459">
        <f>car_price_prediction_[[#This Row],[Engine Size]]/10</f>
        <v>1.7</v>
      </c>
      <c r="F459">
        <v>17</v>
      </c>
      <c r="G459" s="1" t="s">
        <v>11</v>
      </c>
      <c r="H459" s="1" t="s">
        <v>22</v>
      </c>
      <c r="I459" s="12">
        <f>car_price_prediction_[[#This Row],[Mileage]]/1000</f>
        <v>118.998</v>
      </c>
      <c r="J459" s="5">
        <v>118998</v>
      </c>
      <c r="K459" s="1" t="s">
        <v>13</v>
      </c>
      <c r="L459" s="5">
        <f>car_price_prediction_[[#This Row],[Price]]/100</f>
        <v>52251.21</v>
      </c>
      <c r="M459">
        <v>5225121</v>
      </c>
      <c r="N459" s="1" t="s">
        <v>14</v>
      </c>
      <c r="O459" s="1">
        <f>IF(IFERROR(VLOOKUP(car_price_prediction_[[#This Row],[Car ID]],A460:A2959,1,FALSE),0),1,0)</f>
        <v>0</v>
      </c>
    </row>
    <row r="460" spans="1:15" x14ac:dyDescent="0.25">
      <c r="A460">
        <v>459</v>
      </c>
      <c r="B460" s="1" t="s">
        <v>19</v>
      </c>
      <c r="C460" s="1">
        <f>car_price_prediction_[[#This Row],[Year2]]</f>
        <v>2001</v>
      </c>
      <c r="D460">
        <v>2001</v>
      </c>
      <c r="E460">
        <f>car_price_prediction_[[#This Row],[Engine Size]]/10</f>
        <v>5.9</v>
      </c>
      <c r="F460">
        <v>59</v>
      </c>
      <c r="G460" s="1" t="s">
        <v>16</v>
      </c>
      <c r="H460" s="1" t="s">
        <v>12</v>
      </c>
      <c r="I460" s="12">
        <f>car_price_prediction_[[#This Row],[Mileage]]/1000</f>
        <v>241.32400000000001</v>
      </c>
      <c r="J460" s="5">
        <v>241324</v>
      </c>
      <c r="K460" s="1" t="s">
        <v>25</v>
      </c>
      <c r="L460" s="5">
        <f>car_price_prediction_[[#This Row],[Price]]/100</f>
        <v>19070.54</v>
      </c>
      <c r="M460">
        <v>1907054</v>
      </c>
      <c r="N460" s="1" t="s">
        <v>28</v>
      </c>
      <c r="O460" s="1">
        <f>IF(IFERROR(VLOOKUP(car_price_prediction_[[#This Row],[Car ID]],A461:A2960,1,FALSE),0),1,0)</f>
        <v>0</v>
      </c>
    </row>
    <row r="461" spans="1:15" x14ac:dyDescent="0.25">
      <c r="A461">
        <v>460</v>
      </c>
      <c r="B461" s="1" t="s">
        <v>30</v>
      </c>
      <c r="C461" s="1">
        <f>car_price_prediction_[[#This Row],[Year2]]</f>
        <v>2009</v>
      </c>
      <c r="D461">
        <v>2009</v>
      </c>
      <c r="E461">
        <f>car_price_prediction_[[#This Row],[Engine Size]]/10</f>
        <v>4.8</v>
      </c>
      <c r="F461">
        <v>48</v>
      </c>
      <c r="G461" s="1" t="s">
        <v>11</v>
      </c>
      <c r="H461" s="1" t="s">
        <v>22</v>
      </c>
      <c r="I461" s="12">
        <f>car_price_prediction_[[#This Row],[Mileage]]/1000</f>
        <v>233.22900000000001</v>
      </c>
      <c r="J461" s="5">
        <v>233229</v>
      </c>
      <c r="K461" s="1" t="s">
        <v>13</v>
      </c>
      <c r="L461" s="5">
        <f>car_price_prediction_[[#This Row],[Price]]/100</f>
        <v>82096.97</v>
      </c>
      <c r="M461">
        <v>8209697</v>
      </c>
      <c r="N461" s="1" t="s">
        <v>45</v>
      </c>
      <c r="O461" s="1">
        <f>IF(IFERROR(VLOOKUP(car_price_prediction_[[#This Row],[Car ID]],A462:A2961,1,FALSE),0),1,0)</f>
        <v>0</v>
      </c>
    </row>
    <row r="462" spans="1:15" x14ac:dyDescent="0.25">
      <c r="A462">
        <v>461</v>
      </c>
      <c r="B462" s="1" t="s">
        <v>10</v>
      </c>
      <c r="C462" s="1">
        <f>car_price_prediction_[[#This Row],[Year2]]</f>
        <v>2001</v>
      </c>
      <c r="D462">
        <v>2001</v>
      </c>
      <c r="E462">
        <f>car_price_prediction_[[#This Row],[Engine Size]]/10</f>
        <v>5.8</v>
      </c>
      <c r="F462">
        <v>58</v>
      </c>
      <c r="G462" s="1" t="s">
        <v>11</v>
      </c>
      <c r="H462" s="1" t="s">
        <v>12</v>
      </c>
      <c r="I462" s="12">
        <f>car_price_prediction_[[#This Row],[Mileage]]/1000</f>
        <v>61.747999999999998</v>
      </c>
      <c r="J462" s="5">
        <v>61748</v>
      </c>
      <c r="K462" s="1" t="s">
        <v>17</v>
      </c>
      <c r="L462" s="5">
        <f>car_price_prediction_[[#This Row],[Price]]/100</f>
        <v>4495.6099999999997</v>
      </c>
      <c r="M462">
        <v>449561</v>
      </c>
      <c r="N462" s="1" t="s">
        <v>49</v>
      </c>
      <c r="O462" s="1">
        <f>IF(IFERROR(VLOOKUP(car_price_prediction_[[#This Row],[Car ID]],A463:A2962,1,FALSE),0),1,0)</f>
        <v>0</v>
      </c>
    </row>
    <row r="463" spans="1:15" x14ac:dyDescent="0.25">
      <c r="A463">
        <v>462</v>
      </c>
      <c r="B463" s="1" t="s">
        <v>30</v>
      </c>
      <c r="C463" s="1">
        <f>car_price_prediction_[[#This Row],[Year2]]</f>
        <v>2010</v>
      </c>
      <c r="D463">
        <v>2010</v>
      </c>
      <c r="E463">
        <f>car_price_prediction_[[#This Row],[Engine Size]]/10</f>
        <v>3.2</v>
      </c>
      <c r="F463">
        <v>32</v>
      </c>
      <c r="G463" s="1" t="s">
        <v>21</v>
      </c>
      <c r="H463" s="1" t="s">
        <v>12</v>
      </c>
      <c r="I463" s="12">
        <f>car_price_prediction_[[#This Row],[Mileage]]/1000</f>
        <v>41.19</v>
      </c>
      <c r="J463" s="5">
        <v>41190</v>
      </c>
      <c r="K463" s="1" t="s">
        <v>25</v>
      </c>
      <c r="L463" s="5">
        <f>car_price_prediction_[[#This Row],[Price]]/100</f>
        <v>77675.22</v>
      </c>
      <c r="M463">
        <v>7767522</v>
      </c>
      <c r="N463" s="1" t="s">
        <v>42</v>
      </c>
      <c r="O463" s="1">
        <f>IF(IFERROR(VLOOKUP(car_price_prediction_[[#This Row],[Car ID]],A464:A2963,1,FALSE),0),1,0)</f>
        <v>0</v>
      </c>
    </row>
    <row r="464" spans="1:15" x14ac:dyDescent="0.25">
      <c r="A464">
        <v>463</v>
      </c>
      <c r="B464" s="1" t="s">
        <v>24</v>
      </c>
      <c r="C464" s="1">
        <f>car_price_prediction_[[#This Row],[Year2]]</f>
        <v>2017</v>
      </c>
      <c r="D464">
        <v>2017</v>
      </c>
      <c r="E464">
        <f>car_price_prediction_[[#This Row],[Engine Size]]/10</f>
        <v>2.4</v>
      </c>
      <c r="F464">
        <v>24</v>
      </c>
      <c r="G464" s="1" t="s">
        <v>29</v>
      </c>
      <c r="H464" s="1" t="s">
        <v>12</v>
      </c>
      <c r="I464" s="12">
        <f>car_price_prediction_[[#This Row],[Mileage]]/1000</f>
        <v>40.317999999999998</v>
      </c>
      <c r="J464" s="5">
        <v>40318</v>
      </c>
      <c r="K464" s="1" t="s">
        <v>13</v>
      </c>
      <c r="L464" s="5">
        <f>car_price_prediction_[[#This Row],[Price]]/100</f>
        <v>95673.74</v>
      </c>
      <c r="M464">
        <v>9567374</v>
      </c>
      <c r="N464" s="1" t="s">
        <v>32</v>
      </c>
      <c r="O464" s="1">
        <f>IF(IFERROR(VLOOKUP(car_price_prediction_[[#This Row],[Car ID]],A465:A2964,1,FALSE),0),1,0)</f>
        <v>0</v>
      </c>
    </row>
    <row r="465" spans="1:15" x14ac:dyDescent="0.25">
      <c r="A465">
        <v>464</v>
      </c>
      <c r="B465" s="1" t="s">
        <v>30</v>
      </c>
      <c r="C465" s="1">
        <f>car_price_prediction_[[#This Row],[Year2]]</f>
        <v>2023</v>
      </c>
      <c r="D465">
        <v>2023</v>
      </c>
      <c r="E465">
        <f>car_price_prediction_[[#This Row],[Engine Size]]/10</f>
        <v>5</v>
      </c>
      <c r="F465">
        <v>50</v>
      </c>
      <c r="G465" s="1" t="s">
        <v>11</v>
      </c>
      <c r="H465" s="1" t="s">
        <v>12</v>
      </c>
      <c r="I465" s="12">
        <f>car_price_prediction_[[#This Row],[Mileage]]/1000</f>
        <v>168.09</v>
      </c>
      <c r="J465" s="5">
        <v>168090</v>
      </c>
      <c r="K465" s="1" t="s">
        <v>13</v>
      </c>
      <c r="L465" s="5">
        <f>car_price_prediction_[[#This Row],[Price]]/100</f>
        <v>85700.41</v>
      </c>
      <c r="M465">
        <v>8570041</v>
      </c>
      <c r="N465" s="1" t="s">
        <v>45</v>
      </c>
      <c r="O465" s="1">
        <f>IF(IFERROR(VLOOKUP(car_price_prediction_[[#This Row],[Car ID]],A466:A2965,1,FALSE),0),1,0)</f>
        <v>0</v>
      </c>
    </row>
    <row r="466" spans="1:15" x14ac:dyDescent="0.25">
      <c r="A466">
        <v>465</v>
      </c>
      <c r="B466" s="1" t="s">
        <v>43</v>
      </c>
      <c r="C466" s="1">
        <f>car_price_prediction_[[#This Row],[Year2]]</f>
        <v>2014</v>
      </c>
      <c r="D466">
        <v>2014</v>
      </c>
      <c r="E466">
        <f>car_price_prediction_[[#This Row],[Engine Size]]/10</f>
        <v>2.6</v>
      </c>
      <c r="F466">
        <v>26</v>
      </c>
      <c r="G466" s="1" t="s">
        <v>21</v>
      </c>
      <c r="H466" s="1" t="s">
        <v>22</v>
      </c>
      <c r="I466" s="12">
        <f>car_price_prediction_[[#This Row],[Mileage]]/1000</f>
        <v>124.078</v>
      </c>
      <c r="J466" s="5">
        <v>124078</v>
      </c>
      <c r="K466" s="1" t="s">
        <v>13</v>
      </c>
      <c r="L466" s="5">
        <f>car_price_prediction_[[#This Row],[Price]]/100</f>
        <v>95389.05</v>
      </c>
      <c r="M466">
        <v>9538905</v>
      </c>
      <c r="N466" s="1" t="s">
        <v>44</v>
      </c>
      <c r="O466" s="1">
        <f>IF(IFERROR(VLOOKUP(car_price_prediction_[[#This Row],[Car ID]],A467:A2966,1,FALSE),0),1,0)</f>
        <v>0</v>
      </c>
    </row>
    <row r="467" spans="1:15" x14ac:dyDescent="0.25">
      <c r="A467">
        <v>466</v>
      </c>
      <c r="B467" s="1" t="s">
        <v>19</v>
      </c>
      <c r="C467" s="1">
        <f>car_price_prediction_[[#This Row],[Year2]]</f>
        <v>2008</v>
      </c>
      <c r="D467">
        <v>2008</v>
      </c>
      <c r="E467">
        <f>car_price_prediction_[[#This Row],[Engine Size]]/10</f>
        <v>2.5</v>
      </c>
      <c r="F467">
        <v>25</v>
      </c>
      <c r="G467" s="1" t="s">
        <v>16</v>
      </c>
      <c r="H467" s="1" t="s">
        <v>12</v>
      </c>
      <c r="I467" s="12">
        <f>car_price_prediction_[[#This Row],[Mileage]]/1000</f>
        <v>39.759</v>
      </c>
      <c r="J467" s="5">
        <v>39759</v>
      </c>
      <c r="K467" s="1" t="s">
        <v>17</v>
      </c>
      <c r="L467" s="5">
        <f>car_price_prediction_[[#This Row],[Price]]/100</f>
        <v>58953.97</v>
      </c>
      <c r="M467">
        <v>5895397</v>
      </c>
      <c r="N467" s="1" t="s">
        <v>27</v>
      </c>
      <c r="O467" s="1">
        <f>IF(IFERROR(VLOOKUP(car_price_prediction_[[#This Row],[Car ID]],A468:A2967,1,FALSE),0),1,0)</f>
        <v>0</v>
      </c>
    </row>
    <row r="468" spans="1:15" x14ac:dyDescent="0.25">
      <c r="A468">
        <v>467</v>
      </c>
      <c r="B468" s="1" t="s">
        <v>15</v>
      </c>
      <c r="C468" s="1">
        <f>car_price_prediction_[[#This Row],[Year2]]</f>
        <v>2022</v>
      </c>
      <c r="D468">
        <v>2022</v>
      </c>
      <c r="E468">
        <f>car_price_prediction_[[#This Row],[Engine Size]]/10</f>
        <v>2.2000000000000002</v>
      </c>
      <c r="F468">
        <v>22</v>
      </c>
      <c r="G468" s="1" t="s">
        <v>21</v>
      </c>
      <c r="H468" s="1" t="s">
        <v>12</v>
      </c>
      <c r="I468" s="12">
        <f>car_price_prediction_[[#This Row],[Mileage]]/1000</f>
        <v>278.642</v>
      </c>
      <c r="J468" s="5">
        <v>278642</v>
      </c>
      <c r="K468" s="1" t="s">
        <v>25</v>
      </c>
      <c r="L468" s="5">
        <f>car_price_prediction_[[#This Row],[Price]]/100</f>
        <v>20705.82</v>
      </c>
      <c r="M468">
        <v>2070582</v>
      </c>
      <c r="N468" s="1" t="s">
        <v>35</v>
      </c>
      <c r="O468" s="1">
        <f>IF(IFERROR(VLOOKUP(car_price_prediction_[[#This Row],[Car ID]],A469:A2968,1,FALSE),0),1,0)</f>
        <v>0</v>
      </c>
    </row>
    <row r="469" spans="1:15" x14ac:dyDescent="0.25">
      <c r="A469">
        <v>468</v>
      </c>
      <c r="B469" s="1" t="s">
        <v>30</v>
      </c>
      <c r="C469" s="1">
        <f>car_price_prediction_[[#This Row],[Year2]]</f>
        <v>2018</v>
      </c>
      <c r="D469">
        <v>2018</v>
      </c>
      <c r="E469">
        <f>car_price_prediction_[[#This Row],[Engine Size]]/10</f>
        <v>1.6</v>
      </c>
      <c r="F469">
        <v>16</v>
      </c>
      <c r="G469" s="1" t="s">
        <v>21</v>
      </c>
      <c r="H469" s="1" t="s">
        <v>12</v>
      </c>
      <c r="I469" s="12">
        <f>car_price_prediction_[[#This Row],[Mileage]]/1000</f>
        <v>25.989000000000001</v>
      </c>
      <c r="J469" s="5">
        <v>25989</v>
      </c>
      <c r="K469" s="1" t="s">
        <v>25</v>
      </c>
      <c r="L469" s="5">
        <f>car_price_prediction_[[#This Row],[Price]]/100</f>
        <v>93862.62</v>
      </c>
      <c r="M469">
        <v>9386262</v>
      </c>
      <c r="N469" s="1" t="s">
        <v>45</v>
      </c>
      <c r="O469" s="1">
        <f>IF(IFERROR(VLOOKUP(car_price_prediction_[[#This Row],[Car ID]],A470:A2969,1,FALSE),0),1,0)</f>
        <v>0</v>
      </c>
    </row>
    <row r="470" spans="1:15" x14ac:dyDescent="0.25">
      <c r="A470">
        <v>469</v>
      </c>
      <c r="B470" s="1" t="s">
        <v>10</v>
      </c>
      <c r="C470" s="1">
        <f>car_price_prediction_[[#This Row],[Year2]]</f>
        <v>2008</v>
      </c>
      <c r="D470">
        <v>2008</v>
      </c>
      <c r="E470">
        <f>car_price_prediction_[[#This Row],[Engine Size]]/10</f>
        <v>2.2999999999999998</v>
      </c>
      <c r="F470">
        <v>23</v>
      </c>
      <c r="G470" s="1" t="s">
        <v>29</v>
      </c>
      <c r="H470" s="1" t="s">
        <v>12</v>
      </c>
      <c r="I470" s="12">
        <f>car_price_prediction_[[#This Row],[Mileage]]/1000</f>
        <v>156.63999999999999</v>
      </c>
      <c r="J470" s="5">
        <v>156640</v>
      </c>
      <c r="K470" s="1" t="s">
        <v>25</v>
      </c>
      <c r="L470" s="5">
        <f>car_price_prediction_[[#This Row],[Price]]/100</f>
        <v>87507.92</v>
      </c>
      <c r="M470">
        <v>8750792</v>
      </c>
      <c r="N470" s="1" t="s">
        <v>14</v>
      </c>
      <c r="O470" s="1">
        <f>IF(IFERROR(VLOOKUP(car_price_prediction_[[#This Row],[Car ID]],A471:A2970,1,FALSE),0),1,0)</f>
        <v>0</v>
      </c>
    </row>
    <row r="471" spans="1:15" x14ac:dyDescent="0.25">
      <c r="A471">
        <v>470</v>
      </c>
      <c r="B471" s="1" t="s">
        <v>43</v>
      </c>
      <c r="C471" s="1">
        <f>car_price_prediction_[[#This Row],[Year2]]</f>
        <v>2002</v>
      </c>
      <c r="D471">
        <v>2002</v>
      </c>
      <c r="E471">
        <f>car_price_prediction_[[#This Row],[Engine Size]]/10</f>
        <v>2.8</v>
      </c>
      <c r="F471">
        <v>28</v>
      </c>
      <c r="G471" s="1" t="s">
        <v>11</v>
      </c>
      <c r="H471" s="1" t="s">
        <v>12</v>
      </c>
      <c r="I471" s="12">
        <f>car_price_prediction_[[#This Row],[Mileage]]/1000</f>
        <v>161.17099999999999</v>
      </c>
      <c r="J471" s="5">
        <v>161171</v>
      </c>
      <c r="K471" s="1" t="s">
        <v>13</v>
      </c>
      <c r="L471" s="5">
        <f>car_price_prediction_[[#This Row],[Price]]/100</f>
        <v>87119.23</v>
      </c>
      <c r="M471">
        <v>8711923</v>
      </c>
      <c r="N471" s="1" t="s">
        <v>47</v>
      </c>
      <c r="O471" s="1">
        <f>IF(IFERROR(VLOOKUP(car_price_prediction_[[#This Row],[Car ID]],A472:A2971,1,FALSE),0),1,0)</f>
        <v>0</v>
      </c>
    </row>
    <row r="472" spans="1:15" x14ac:dyDescent="0.25">
      <c r="A472">
        <v>471</v>
      </c>
      <c r="B472" s="1" t="s">
        <v>15</v>
      </c>
      <c r="C472" s="1">
        <f>car_price_prediction_[[#This Row],[Year2]]</f>
        <v>2020</v>
      </c>
      <c r="D472">
        <v>2020</v>
      </c>
      <c r="E472">
        <f>car_price_prediction_[[#This Row],[Engine Size]]/10</f>
        <v>4.4000000000000004</v>
      </c>
      <c r="F472">
        <v>44</v>
      </c>
      <c r="G472" s="1" t="s">
        <v>16</v>
      </c>
      <c r="H472" s="1" t="s">
        <v>12</v>
      </c>
      <c r="I472" s="12">
        <f>car_price_prediction_[[#This Row],[Mileage]]/1000</f>
        <v>285.62599999999998</v>
      </c>
      <c r="J472" s="5">
        <v>285626</v>
      </c>
      <c r="K472" s="1" t="s">
        <v>25</v>
      </c>
      <c r="L472" s="5">
        <f>car_price_prediction_[[#This Row],[Price]]/100</f>
        <v>70861.070000000007</v>
      </c>
      <c r="M472">
        <v>7086107</v>
      </c>
      <c r="N472" s="1" t="s">
        <v>51</v>
      </c>
      <c r="O472" s="1">
        <f>IF(IFERROR(VLOOKUP(car_price_prediction_[[#This Row],[Car ID]],A473:A2972,1,FALSE),0),1,0)</f>
        <v>0</v>
      </c>
    </row>
    <row r="473" spans="1:15" x14ac:dyDescent="0.25">
      <c r="A473">
        <v>472</v>
      </c>
      <c r="B473" s="1" t="s">
        <v>19</v>
      </c>
      <c r="C473" s="1">
        <f>car_price_prediction_[[#This Row],[Year2]]</f>
        <v>2008</v>
      </c>
      <c r="D473">
        <v>2008</v>
      </c>
      <c r="E473">
        <f>car_price_prediction_[[#This Row],[Engine Size]]/10</f>
        <v>1.3</v>
      </c>
      <c r="F473">
        <v>13</v>
      </c>
      <c r="G473" s="1" t="s">
        <v>21</v>
      </c>
      <c r="H473" s="1" t="s">
        <v>12</v>
      </c>
      <c r="I473" s="12">
        <f>car_price_prediction_[[#This Row],[Mileage]]/1000</f>
        <v>292.19200000000001</v>
      </c>
      <c r="J473" s="5">
        <v>292192</v>
      </c>
      <c r="K473" s="1" t="s">
        <v>13</v>
      </c>
      <c r="L473" s="5">
        <f>car_price_prediction_[[#This Row],[Price]]/100</f>
        <v>64367.040000000001</v>
      </c>
      <c r="M473">
        <v>6436704</v>
      </c>
      <c r="N473" s="1" t="s">
        <v>27</v>
      </c>
      <c r="O473" s="1">
        <f>IF(IFERROR(VLOOKUP(car_price_prediction_[[#This Row],[Car ID]],A474:A2973,1,FALSE),0),1,0)</f>
        <v>0</v>
      </c>
    </row>
    <row r="474" spans="1:15" x14ac:dyDescent="0.25">
      <c r="A474">
        <v>473</v>
      </c>
      <c r="B474" s="1" t="s">
        <v>15</v>
      </c>
      <c r="C474" s="1">
        <f>car_price_prediction_[[#This Row],[Year2]]</f>
        <v>2013</v>
      </c>
      <c r="D474">
        <v>2013</v>
      </c>
      <c r="E474">
        <f>car_price_prediction_[[#This Row],[Engine Size]]/10</f>
        <v>2.1</v>
      </c>
      <c r="F474">
        <v>21</v>
      </c>
      <c r="G474" s="1" t="s">
        <v>11</v>
      </c>
      <c r="H474" s="1" t="s">
        <v>22</v>
      </c>
      <c r="I474" s="12">
        <f>car_price_prediction_[[#This Row],[Mileage]]/1000</f>
        <v>35.814</v>
      </c>
      <c r="J474" s="5">
        <v>35814</v>
      </c>
      <c r="K474" s="1" t="s">
        <v>17</v>
      </c>
      <c r="L474" s="5">
        <f>car_price_prediction_[[#This Row],[Price]]/100</f>
        <v>6398.77</v>
      </c>
      <c r="M474">
        <v>639877</v>
      </c>
      <c r="N474" s="1" t="s">
        <v>39</v>
      </c>
      <c r="O474" s="1">
        <f>IF(IFERROR(VLOOKUP(car_price_prediction_[[#This Row],[Car ID]],A475:A2974,1,FALSE),0),1,0)</f>
        <v>0</v>
      </c>
    </row>
    <row r="475" spans="1:15" x14ac:dyDescent="0.25">
      <c r="A475">
        <v>474</v>
      </c>
      <c r="B475" s="1" t="s">
        <v>43</v>
      </c>
      <c r="C475" s="1">
        <f>car_price_prediction_[[#This Row],[Year2]]</f>
        <v>2018</v>
      </c>
      <c r="D475">
        <v>2018</v>
      </c>
      <c r="E475">
        <f>car_price_prediction_[[#This Row],[Engine Size]]/10</f>
        <v>5</v>
      </c>
      <c r="F475">
        <v>50</v>
      </c>
      <c r="G475" s="1" t="s">
        <v>11</v>
      </c>
      <c r="H475" s="1" t="s">
        <v>22</v>
      </c>
      <c r="I475" s="12">
        <f>car_price_prediction_[[#This Row],[Mileage]]/1000</f>
        <v>190.76599999999999</v>
      </c>
      <c r="J475" s="5">
        <v>190766</v>
      </c>
      <c r="K475" s="1" t="s">
        <v>25</v>
      </c>
      <c r="L475" s="5">
        <f>car_price_prediction_[[#This Row],[Price]]/100</f>
        <v>76065.14</v>
      </c>
      <c r="M475">
        <v>7606514</v>
      </c>
      <c r="N475" s="1" t="s">
        <v>47</v>
      </c>
      <c r="O475" s="1">
        <f>IF(IFERROR(VLOOKUP(car_price_prediction_[[#This Row],[Car ID]],A476:A2975,1,FALSE),0),1,0)</f>
        <v>0</v>
      </c>
    </row>
    <row r="476" spans="1:15" x14ac:dyDescent="0.25">
      <c r="A476">
        <v>475</v>
      </c>
      <c r="B476" s="1" t="s">
        <v>36</v>
      </c>
      <c r="C476" s="1">
        <f>car_price_prediction_[[#This Row],[Year2]]</f>
        <v>2006</v>
      </c>
      <c r="D476">
        <v>2006</v>
      </c>
      <c r="E476">
        <f>car_price_prediction_[[#This Row],[Engine Size]]/10</f>
        <v>1.7</v>
      </c>
      <c r="F476">
        <v>17</v>
      </c>
      <c r="G476" s="1" t="s">
        <v>21</v>
      </c>
      <c r="H476" s="1" t="s">
        <v>22</v>
      </c>
      <c r="I476" s="12">
        <f>car_price_prediction_[[#This Row],[Mileage]]/1000</f>
        <v>60.204000000000001</v>
      </c>
      <c r="J476" s="5">
        <v>60204</v>
      </c>
      <c r="K476" s="1" t="s">
        <v>13</v>
      </c>
      <c r="L476" s="5">
        <f>car_price_prediction_[[#This Row],[Price]]/100</f>
        <v>13695.84</v>
      </c>
      <c r="M476">
        <v>1369584</v>
      </c>
      <c r="N476" s="1" t="s">
        <v>41</v>
      </c>
      <c r="O476" s="1">
        <f>IF(IFERROR(VLOOKUP(car_price_prediction_[[#This Row],[Car ID]],A477:A2976,1,FALSE),0),1,0)</f>
        <v>0</v>
      </c>
    </row>
    <row r="477" spans="1:15" x14ac:dyDescent="0.25">
      <c r="A477">
        <v>476</v>
      </c>
      <c r="B477" s="1" t="s">
        <v>36</v>
      </c>
      <c r="C477" s="1">
        <f>car_price_prediction_[[#This Row],[Year2]]</f>
        <v>2015</v>
      </c>
      <c r="D477">
        <v>2015</v>
      </c>
      <c r="E477">
        <f>car_price_prediction_[[#This Row],[Engine Size]]/10</f>
        <v>2.7</v>
      </c>
      <c r="F477">
        <v>27</v>
      </c>
      <c r="G477" s="1" t="s">
        <v>11</v>
      </c>
      <c r="H477" s="1" t="s">
        <v>22</v>
      </c>
      <c r="I477" s="12">
        <f>car_price_prediction_[[#This Row],[Mileage]]/1000</f>
        <v>32.844000000000001</v>
      </c>
      <c r="J477" s="5">
        <v>32844</v>
      </c>
      <c r="K477" s="1" t="s">
        <v>25</v>
      </c>
      <c r="L477" s="5">
        <f>car_price_prediction_[[#This Row],[Price]]/100</f>
        <v>29676.34</v>
      </c>
      <c r="M477">
        <v>2967634</v>
      </c>
      <c r="N477" s="1" t="s">
        <v>37</v>
      </c>
      <c r="O477" s="1">
        <f>IF(IFERROR(VLOOKUP(car_price_prediction_[[#This Row],[Car ID]],A478:A2977,1,FALSE),0),1,0)</f>
        <v>0</v>
      </c>
    </row>
    <row r="478" spans="1:15" x14ac:dyDescent="0.25">
      <c r="A478">
        <v>477</v>
      </c>
      <c r="B478" s="1" t="s">
        <v>15</v>
      </c>
      <c r="C478" s="1">
        <f>car_price_prediction_[[#This Row],[Year2]]</f>
        <v>2015</v>
      </c>
      <c r="D478">
        <v>2015</v>
      </c>
      <c r="E478">
        <f>car_price_prediction_[[#This Row],[Engine Size]]/10</f>
        <v>5.3</v>
      </c>
      <c r="F478">
        <v>53</v>
      </c>
      <c r="G478" s="1" t="s">
        <v>21</v>
      </c>
      <c r="H478" s="1" t="s">
        <v>12</v>
      </c>
      <c r="I478" s="12">
        <f>car_price_prediction_[[#This Row],[Mileage]]/1000</f>
        <v>248.827</v>
      </c>
      <c r="J478" s="5">
        <v>248827</v>
      </c>
      <c r="K478" s="1" t="s">
        <v>25</v>
      </c>
      <c r="L478" s="5">
        <f>car_price_prediction_[[#This Row],[Price]]/100</f>
        <v>57391.58</v>
      </c>
      <c r="M478">
        <v>5739158</v>
      </c>
      <c r="N478" s="1" t="s">
        <v>35</v>
      </c>
      <c r="O478" s="1">
        <f>IF(IFERROR(VLOOKUP(car_price_prediction_[[#This Row],[Car ID]],A479:A2978,1,FALSE),0),1,0)</f>
        <v>0</v>
      </c>
    </row>
    <row r="479" spans="1:15" x14ac:dyDescent="0.25">
      <c r="A479">
        <v>478</v>
      </c>
      <c r="B479" s="1" t="s">
        <v>24</v>
      </c>
      <c r="C479" s="1">
        <f>car_price_prediction_[[#This Row],[Year2]]</f>
        <v>2000</v>
      </c>
      <c r="D479">
        <v>2000</v>
      </c>
      <c r="E479">
        <f>car_price_prediction_[[#This Row],[Engine Size]]/10</f>
        <v>1.8</v>
      </c>
      <c r="F479">
        <v>18</v>
      </c>
      <c r="G479" s="1" t="s">
        <v>21</v>
      </c>
      <c r="H479" s="1" t="s">
        <v>22</v>
      </c>
      <c r="I479" s="12">
        <f>car_price_prediction_[[#This Row],[Mileage]]/1000</f>
        <v>245.256</v>
      </c>
      <c r="J479" s="5">
        <v>245256</v>
      </c>
      <c r="K479" s="1" t="s">
        <v>17</v>
      </c>
      <c r="L479" s="5">
        <f>car_price_prediction_[[#This Row],[Price]]/100</f>
        <v>4791.46</v>
      </c>
      <c r="M479">
        <v>479146</v>
      </c>
      <c r="N479" s="1" t="s">
        <v>34</v>
      </c>
      <c r="O479" s="1">
        <f>IF(IFERROR(VLOOKUP(car_price_prediction_[[#This Row],[Car ID]],A480:A2979,1,FALSE),0),1,0)</f>
        <v>0</v>
      </c>
    </row>
    <row r="480" spans="1:15" x14ac:dyDescent="0.25">
      <c r="A480">
        <v>479</v>
      </c>
      <c r="B480" s="1" t="s">
        <v>10</v>
      </c>
      <c r="C480" s="1">
        <f>car_price_prediction_[[#This Row],[Year2]]</f>
        <v>2003</v>
      </c>
      <c r="D480">
        <v>2003</v>
      </c>
      <c r="E480">
        <f>car_price_prediction_[[#This Row],[Engine Size]]/10</f>
        <v>1.4</v>
      </c>
      <c r="F480">
        <v>14</v>
      </c>
      <c r="G480" s="1" t="s">
        <v>21</v>
      </c>
      <c r="H480" s="1" t="s">
        <v>22</v>
      </c>
      <c r="I480" s="12">
        <f>car_price_prediction_[[#This Row],[Mileage]]/1000</f>
        <v>21.518000000000001</v>
      </c>
      <c r="J480" s="5">
        <v>21518</v>
      </c>
      <c r="K480" s="1" t="s">
        <v>25</v>
      </c>
      <c r="L480" s="5">
        <f>car_price_prediction_[[#This Row],[Price]]/100</f>
        <v>6498.57</v>
      </c>
      <c r="M480">
        <v>649857</v>
      </c>
      <c r="N480" s="1" t="s">
        <v>14</v>
      </c>
      <c r="O480" s="1">
        <f>IF(IFERROR(VLOOKUP(car_price_prediction_[[#This Row],[Car ID]],A481:A2980,1,FALSE),0),1,0)</f>
        <v>0</v>
      </c>
    </row>
    <row r="481" spans="1:15" x14ac:dyDescent="0.25">
      <c r="A481">
        <v>480</v>
      </c>
      <c r="B481" s="1" t="s">
        <v>10</v>
      </c>
      <c r="C481" s="1">
        <f>car_price_prediction_[[#This Row],[Year2]]</f>
        <v>2003</v>
      </c>
      <c r="D481">
        <v>2003</v>
      </c>
      <c r="E481">
        <f>car_price_prediction_[[#This Row],[Engine Size]]/10</f>
        <v>3.4</v>
      </c>
      <c r="F481">
        <v>34</v>
      </c>
      <c r="G481" s="1" t="s">
        <v>16</v>
      </c>
      <c r="H481" s="1" t="s">
        <v>22</v>
      </c>
      <c r="I481" s="12">
        <f>car_price_prediction_[[#This Row],[Mileage]]/1000</f>
        <v>23.052</v>
      </c>
      <c r="J481" s="5">
        <v>23052</v>
      </c>
      <c r="K481" s="1" t="s">
        <v>17</v>
      </c>
      <c r="L481" s="5">
        <f>car_price_prediction_[[#This Row],[Price]]/100</f>
        <v>83278.58</v>
      </c>
      <c r="M481">
        <v>8327858</v>
      </c>
      <c r="N481" s="1" t="s">
        <v>49</v>
      </c>
      <c r="O481" s="1">
        <f>IF(IFERROR(VLOOKUP(car_price_prediction_[[#This Row],[Car ID]],A482:A2981,1,FALSE),0),1,0)</f>
        <v>0</v>
      </c>
    </row>
    <row r="482" spans="1:15" x14ac:dyDescent="0.25">
      <c r="A482">
        <v>481</v>
      </c>
      <c r="B482" s="1" t="s">
        <v>15</v>
      </c>
      <c r="C482" s="1">
        <f>car_price_prediction_[[#This Row],[Year2]]</f>
        <v>2006</v>
      </c>
      <c r="D482">
        <v>2006</v>
      </c>
      <c r="E482">
        <f>car_price_prediction_[[#This Row],[Engine Size]]/10</f>
        <v>2.5</v>
      </c>
      <c r="F482">
        <v>25</v>
      </c>
      <c r="G482" s="1" t="s">
        <v>21</v>
      </c>
      <c r="H482" s="1" t="s">
        <v>12</v>
      </c>
      <c r="I482" s="12">
        <f>car_price_prediction_[[#This Row],[Mileage]]/1000</f>
        <v>256.346</v>
      </c>
      <c r="J482" s="5">
        <v>256346</v>
      </c>
      <c r="K482" s="1" t="s">
        <v>25</v>
      </c>
      <c r="L482" s="5">
        <f>car_price_prediction_[[#This Row],[Price]]/100</f>
        <v>88486.09</v>
      </c>
      <c r="M482">
        <v>8848609</v>
      </c>
      <c r="N482" s="1" t="s">
        <v>35</v>
      </c>
      <c r="O482" s="1">
        <f>IF(IFERROR(VLOOKUP(car_price_prediction_[[#This Row],[Car ID]],A483:A2982,1,FALSE),0),1,0)</f>
        <v>0</v>
      </c>
    </row>
    <row r="483" spans="1:15" x14ac:dyDescent="0.25">
      <c r="A483">
        <v>482</v>
      </c>
      <c r="B483" s="1" t="s">
        <v>30</v>
      </c>
      <c r="C483" s="1">
        <f>car_price_prediction_[[#This Row],[Year2]]</f>
        <v>2007</v>
      </c>
      <c r="D483">
        <v>2007</v>
      </c>
      <c r="E483">
        <f>car_price_prediction_[[#This Row],[Engine Size]]/10</f>
        <v>3.8</v>
      </c>
      <c r="F483">
        <v>38</v>
      </c>
      <c r="G483" s="1" t="s">
        <v>29</v>
      </c>
      <c r="H483" s="1" t="s">
        <v>22</v>
      </c>
      <c r="I483" s="12">
        <f>car_price_prediction_[[#This Row],[Mileage]]/1000</f>
        <v>69.802999999999997</v>
      </c>
      <c r="J483" s="5">
        <v>69803</v>
      </c>
      <c r="K483" s="1" t="s">
        <v>25</v>
      </c>
      <c r="L483" s="5">
        <f>car_price_prediction_[[#This Row],[Price]]/100</f>
        <v>69777.929999999993</v>
      </c>
      <c r="M483">
        <v>6977793</v>
      </c>
      <c r="N483" s="1" t="s">
        <v>48</v>
      </c>
      <c r="O483" s="1">
        <f>IF(IFERROR(VLOOKUP(car_price_prediction_[[#This Row],[Car ID]],A484:A2983,1,FALSE),0),1,0)</f>
        <v>0</v>
      </c>
    </row>
    <row r="484" spans="1:15" x14ac:dyDescent="0.25">
      <c r="A484">
        <v>483</v>
      </c>
      <c r="B484" s="1" t="s">
        <v>30</v>
      </c>
      <c r="C484" s="1">
        <f>car_price_prediction_[[#This Row],[Year2]]</f>
        <v>2016</v>
      </c>
      <c r="D484">
        <v>2016</v>
      </c>
      <c r="E484">
        <f>car_price_prediction_[[#This Row],[Engine Size]]/10</f>
        <v>5</v>
      </c>
      <c r="F484">
        <v>50</v>
      </c>
      <c r="G484" s="1" t="s">
        <v>11</v>
      </c>
      <c r="H484" s="1" t="s">
        <v>22</v>
      </c>
      <c r="I484" s="12">
        <f>car_price_prediction_[[#This Row],[Mileage]]/1000</f>
        <v>71.524000000000001</v>
      </c>
      <c r="J484" s="5">
        <v>71524</v>
      </c>
      <c r="K484" s="1" t="s">
        <v>25</v>
      </c>
      <c r="L484" s="5">
        <f>car_price_prediction_[[#This Row],[Price]]/100</f>
        <v>56401.45</v>
      </c>
      <c r="M484">
        <v>5640145</v>
      </c>
      <c r="N484" s="1" t="s">
        <v>45</v>
      </c>
      <c r="O484" s="1">
        <f>IF(IFERROR(VLOOKUP(car_price_prediction_[[#This Row],[Car ID]],A485:A2984,1,FALSE),0),1,0)</f>
        <v>0</v>
      </c>
    </row>
    <row r="485" spans="1:15" x14ac:dyDescent="0.25">
      <c r="A485">
        <v>484</v>
      </c>
      <c r="B485" s="1" t="s">
        <v>10</v>
      </c>
      <c r="C485" s="1">
        <f>car_price_prediction_[[#This Row],[Year2]]</f>
        <v>2004</v>
      </c>
      <c r="D485">
        <v>2004</v>
      </c>
      <c r="E485">
        <f>car_price_prediction_[[#This Row],[Engine Size]]/10</f>
        <v>1.7</v>
      </c>
      <c r="F485">
        <v>17</v>
      </c>
      <c r="G485" s="1" t="s">
        <v>16</v>
      </c>
      <c r="H485" s="1" t="s">
        <v>12</v>
      </c>
      <c r="I485" s="12">
        <f>car_price_prediction_[[#This Row],[Mileage]]/1000</f>
        <v>224.58199999999999</v>
      </c>
      <c r="J485" s="5">
        <v>224582</v>
      </c>
      <c r="K485" s="1" t="s">
        <v>25</v>
      </c>
      <c r="L485" s="5">
        <f>car_price_prediction_[[#This Row],[Price]]/100</f>
        <v>96270.09</v>
      </c>
      <c r="M485">
        <v>9627009</v>
      </c>
      <c r="N485" s="1" t="s">
        <v>14</v>
      </c>
      <c r="O485" s="1">
        <f>IF(IFERROR(VLOOKUP(car_price_prediction_[[#This Row],[Car ID]],A486:A2985,1,FALSE),0),1,0)</f>
        <v>0</v>
      </c>
    </row>
    <row r="486" spans="1:15" x14ac:dyDescent="0.25">
      <c r="A486">
        <v>485</v>
      </c>
      <c r="B486" s="1" t="s">
        <v>10</v>
      </c>
      <c r="C486" s="1">
        <f>car_price_prediction_[[#This Row],[Year2]]</f>
        <v>2006</v>
      </c>
      <c r="D486">
        <v>2006</v>
      </c>
      <c r="E486">
        <f>car_price_prediction_[[#This Row],[Engine Size]]/10</f>
        <v>3.9</v>
      </c>
      <c r="F486">
        <v>39</v>
      </c>
      <c r="G486" s="1" t="s">
        <v>11</v>
      </c>
      <c r="H486" s="1" t="s">
        <v>22</v>
      </c>
      <c r="I486" s="12">
        <f>car_price_prediction_[[#This Row],[Mileage]]/1000</f>
        <v>67.021000000000001</v>
      </c>
      <c r="J486" s="5">
        <v>67021</v>
      </c>
      <c r="K486" s="1" t="s">
        <v>25</v>
      </c>
      <c r="L486" s="5">
        <f>car_price_prediction_[[#This Row],[Price]]/100</f>
        <v>16395.84</v>
      </c>
      <c r="M486">
        <v>1639584</v>
      </c>
      <c r="N486" s="1" t="s">
        <v>33</v>
      </c>
      <c r="O486" s="1">
        <f>IF(IFERROR(VLOOKUP(car_price_prediction_[[#This Row],[Car ID]],A487:A2986,1,FALSE),0),1,0)</f>
        <v>0</v>
      </c>
    </row>
    <row r="487" spans="1:15" x14ac:dyDescent="0.25">
      <c r="A487">
        <v>486</v>
      </c>
      <c r="B487" s="1" t="s">
        <v>36</v>
      </c>
      <c r="C487" s="1">
        <f>car_price_prediction_[[#This Row],[Year2]]</f>
        <v>2019</v>
      </c>
      <c r="D487">
        <v>2019</v>
      </c>
      <c r="E487">
        <f>car_price_prediction_[[#This Row],[Engine Size]]/10</f>
        <v>3.5</v>
      </c>
      <c r="F487">
        <v>35</v>
      </c>
      <c r="G487" s="1" t="s">
        <v>16</v>
      </c>
      <c r="H487" s="1" t="s">
        <v>12</v>
      </c>
      <c r="I487" s="12">
        <f>car_price_prediction_[[#This Row],[Mileage]]/1000</f>
        <v>211.321</v>
      </c>
      <c r="J487" s="5">
        <v>211321</v>
      </c>
      <c r="K487" s="1" t="s">
        <v>25</v>
      </c>
      <c r="L487" s="5">
        <f>car_price_prediction_[[#This Row],[Price]]/100</f>
        <v>75101.460000000006</v>
      </c>
      <c r="M487">
        <v>7510146</v>
      </c>
      <c r="N487" s="1" t="s">
        <v>37</v>
      </c>
      <c r="O487" s="1">
        <f>IF(IFERROR(VLOOKUP(car_price_prediction_[[#This Row],[Car ID]],A488:A2987,1,FALSE),0),1,0)</f>
        <v>0</v>
      </c>
    </row>
    <row r="488" spans="1:15" x14ac:dyDescent="0.25">
      <c r="A488">
        <v>487</v>
      </c>
      <c r="B488" s="1" t="s">
        <v>24</v>
      </c>
      <c r="C488" s="1">
        <f>car_price_prediction_[[#This Row],[Year2]]</f>
        <v>2019</v>
      </c>
      <c r="D488">
        <v>2019</v>
      </c>
      <c r="E488">
        <f>car_price_prediction_[[#This Row],[Engine Size]]/10</f>
        <v>1.7</v>
      </c>
      <c r="F488">
        <v>17</v>
      </c>
      <c r="G488" s="1" t="s">
        <v>29</v>
      </c>
      <c r="H488" s="1" t="s">
        <v>22</v>
      </c>
      <c r="I488" s="12">
        <f>car_price_prediction_[[#This Row],[Mileage]]/1000</f>
        <v>282.18700000000001</v>
      </c>
      <c r="J488" s="5">
        <v>282187</v>
      </c>
      <c r="K488" s="1" t="s">
        <v>17</v>
      </c>
      <c r="L488" s="5">
        <f>car_price_prediction_[[#This Row],[Price]]/100</f>
        <v>17194.259999999998</v>
      </c>
      <c r="M488">
        <v>1719426</v>
      </c>
      <c r="N488" s="1" t="s">
        <v>32</v>
      </c>
      <c r="O488" s="1">
        <f>IF(IFERROR(VLOOKUP(car_price_prediction_[[#This Row],[Car ID]],A489:A2988,1,FALSE),0),1,0)</f>
        <v>0</v>
      </c>
    </row>
    <row r="489" spans="1:15" x14ac:dyDescent="0.25">
      <c r="A489">
        <v>488</v>
      </c>
      <c r="B489" s="1" t="s">
        <v>43</v>
      </c>
      <c r="C489" s="1">
        <f>car_price_prediction_[[#This Row],[Year2]]</f>
        <v>2003</v>
      </c>
      <c r="D489">
        <v>2003</v>
      </c>
      <c r="E489">
        <f>car_price_prediction_[[#This Row],[Engine Size]]/10</f>
        <v>4.0999999999999996</v>
      </c>
      <c r="F489">
        <v>41</v>
      </c>
      <c r="G489" s="1" t="s">
        <v>16</v>
      </c>
      <c r="H489" s="1" t="s">
        <v>12</v>
      </c>
      <c r="I489" s="12">
        <f>car_price_prediction_[[#This Row],[Mileage]]/1000</f>
        <v>2.419</v>
      </c>
      <c r="J489" s="5">
        <v>2419</v>
      </c>
      <c r="K489" s="1" t="s">
        <v>17</v>
      </c>
      <c r="L489" s="5">
        <f>car_price_prediction_[[#This Row],[Price]]/100</f>
        <v>41275.26</v>
      </c>
      <c r="M489">
        <v>4127526</v>
      </c>
      <c r="N489" s="1" t="s">
        <v>50</v>
      </c>
      <c r="O489" s="1">
        <f>IF(IFERROR(VLOOKUP(car_price_prediction_[[#This Row],[Car ID]],A490:A2989,1,FALSE),0),1,0)</f>
        <v>0</v>
      </c>
    </row>
    <row r="490" spans="1:15" x14ac:dyDescent="0.25">
      <c r="A490">
        <v>489</v>
      </c>
      <c r="B490" s="1" t="s">
        <v>30</v>
      </c>
      <c r="C490" s="1">
        <f>car_price_prediction_[[#This Row],[Year2]]</f>
        <v>2005</v>
      </c>
      <c r="D490">
        <v>2005</v>
      </c>
      <c r="E490">
        <f>car_price_prediction_[[#This Row],[Engine Size]]/10</f>
        <v>2.4</v>
      </c>
      <c r="F490">
        <v>24</v>
      </c>
      <c r="G490" s="1" t="s">
        <v>16</v>
      </c>
      <c r="H490" s="1" t="s">
        <v>22</v>
      </c>
      <c r="I490" s="12">
        <f>car_price_prediction_[[#This Row],[Mileage]]/1000</f>
        <v>187.964</v>
      </c>
      <c r="J490" s="5">
        <v>187964</v>
      </c>
      <c r="K490" s="1" t="s">
        <v>13</v>
      </c>
      <c r="L490" s="5">
        <f>car_price_prediction_[[#This Row],[Price]]/100</f>
        <v>60621.03</v>
      </c>
      <c r="M490">
        <v>6062103</v>
      </c>
      <c r="N490" s="1" t="s">
        <v>31</v>
      </c>
      <c r="O490" s="1">
        <f>IF(IFERROR(VLOOKUP(car_price_prediction_[[#This Row],[Car ID]],A491:A2990,1,FALSE),0),1,0)</f>
        <v>0</v>
      </c>
    </row>
    <row r="491" spans="1:15" x14ac:dyDescent="0.25">
      <c r="A491">
        <v>490</v>
      </c>
      <c r="B491" s="1" t="s">
        <v>10</v>
      </c>
      <c r="C491" s="1">
        <f>car_price_prediction_[[#This Row],[Year2]]</f>
        <v>2006</v>
      </c>
      <c r="D491">
        <v>2006</v>
      </c>
      <c r="E491">
        <f>car_price_prediction_[[#This Row],[Engine Size]]/10</f>
        <v>3.4</v>
      </c>
      <c r="F491">
        <v>34</v>
      </c>
      <c r="G491" s="1" t="s">
        <v>16</v>
      </c>
      <c r="H491" s="1" t="s">
        <v>22</v>
      </c>
      <c r="I491" s="12">
        <f>car_price_prediction_[[#This Row],[Mileage]]/1000</f>
        <v>121.831</v>
      </c>
      <c r="J491" s="5">
        <v>121831</v>
      </c>
      <c r="K491" s="1" t="s">
        <v>25</v>
      </c>
      <c r="L491" s="5">
        <f>car_price_prediction_[[#This Row],[Price]]/100</f>
        <v>75023.33</v>
      </c>
      <c r="M491">
        <v>7502333</v>
      </c>
      <c r="N491" s="1" t="s">
        <v>49</v>
      </c>
      <c r="O491" s="1">
        <f>IF(IFERROR(VLOOKUP(car_price_prediction_[[#This Row],[Car ID]],A492:A2991,1,FALSE),0),1,0)</f>
        <v>0</v>
      </c>
    </row>
    <row r="492" spans="1:15" x14ac:dyDescent="0.25">
      <c r="A492">
        <v>491</v>
      </c>
      <c r="B492" s="1" t="s">
        <v>36</v>
      </c>
      <c r="C492" s="1">
        <f>car_price_prediction_[[#This Row],[Year2]]</f>
        <v>2017</v>
      </c>
      <c r="D492">
        <v>2017</v>
      </c>
      <c r="E492">
        <f>car_price_prediction_[[#This Row],[Engine Size]]/10</f>
        <v>1.4</v>
      </c>
      <c r="F492">
        <v>14</v>
      </c>
      <c r="G492" s="1" t="s">
        <v>11</v>
      </c>
      <c r="H492" s="1" t="s">
        <v>22</v>
      </c>
      <c r="I492" s="12">
        <f>car_price_prediction_[[#This Row],[Mileage]]/1000</f>
        <v>244.68799999999999</v>
      </c>
      <c r="J492" s="5">
        <v>244688</v>
      </c>
      <c r="K492" s="1" t="s">
        <v>17</v>
      </c>
      <c r="L492" s="5">
        <f>car_price_prediction_[[#This Row],[Price]]/100</f>
        <v>5353.03</v>
      </c>
      <c r="M492">
        <v>535303</v>
      </c>
      <c r="N492" s="1" t="s">
        <v>37</v>
      </c>
      <c r="O492" s="1">
        <f>IF(IFERROR(VLOOKUP(car_price_prediction_[[#This Row],[Car ID]],A493:A2992,1,FALSE),0),1,0)</f>
        <v>0</v>
      </c>
    </row>
    <row r="493" spans="1:15" x14ac:dyDescent="0.25">
      <c r="A493">
        <v>492</v>
      </c>
      <c r="B493" s="1" t="s">
        <v>19</v>
      </c>
      <c r="C493" s="1">
        <f>car_price_prediction_[[#This Row],[Year2]]</f>
        <v>2004</v>
      </c>
      <c r="D493">
        <v>2004</v>
      </c>
      <c r="E493">
        <f>car_price_prediction_[[#This Row],[Engine Size]]/10</f>
        <v>3.3</v>
      </c>
      <c r="F493">
        <v>33</v>
      </c>
      <c r="G493" s="1" t="s">
        <v>21</v>
      </c>
      <c r="H493" s="1" t="s">
        <v>12</v>
      </c>
      <c r="I493" s="12">
        <f>car_price_prediction_[[#This Row],[Mileage]]/1000</f>
        <v>101.79900000000001</v>
      </c>
      <c r="J493" s="5">
        <v>101799</v>
      </c>
      <c r="K493" s="1" t="s">
        <v>25</v>
      </c>
      <c r="L493" s="5">
        <f>car_price_prediction_[[#This Row],[Price]]/100</f>
        <v>2975.68</v>
      </c>
      <c r="M493">
        <v>297568</v>
      </c>
      <c r="N493" s="1" t="s">
        <v>28</v>
      </c>
      <c r="O493" s="1">
        <f>IF(IFERROR(VLOOKUP(car_price_prediction_[[#This Row],[Car ID]],A494:A2993,1,FALSE),0),1,0)</f>
        <v>0</v>
      </c>
    </row>
    <row r="494" spans="1:15" x14ac:dyDescent="0.25">
      <c r="A494">
        <v>493</v>
      </c>
      <c r="B494" s="1" t="s">
        <v>36</v>
      </c>
      <c r="C494" s="1">
        <f>car_price_prediction_[[#This Row],[Year2]]</f>
        <v>2019</v>
      </c>
      <c r="D494">
        <v>2019</v>
      </c>
      <c r="E494">
        <f>car_price_prediction_[[#This Row],[Engine Size]]/10</f>
        <v>2.5</v>
      </c>
      <c r="F494">
        <v>25</v>
      </c>
      <c r="G494" s="1" t="s">
        <v>11</v>
      </c>
      <c r="H494" s="1" t="s">
        <v>22</v>
      </c>
      <c r="I494" s="12">
        <f>car_price_prediction_[[#This Row],[Mileage]]/1000</f>
        <v>194.941</v>
      </c>
      <c r="J494" s="5">
        <v>194941</v>
      </c>
      <c r="K494" s="1" t="s">
        <v>25</v>
      </c>
      <c r="L494" s="5">
        <f>car_price_prediction_[[#This Row],[Price]]/100</f>
        <v>56129.04</v>
      </c>
      <c r="M494">
        <v>5612904</v>
      </c>
      <c r="N494" s="1" t="s">
        <v>37</v>
      </c>
      <c r="O494" s="1">
        <f>IF(IFERROR(VLOOKUP(car_price_prediction_[[#This Row],[Car ID]],A495:A2994,1,FALSE),0),1,0)</f>
        <v>0</v>
      </c>
    </row>
    <row r="495" spans="1:15" x14ac:dyDescent="0.25">
      <c r="A495">
        <v>494</v>
      </c>
      <c r="B495" s="1" t="s">
        <v>30</v>
      </c>
      <c r="C495" s="1">
        <f>car_price_prediction_[[#This Row],[Year2]]</f>
        <v>2002</v>
      </c>
      <c r="D495">
        <v>2002</v>
      </c>
      <c r="E495">
        <f>car_price_prediction_[[#This Row],[Engine Size]]/10</f>
        <v>5.0999999999999996</v>
      </c>
      <c r="F495">
        <v>51</v>
      </c>
      <c r="G495" s="1" t="s">
        <v>21</v>
      </c>
      <c r="H495" s="1" t="s">
        <v>12</v>
      </c>
      <c r="I495" s="12">
        <f>car_price_prediction_[[#This Row],[Mileage]]/1000</f>
        <v>176.28200000000001</v>
      </c>
      <c r="J495" s="5">
        <v>176282</v>
      </c>
      <c r="K495" s="1" t="s">
        <v>17</v>
      </c>
      <c r="L495" s="5">
        <f>car_price_prediction_[[#This Row],[Price]]/100</f>
        <v>5562.3</v>
      </c>
      <c r="M495">
        <v>556230</v>
      </c>
      <c r="N495" s="1" t="s">
        <v>48</v>
      </c>
      <c r="O495" s="1">
        <f>IF(IFERROR(VLOOKUP(car_price_prediction_[[#This Row],[Car ID]],A496:A2995,1,FALSE),0),1,0)</f>
        <v>0</v>
      </c>
    </row>
    <row r="496" spans="1:15" x14ac:dyDescent="0.25">
      <c r="A496">
        <v>495</v>
      </c>
      <c r="B496" s="1" t="s">
        <v>30</v>
      </c>
      <c r="C496" s="1">
        <f>car_price_prediction_[[#This Row],[Year2]]</f>
        <v>2006</v>
      </c>
      <c r="D496">
        <v>2006</v>
      </c>
      <c r="E496">
        <f>car_price_prediction_[[#This Row],[Engine Size]]/10</f>
        <v>1.3</v>
      </c>
      <c r="F496">
        <v>13</v>
      </c>
      <c r="G496" s="1" t="s">
        <v>11</v>
      </c>
      <c r="H496" s="1" t="s">
        <v>12</v>
      </c>
      <c r="I496" s="12">
        <f>car_price_prediction_[[#This Row],[Mileage]]/1000</f>
        <v>108.611</v>
      </c>
      <c r="J496" s="5">
        <v>108611</v>
      </c>
      <c r="K496" s="1" t="s">
        <v>25</v>
      </c>
      <c r="L496" s="5">
        <f>car_price_prediction_[[#This Row],[Price]]/100</f>
        <v>65574.509999999995</v>
      </c>
      <c r="M496">
        <v>6557451</v>
      </c>
      <c r="N496" s="1" t="s">
        <v>31</v>
      </c>
      <c r="O496" s="1">
        <f>IF(IFERROR(VLOOKUP(car_price_prediction_[[#This Row],[Car ID]],A497:A2996,1,FALSE),0),1,0)</f>
        <v>0</v>
      </c>
    </row>
    <row r="497" spans="1:15" x14ac:dyDescent="0.25">
      <c r="A497">
        <v>496</v>
      </c>
      <c r="B497" s="1" t="s">
        <v>36</v>
      </c>
      <c r="C497" s="1">
        <f>car_price_prediction_[[#This Row],[Year2]]</f>
        <v>2021</v>
      </c>
      <c r="D497">
        <v>2021</v>
      </c>
      <c r="E497">
        <f>car_price_prediction_[[#This Row],[Engine Size]]/10</f>
        <v>3.1</v>
      </c>
      <c r="F497">
        <v>31</v>
      </c>
      <c r="G497" s="1" t="s">
        <v>29</v>
      </c>
      <c r="H497" s="1" t="s">
        <v>12</v>
      </c>
      <c r="I497" s="12">
        <f>car_price_prediction_[[#This Row],[Mileage]]/1000</f>
        <v>137.559</v>
      </c>
      <c r="J497" s="5">
        <v>137559</v>
      </c>
      <c r="K497" s="1" t="s">
        <v>17</v>
      </c>
      <c r="L497" s="5">
        <f>car_price_prediction_[[#This Row],[Price]]/100</f>
        <v>33866.089999999997</v>
      </c>
      <c r="M497">
        <v>3386609</v>
      </c>
      <c r="N497" s="1" t="s">
        <v>40</v>
      </c>
      <c r="O497" s="1">
        <f>IF(IFERROR(VLOOKUP(car_price_prediction_[[#This Row],[Car ID]],A498:A2997,1,FALSE),0),1,0)</f>
        <v>0</v>
      </c>
    </row>
    <row r="498" spans="1:15" x14ac:dyDescent="0.25">
      <c r="A498">
        <v>497</v>
      </c>
      <c r="B498" s="1" t="s">
        <v>43</v>
      </c>
      <c r="C498" s="1">
        <f>car_price_prediction_[[#This Row],[Year2]]</f>
        <v>2013</v>
      </c>
      <c r="D498">
        <v>2013</v>
      </c>
      <c r="E498">
        <f>car_price_prediction_[[#This Row],[Engine Size]]/10</f>
        <v>3.3</v>
      </c>
      <c r="F498">
        <v>33</v>
      </c>
      <c r="G498" s="1" t="s">
        <v>29</v>
      </c>
      <c r="H498" s="1" t="s">
        <v>12</v>
      </c>
      <c r="I498" s="12">
        <f>car_price_prediction_[[#This Row],[Mileage]]/1000</f>
        <v>62.112000000000002</v>
      </c>
      <c r="J498" s="5">
        <v>62112</v>
      </c>
      <c r="K498" s="1" t="s">
        <v>17</v>
      </c>
      <c r="L498" s="5">
        <f>car_price_prediction_[[#This Row],[Price]]/100</f>
        <v>56350.28</v>
      </c>
      <c r="M498">
        <v>5635028</v>
      </c>
      <c r="N498" s="1" t="s">
        <v>47</v>
      </c>
      <c r="O498" s="1">
        <f>IF(IFERROR(VLOOKUP(car_price_prediction_[[#This Row],[Car ID]],A499:A2998,1,FALSE),0),1,0)</f>
        <v>0</v>
      </c>
    </row>
    <row r="499" spans="1:15" x14ac:dyDescent="0.25">
      <c r="A499">
        <v>498</v>
      </c>
      <c r="B499" s="1" t="s">
        <v>15</v>
      </c>
      <c r="C499" s="1">
        <f>car_price_prediction_[[#This Row],[Year2]]</f>
        <v>2006</v>
      </c>
      <c r="D499">
        <v>2006</v>
      </c>
      <c r="E499">
        <f>car_price_prediction_[[#This Row],[Engine Size]]/10</f>
        <v>4.5999999999999996</v>
      </c>
      <c r="F499">
        <v>46</v>
      </c>
      <c r="G499" s="1" t="s">
        <v>16</v>
      </c>
      <c r="H499" s="1" t="s">
        <v>22</v>
      </c>
      <c r="I499" s="12">
        <f>car_price_prediction_[[#This Row],[Mileage]]/1000</f>
        <v>239.04</v>
      </c>
      <c r="J499" s="5">
        <v>239040</v>
      </c>
      <c r="K499" s="1" t="s">
        <v>13</v>
      </c>
      <c r="L499" s="5">
        <f>car_price_prediction_[[#This Row],[Price]]/100</f>
        <v>23029.74</v>
      </c>
      <c r="M499">
        <v>2302974</v>
      </c>
      <c r="N499" s="1" t="s">
        <v>18</v>
      </c>
      <c r="O499" s="1">
        <f>IF(IFERROR(VLOOKUP(car_price_prediction_[[#This Row],[Car ID]],A500:A2999,1,FALSE),0),1,0)</f>
        <v>0</v>
      </c>
    </row>
    <row r="500" spans="1:15" x14ac:dyDescent="0.25">
      <c r="A500">
        <v>499</v>
      </c>
      <c r="B500" s="1" t="s">
        <v>30</v>
      </c>
      <c r="C500" s="1">
        <f>car_price_prediction_[[#This Row],[Year2]]</f>
        <v>2004</v>
      </c>
      <c r="D500">
        <v>2004</v>
      </c>
      <c r="E500">
        <f>car_price_prediction_[[#This Row],[Engine Size]]/10</f>
        <v>3.9</v>
      </c>
      <c r="F500">
        <v>39</v>
      </c>
      <c r="G500" s="1" t="s">
        <v>29</v>
      </c>
      <c r="H500" s="1" t="s">
        <v>22</v>
      </c>
      <c r="I500" s="12">
        <f>car_price_prediction_[[#This Row],[Mileage]]/1000</f>
        <v>278.50400000000002</v>
      </c>
      <c r="J500" s="5">
        <v>278504</v>
      </c>
      <c r="K500" s="1" t="s">
        <v>13</v>
      </c>
      <c r="L500" s="5">
        <f>car_price_prediction_[[#This Row],[Price]]/100</f>
        <v>22752.86</v>
      </c>
      <c r="M500">
        <v>2275286</v>
      </c>
      <c r="N500" s="1" t="s">
        <v>42</v>
      </c>
      <c r="O500" s="1">
        <f>IF(IFERROR(VLOOKUP(car_price_prediction_[[#This Row],[Car ID]],A501:A3000,1,FALSE),0),1,0)</f>
        <v>0</v>
      </c>
    </row>
    <row r="501" spans="1:15" x14ac:dyDescent="0.25">
      <c r="A501">
        <v>500</v>
      </c>
      <c r="B501" s="1" t="s">
        <v>36</v>
      </c>
      <c r="C501" s="1">
        <f>car_price_prediction_[[#This Row],[Year2]]</f>
        <v>2021</v>
      </c>
      <c r="D501">
        <v>2021</v>
      </c>
      <c r="E501">
        <f>car_price_prediction_[[#This Row],[Engine Size]]/10</f>
        <v>4.3</v>
      </c>
      <c r="F501">
        <v>43</v>
      </c>
      <c r="G501" s="1" t="s">
        <v>16</v>
      </c>
      <c r="H501" s="1" t="s">
        <v>22</v>
      </c>
      <c r="I501" s="12">
        <f>car_price_prediction_[[#This Row],[Mileage]]/1000</f>
        <v>233.45099999999999</v>
      </c>
      <c r="J501" s="5">
        <v>233451</v>
      </c>
      <c r="K501" s="1" t="s">
        <v>13</v>
      </c>
      <c r="L501" s="5">
        <f>car_price_prediction_[[#This Row],[Price]]/100</f>
        <v>59773.58</v>
      </c>
      <c r="M501">
        <v>5977358</v>
      </c>
      <c r="N501" s="1" t="s">
        <v>37</v>
      </c>
      <c r="O501" s="1">
        <f>IF(IFERROR(VLOOKUP(car_price_prediction_[[#This Row],[Car ID]],A502:A3001,1,FALSE),0),1,0)</f>
        <v>0</v>
      </c>
    </row>
    <row r="502" spans="1:15" x14ac:dyDescent="0.25">
      <c r="A502">
        <v>501</v>
      </c>
      <c r="B502" s="1" t="s">
        <v>10</v>
      </c>
      <c r="C502" s="1">
        <f>car_price_prediction_[[#This Row],[Year2]]</f>
        <v>2004</v>
      </c>
      <c r="D502">
        <v>2004</v>
      </c>
      <c r="E502">
        <f>car_price_prediction_[[#This Row],[Engine Size]]/10</f>
        <v>4.9000000000000004</v>
      </c>
      <c r="F502">
        <v>49</v>
      </c>
      <c r="G502" s="1" t="s">
        <v>21</v>
      </c>
      <c r="H502" s="1" t="s">
        <v>12</v>
      </c>
      <c r="I502" s="12">
        <f>car_price_prediction_[[#This Row],[Mileage]]/1000</f>
        <v>221.49</v>
      </c>
      <c r="J502" s="5">
        <v>221490</v>
      </c>
      <c r="K502" s="1" t="s">
        <v>13</v>
      </c>
      <c r="L502" s="5">
        <f>car_price_prediction_[[#This Row],[Price]]/100</f>
        <v>7011.99</v>
      </c>
      <c r="M502">
        <v>701199</v>
      </c>
      <c r="N502" s="1" t="s">
        <v>14</v>
      </c>
      <c r="O502" s="1">
        <f>IF(IFERROR(VLOOKUP(car_price_prediction_[[#This Row],[Car ID]],A503:A3002,1,FALSE),0),1,0)</f>
        <v>0</v>
      </c>
    </row>
    <row r="503" spans="1:15" x14ac:dyDescent="0.25">
      <c r="A503">
        <v>502</v>
      </c>
      <c r="B503" s="1" t="s">
        <v>36</v>
      </c>
      <c r="C503" s="1">
        <f>car_price_prediction_[[#This Row],[Year2]]</f>
        <v>2022</v>
      </c>
      <c r="D503">
        <v>2022</v>
      </c>
      <c r="E503">
        <f>car_price_prediction_[[#This Row],[Engine Size]]/10</f>
        <v>5.3</v>
      </c>
      <c r="F503">
        <v>53</v>
      </c>
      <c r="G503" s="1" t="s">
        <v>29</v>
      </c>
      <c r="H503" s="1" t="s">
        <v>22</v>
      </c>
      <c r="I503" s="12">
        <f>car_price_prediction_[[#This Row],[Mileage]]/1000</f>
        <v>265.161</v>
      </c>
      <c r="J503" s="5">
        <v>265161</v>
      </c>
      <c r="K503" s="1" t="s">
        <v>25</v>
      </c>
      <c r="L503" s="5">
        <f>car_price_prediction_[[#This Row],[Price]]/100</f>
        <v>1643.8</v>
      </c>
      <c r="M503">
        <v>164380</v>
      </c>
      <c r="N503" s="1" t="s">
        <v>37</v>
      </c>
      <c r="O503" s="1">
        <f>IF(IFERROR(VLOOKUP(car_price_prediction_[[#This Row],[Car ID]],A504:A3003,1,FALSE),0),1,0)</f>
        <v>0</v>
      </c>
    </row>
    <row r="504" spans="1:15" x14ac:dyDescent="0.25">
      <c r="A504">
        <v>503</v>
      </c>
      <c r="B504" s="1" t="s">
        <v>24</v>
      </c>
      <c r="C504" s="1">
        <f>car_price_prediction_[[#This Row],[Year2]]</f>
        <v>2001</v>
      </c>
      <c r="D504">
        <v>2001</v>
      </c>
      <c r="E504">
        <f>car_price_prediction_[[#This Row],[Engine Size]]/10</f>
        <v>2.6</v>
      </c>
      <c r="F504">
        <v>26</v>
      </c>
      <c r="G504" s="1" t="s">
        <v>21</v>
      </c>
      <c r="H504" s="1" t="s">
        <v>12</v>
      </c>
      <c r="I504" s="12">
        <f>car_price_prediction_[[#This Row],[Mileage]]/1000</f>
        <v>191.196</v>
      </c>
      <c r="J504" s="5">
        <v>191196</v>
      </c>
      <c r="K504" s="1" t="s">
        <v>25</v>
      </c>
      <c r="L504" s="5">
        <f>car_price_prediction_[[#This Row],[Price]]/100</f>
        <v>16665.04</v>
      </c>
      <c r="M504">
        <v>1666504</v>
      </c>
      <c r="N504" s="1" t="s">
        <v>26</v>
      </c>
      <c r="O504" s="1">
        <f>IF(IFERROR(VLOOKUP(car_price_prediction_[[#This Row],[Car ID]],A505:A3004,1,FALSE),0),1,0)</f>
        <v>0</v>
      </c>
    </row>
    <row r="505" spans="1:15" x14ac:dyDescent="0.25">
      <c r="A505">
        <v>504</v>
      </c>
      <c r="B505" s="1" t="s">
        <v>15</v>
      </c>
      <c r="C505" s="1">
        <f>car_price_prediction_[[#This Row],[Year2]]</f>
        <v>2020</v>
      </c>
      <c r="D505">
        <v>2020</v>
      </c>
      <c r="E505">
        <f>car_price_prediction_[[#This Row],[Engine Size]]/10</f>
        <v>3.7</v>
      </c>
      <c r="F505">
        <v>37</v>
      </c>
      <c r="G505" s="1" t="s">
        <v>11</v>
      </c>
      <c r="H505" s="1" t="s">
        <v>12</v>
      </c>
      <c r="I505" s="12">
        <f>car_price_prediction_[[#This Row],[Mileage]]/1000</f>
        <v>247.41800000000001</v>
      </c>
      <c r="J505" s="5">
        <v>247418</v>
      </c>
      <c r="K505" s="1" t="s">
        <v>13</v>
      </c>
      <c r="L505" s="5">
        <f>car_price_prediction_[[#This Row],[Price]]/100</f>
        <v>58703.76</v>
      </c>
      <c r="M505">
        <v>5870376</v>
      </c>
      <c r="N505" s="1" t="s">
        <v>18</v>
      </c>
      <c r="O505" s="1">
        <f>IF(IFERROR(VLOOKUP(car_price_prediction_[[#This Row],[Car ID]],A506:A3005,1,FALSE),0),1,0)</f>
        <v>0</v>
      </c>
    </row>
    <row r="506" spans="1:15" x14ac:dyDescent="0.25">
      <c r="A506">
        <v>505</v>
      </c>
      <c r="B506" s="1" t="s">
        <v>19</v>
      </c>
      <c r="C506" s="1">
        <f>car_price_prediction_[[#This Row],[Year2]]</f>
        <v>2021</v>
      </c>
      <c r="D506">
        <v>2021</v>
      </c>
      <c r="E506">
        <f>car_price_prediction_[[#This Row],[Engine Size]]/10</f>
        <v>5.2</v>
      </c>
      <c r="F506">
        <v>52</v>
      </c>
      <c r="G506" s="1" t="s">
        <v>21</v>
      </c>
      <c r="H506" s="1" t="s">
        <v>12</v>
      </c>
      <c r="I506" s="12">
        <f>car_price_prediction_[[#This Row],[Mileage]]/1000</f>
        <v>221.37</v>
      </c>
      <c r="J506" s="5">
        <v>221370</v>
      </c>
      <c r="K506" s="1" t="s">
        <v>17</v>
      </c>
      <c r="L506" s="5">
        <f>car_price_prediction_[[#This Row],[Price]]/100</f>
        <v>3065.91</v>
      </c>
      <c r="M506">
        <v>306591</v>
      </c>
      <c r="N506" s="1" t="s">
        <v>27</v>
      </c>
      <c r="O506" s="1">
        <f>IF(IFERROR(VLOOKUP(car_price_prediction_[[#This Row],[Car ID]],A507:A3006,1,FALSE),0),1,0)</f>
        <v>0</v>
      </c>
    </row>
    <row r="507" spans="1:15" x14ac:dyDescent="0.25">
      <c r="A507">
        <v>506</v>
      </c>
      <c r="B507" s="1" t="s">
        <v>43</v>
      </c>
      <c r="C507" s="1">
        <f>car_price_prediction_[[#This Row],[Year2]]</f>
        <v>2005</v>
      </c>
      <c r="D507">
        <v>2005</v>
      </c>
      <c r="E507">
        <f>car_price_prediction_[[#This Row],[Engine Size]]/10</f>
        <v>5.9</v>
      </c>
      <c r="F507">
        <v>59</v>
      </c>
      <c r="G507" s="1" t="s">
        <v>11</v>
      </c>
      <c r="H507" s="1" t="s">
        <v>22</v>
      </c>
      <c r="I507" s="12">
        <f>car_price_prediction_[[#This Row],[Mileage]]/1000</f>
        <v>189.34</v>
      </c>
      <c r="J507" s="5">
        <v>189340</v>
      </c>
      <c r="K507" s="1" t="s">
        <v>17</v>
      </c>
      <c r="L507" s="5">
        <f>car_price_prediction_[[#This Row],[Price]]/100</f>
        <v>42277.91</v>
      </c>
      <c r="M507">
        <v>4227791</v>
      </c>
      <c r="N507" s="1" t="s">
        <v>47</v>
      </c>
      <c r="O507" s="1">
        <f>IF(IFERROR(VLOOKUP(car_price_prediction_[[#This Row],[Car ID]],A508:A3007,1,FALSE),0),1,0)</f>
        <v>0</v>
      </c>
    </row>
    <row r="508" spans="1:15" x14ac:dyDescent="0.25">
      <c r="A508">
        <v>507</v>
      </c>
      <c r="B508" s="1" t="s">
        <v>19</v>
      </c>
      <c r="C508" s="1">
        <f>car_price_prediction_[[#This Row],[Year2]]</f>
        <v>2014</v>
      </c>
      <c r="D508">
        <v>2014</v>
      </c>
      <c r="E508">
        <f>car_price_prediction_[[#This Row],[Engine Size]]/10</f>
        <v>5.4</v>
      </c>
      <c r="F508">
        <v>54</v>
      </c>
      <c r="G508" s="1" t="s">
        <v>21</v>
      </c>
      <c r="H508" s="1" t="s">
        <v>22</v>
      </c>
      <c r="I508" s="12">
        <f>car_price_prediction_[[#This Row],[Mileage]]/1000</f>
        <v>66.319999999999993</v>
      </c>
      <c r="J508" s="5">
        <v>66320</v>
      </c>
      <c r="K508" s="1" t="s">
        <v>17</v>
      </c>
      <c r="L508" s="5">
        <f>car_price_prediction_[[#This Row],[Price]]/100</f>
        <v>4307.1099999999997</v>
      </c>
      <c r="M508">
        <v>430711</v>
      </c>
      <c r="N508" s="1" t="s">
        <v>38</v>
      </c>
      <c r="O508" s="1">
        <f>IF(IFERROR(VLOOKUP(car_price_prediction_[[#This Row],[Car ID]],A509:A3008,1,FALSE),0),1,0)</f>
        <v>0</v>
      </c>
    </row>
    <row r="509" spans="1:15" x14ac:dyDescent="0.25">
      <c r="A509">
        <v>508</v>
      </c>
      <c r="B509" s="1" t="s">
        <v>15</v>
      </c>
      <c r="C509" s="1">
        <f>car_price_prediction_[[#This Row],[Year2]]</f>
        <v>2020</v>
      </c>
      <c r="D509">
        <v>2020</v>
      </c>
      <c r="E509">
        <f>car_price_prediction_[[#This Row],[Engine Size]]/10</f>
        <v>2.9</v>
      </c>
      <c r="F509">
        <v>29</v>
      </c>
      <c r="G509" s="1" t="s">
        <v>21</v>
      </c>
      <c r="H509" s="1" t="s">
        <v>12</v>
      </c>
      <c r="I509" s="12">
        <f>car_price_prediction_[[#This Row],[Mileage]]/1000</f>
        <v>235.06700000000001</v>
      </c>
      <c r="J509" s="5">
        <v>235067</v>
      </c>
      <c r="K509" s="1" t="s">
        <v>17</v>
      </c>
      <c r="L509" s="5">
        <f>car_price_prediction_[[#This Row],[Price]]/100</f>
        <v>21962.52</v>
      </c>
      <c r="M509">
        <v>2196252</v>
      </c>
      <c r="N509" s="1" t="s">
        <v>35</v>
      </c>
      <c r="O509" s="1">
        <f>IF(IFERROR(VLOOKUP(car_price_prediction_[[#This Row],[Car ID]],A510:A3009,1,FALSE),0),1,0)</f>
        <v>0</v>
      </c>
    </row>
    <row r="510" spans="1:15" x14ac:dyDescent="0.25">
      <c r="A510">
        <v>509</v>
      </c>
      <c r="B510" s="1" t="s">
        <v>15</v>
      </c>
      <c r="C510" s="1">
        <f>car_price_prediction_[[#This Row],[Year2]]</f>
        <v>2009</v>
      </c>
      <c r="D510">
        <v>2009</v>
      </c>
      <c r="E510">
        <f>car_price_prediction_[[#This Row],[Engine Size]]/10</f>
        <v>2</v>
      </c>
      <c r="F510">
        <v>20</v>
      </c>
      <c r="G510" s="1" t="s">
        <v>29</v>
      </c>
      <c r="H510" s="1" t="s">
        <v>22</v>
      </c>
      <c r="I510" s="12">
        <f>car_price_prediction_[[#This Row],[Mileage]]/1000</f>
        <v>212.37299999999999</v>
      </c>
      <c r="J510" s="5">
        <v>212373</v>
      </c>
      <c r="K510" s="1" t="s">
        <v>25</v>
      </c>
      <c r="L510" s="5">
        <f>car_price_prediction_[[#This Row],[Price]]/100</f>
        <v>5124.8900000000003</v>
      </c>
      <c r="M510">
        <v>512489</v>
      </c>
      <c r="N510" s="1" t="s">
        <v>51</v>
      </c>
      <c r="O510" s="1">
        <f>IF(IFERROR(VLOOKUP(car_price_prediction_[[#This Row],[Car ID]],A511:A3010,1,FALSE),0),1,0)</f>
        <v>0</v>
      </c>
    </row>
    <row r="511" spans="1:15" x14ac:dyDescent="0.25">
      <c r="A511">
        <v>510</v>
      </c>
      <c r="B511" s="1" t="s">
        <v>15</v>
      </c>
      <c r="C511" s="1">
        <f>car_price_prediction_[[#This Row],[Year2]]</f>
        <v>2022</v>
      </c>
      <c r="D511">
        <v>2022</v>
      </c>
      <c r="E511">
        <f>car_price_prediction_[[#This Row],[Engine Size]]/10</f>
        <v>3.4</v>
      </c>
      <c r="F511">
        <v>34</v>
      </c>
      <c r="G511" s="1" t="s">
        <v>21</v>
      </c>
      <c r="H511" s="1" t="s">
        <v>22</v>
      </c>
      <c r="I511" s="12">
        <f>car_price_prediction_[[#This Row],[Mileage]]/1000</f>
        <v>293.27100000000002</v>
      </c>
      <c r="J511" s="5">
        <v>293271</v>
      </c>
      <c r="K511" s="1" t="s">
        <v>17</v>
      </c>
      <c r="L511" s="5">
        <f>car_price_prediction_[[#This Row],[Price]]/100</f>
        <v>86049.42</v>
      </c>
      <c r="M511">
        <v>8604942</v>
      </c>
      <c r="N511" s="1" t="s">
        <v>18</v>
      </c>
      <c r="O511" s="1">
        <f>IF(IFERROR(VLOOKUP(car_price_prediction_[[#This Row],[Car ID]],A512:A3011,1,FALSE),0),1,0)</f>
        <v>0</v>
      </c>
    </row>
    <row r="512" spans="1:15" x14ac:dyDescent="0.25">
      <c r="A512">
        <v>511</v>
      </c>
      <c r="B512" s="1" t="s">
        <v>19</v>
      </c>
      <c r="C512" s="1">
        <f>car_price_prediction_[[#This Row],[Year2]]</f>
        <v>2023</v>
      </c>
      <c r="D512">
        <v>2023</v>
      </c>
      <c r="E512">
        <f>car_price_prediction_[[#This Row],[Engine Size]]/10</f>
        <v>4.7</v>
      </c>
      <c r="F512">
        <v>47</v>
      </c>
      <c r="G512" s="1" t="s">
        <v>29</v>
      </c>
      <c r="H512" s="1" t="s">
        <v>12</v>
      </c>
      <c r="I512" s="12">
        <f>car_price_prediction_[[#This Row],[Mileage]]/1000</f>
        <v>180.786</v>
      </c>
      <c r="J512" s="5">
        <v>180786</v>
      </c>
      <c r="K512" s="1" t="s">
        <v>17</v>
      </c>
      <c r="L512" s="5">
        <f>car_price_prediction_[[#This Row],[Price]]/100</f>
        <v>72925.19</v>
      </c>
      <c r="M512">
        <v>7292519</v>
      </c>
      <c r="N512" s="1" t="s">
        <v>27</v>
      </c>
      <c r="O512" s="1">
        <f>IF(IFERROR(VLOOKUP(car_price_prediction_[[#This Row],[Car ID]],A513:A3012,1,FALSE),0),1,0)</f>
        <v>0</v>
      </c>
    </row>
    <row r="513" spans="1:15" x14ac:dyDescent="0.25">
      <c r="A513">
        <v>512</v>
      </c>
      <c r="B513" s="1" t="s">
        <v>10</v>
      </c>
      <c r="C513" s="1">
        <f>car_price_prediction_[[#This Row],[Year2]]</f>
        <v>2006</v>
      </c>
      <c r="D513">
        <v>2006</v>
      </c>
      <c r="E513">
        <f>car_price_prediction_[[#This Row],[Engine Size]]/10</f>
        <v>3.5</v>
      </c>
      <c r="F513">
        <v>35</v>
      </c>
      <c r="G513" s="1" t="s">
        <v>29</v>
      </c>
      <c r="H513" s="1" t="s">
        <v>12</v>
      </c>
      <c r="I513" s="12">
        <f>car_price_prediction_[[#This Row],[Mileage]]/1000</f>
        <v>294.065</v>
      </c>
      <c r="J513" s="5">
        <v>294065</v>
      </c>
      <c r="K513" s="1" t="s">
        <v>13</v>
      </c>
      <c r="L513" s="5">
        <f>car_price_prediction_[[#This Row],[Price]]/100</f>
        <v>70601.16</v>
      </c>
      <c r="M513">
        <v>7060116</v>
      </c>
      <c r="N513" s="1" t="s">
        <v>33</v>
      </c>
      <c r="O513" s="1">
        <f>IF(IFERROR(VLOOKUP(car_price_prediction_[[#This Row],[Car ID]],A514:A3013,1,FALSE),0),1,0)</f>
        <v>0</v>
      </c>
    </row>
    <row r="514" spans="1:15" x14ac:dyDescent="0.25">
      <c r="A514">
        <v>513</v>
      </c>
      <c r="B514" s="1" t="s">
        <v>15</v>
      </c>
      <c r="C514" s="1">
        <f>car_price_prediction_[[#This Row],[Year2]]</f>
        <v>2004</v>
      </c>
      <c r="D514">
        <v>2004</v>
      </c>
      <c r="E514">
        <f>car_price_prediction_[[#This Row],[Engine Size]]/10</f>
        <v>3.4</v>
      </c>
      <c r="F514">
        <v>34</v>
      </c>
      <c r="G514" s="1" t="s">
        <v>16</v>
      </c>
      <c r="H514" s="1" t="s">
        <v>22</v>
      </c>
      <c r="I514" s="12">
        <f>car_price_prediction_[[#This Row],[Mileage]]/1000</f>
        <v>266.89</v>
      </c>
      <c r="J514" s="5">
        <v>266890</v>
      </c>
      <c r="K514" s="1" t="s">
        <v>17</v>
      </c>
      <c r="L514" s="5">
        <f>car_price_prediction_[[#This Row],[Price]]/100</f>
        <v>56917.99</v>
      </c>
      <c r="M514">
        <v>5691799</v>
      </c>
      <c r="N514" s="1" t="s">
        <v>51</v>
      </c>
      <c r="O514" s="1">
        <f>IF(IFERROR(VLOOKUP(car_price_prediction_[[#This Row],[Car ID]],A515:A3014,1,FALSE),0),1,0)</f>
        <v>0</v>
      </c>
    </row>
    <row r="515" spans="1:15" x14ac:dyDescent="0.25">
      <c r="A515">
        <v>514</v>
      </c>
      <c r="B515" s="1" t="s">
        <v>36</v>
      </c>
      <c r="C515" s="1">
        <f>car_price_prediction_[[#This Row],[Year2]]</f>
        <v>2000</v>
      </c>
      <c r="D515">
        <v>2000</v>
      </c>
      <c r="E515">
        <f>car_price_prediction_[[#This Row],[Engine Size]]/10</f>
        <v>5.2</v>
      </c>
      <c r="F515">
        <v>52</v>
      </c>
      <c r="G515" s="1" t="s">
        <v>16</v>
      </c>
      <c r="H515" s="1" t="s">
        <v>12</v>
      </c>
      <c r="I515" s="12">
        <f>car_price_prediction_[[#This Row],[Mileage]]/1000</f>
        <v>65.349999999999994</v>
      </c>
      <c r="J515" s="5">
        <v>65350</v>
      </c>
      <c r="K515" s="1" t="s">
        <v>25</v>
      </c>
      <c r="L515" s="5">
        <f>car_price_prediction_[[#This Row],[Price]]/100</f>
        <v>71592.12</v>
      </c>
      <c r="M515">
        <v>7159212</v>
      </c>
      <c r="N515" s="1" t="s">
        <v>41</v>
      </c>
      <c r="O515" s="1">
        <f>IF(IFERROR(VLOOKUP(car_price_prediction_[[#This Row],[Car ID]],A516:A3015,1,FALSE),0),1,0)</f>
        <v>0</v>
      </c>
    </row>
    <row r="516" spans="1:15" x14ac:dyDescent="0.25">
      <c r="A516">
        <v>515</v>
      </c>
      <c r="B516" s="1" t="s">
        <v>19</v>
      </c>
      <c r="C516" s="1">
        <f>car_price_prediction_[[#This Row],[Year2]]</f>
        <v>2012</v>
      </c>
      <c r="D516">
        <v>2012</v>
      </c>
      <c r="E516">
        <f>car_price_prediction_[[#This Row],[Engine Size]]/10</f>
        <v>2.8</v>
      </c>
      <c r="F516">
        <v>28</v>
      </c>
      <c r="G516" s="1" t="s">
        <v>11</v>
      </c>
      <c r="H516" s="1" t="s">
        <v>12</v>
      </c>
      <c r="I516" s="12">
        <f>car_price_prediction_[[#This Row],[Mileage]]/1000</f>
        <v>181.417</v>
      </c>
      <c r="J516" s="5">
        <v>181417</v>
      </c>
      <c r="K516" s="1" t="s">
        <v>17</v>
      </c>
      <c r="L516" s="5">
        <f>car_price_prediction_[[#This Row],[Price]]/100</f>
        <v>9389.0400000000009</v>
      </c>
      <c r="M516">
        <v>938904</v>
      </c>
      <c r="N516" s="1" t="s">
        <v>20</v>
      </c>
      <c r="O516" s="1">
        <f>IF(IFERROR(VLOOKUP(car_price_prediction_[[#This Row],[Car ID]],A517:A3016,1,FALSE),0),1,0)</f>
        <v>0</v>
      </c>
    </row>
    <row r="517" spans="1:15" x14ac:dyDescent="0.25">
      <c r="A517">
        <v>516</v>
      </c>
      <c r="B517" s="1" t="s">
        <v>15</v>
      </c>
      <c r="C517" s="1">
        <f>car_price_prediction_[[#This Row],[Year2]]</f>
        <v>2020</v>
      </c>
      <c r="D517">
        <v>2020</v>
      </c>
      <c r="E517">
        <f>car_price_prediction_[[#This Row],[Engine Size]]/10</f>
        <v>5.3</v>
      </c>
      <c r="F517">
        <v>53</v>
      </c>
      <c r="G517" s="1" t="s">
        <v>21</v>
      </c>
      <c r="H517" s="1" t="s">
        <v>22</v>
      </c>
      <c r="I517" s="12">
        <f>car_price_prediction_[[#This Row],[Mileage]]/1000</f>
        <v>240.678</v>
      </c>
      <c r="J517" s="5">
        <v>240678</v>
      </c>
      <c r="K517" s="1" t="s">
        <v>17</v>
      </c>
      <c r="L517" s="5">
        <f>car_price_prediction_[[#This Row],[Price]]/100</f>
        <v>6823.9</v>
      </c>
      <c r="M517">
        <v>682390</v>
      </c>
      <c r="N517" s="1" t="s">
        <v>39</v>
      </c>
      <c r="O517" s="1">
        <f>IF(IFERROR(VLOOKUP(car_price_prediction_[[#This Row],[Car ID]],A518:A3017,1,FALSE),0),1,0)</f>
        <v>0</v>
      </c>
    </row>
    <row r="518" spans="1:15" x14ac:dyDescent="0.25">
      <c r="A518">
        <v>517</v>
      </c>
      <c r="B518" s="1" t="s">
        <v>36</v>
      </c>
      <c r="C518" s="1">
        <f>car_price_prediction_[[#This Row],[Year2]]</f>
        <v>2017</v>
      </c>
      <c r="D518">
        <v>2017</v>
      </c>
      <c r="E518">
        <f>car_price_prediction_[[#This Row],[Engine Size]]/10</f>
        <v>3</v>
      </c>
      <c r="F518">
        <v>30</v>
      </c>
      <c r="G518" s="1" t="s">
        <v>11</v>
      </c>
      <c r="H518" s="1" t="s">
        <v>22</v>
      </c>
      <c r="I518" s="12">
        <f>car_price_prediction_[[#This Row],[Mileage]]/1000</f>
        <v>22.062999999999999</v>
      </c>
      <c r="J518" s="5">
        <v>22063</v>
      </c>
      <c r="K518" s="1" t="s">
        <v>25</v>
      </c>
      <c r="L518" s="5">
        <f>car_price_prediction_[[#This Row],[Price]]/100</f>
        <v>30183.68</v>
      </c>
      <c r="M518">
        <v>3018368</v>
      </c>
      <c r="N518" s="1" t="s">
        <v>37</v>
      </c>
      <c r="O518" s="1">
        <f>IF(IFERROR(VLOOKUP(car_price_prediction_[[#This Row],[Car ID]],A519:A3018,1,FALSE),0),1,0)</f>
        <v>0</v>
      </c>
    </row>
    <row r="519" spans="1:15" x14ac:dyDescent="0.25">
      <c r="A519">
        <v>518</v>
      </c>
      <c r="B519" s="1" t="s">
        <v>10</v>
      </c>
      <c r="C519" s="1">
        <f>car_price_prediction_[[#This Row],[Year2]]</f>
        <v>2012</v>
      </c>
      <c r="D519">
        <v>2012</v>
      </c>
      <c r="E519">
        <f>car_price_prediction_[[#This Row],[Engine Size]]/10</f>
        <v>2.6</v>
      </c>
      <c r="F519">
        <v>26</v>
      </c>
      <c r="G519" s="1" t="s">
        <v>21</v>
      </c>
      <c r="H519" s="1" t="s">
        <v>12</v>
      </c>
      <c r="I519" s="12">
        <f>car_price_prediction_[[#This Row],[Mileage]]/1000</f>
        <v>117.116</v>
      </c>
      <c r="J519" s="5">
        <v>117116</v>
      </c>
      <c r="K519" s="1" t="s">
        <v>13</v>
      </c>
      <c r="L519" s="5">
        <f>car_price_prediction_[[#This Row],[Price]]/100</f>
        <v>5920.32</v>
      </c>
      <c r="M519">
        <v>592032</v>
      </c>
      <c r="N519" s="1" t="s">
        <v>14</v>
      </c>
      <c r="O519" s="1">
        <f>IF(IFERROR(VLOOKUP(car_price_prediction_[[#This Row],[Car ID]],A520:A3019,1,FALSE),0),1,0)</f>
        <v>0</v>
      </c>
    </row>
    <row r="520" spans="1:15" x14ac:dyDescent="0.25">
      <c r="A520">
        <v>519</v>
      </c>
      <c r="B520" s="1" t="s">
        <v>24</v>
      </c>
      <c r="C520" s="1">
        <f>car_price_prediction_[[#This Row],[Year2]]</f>
        <v>2020</v>
      </c>
      <c r="D520">
        <v>2020</v>
      </c>
      <c r="E520">
        <f>car_price_prediction_[[#This Row],[Engine Size]]/10</f>
        <v>3.3</v>
      </c>
      <c r="F520">
        <v>33</v>
      </c>
      <c r="G520" s="1" t="s">
        <v>16</v>
      </c>
      <c r="H520" s="1" t="s">
        <v>22</v>
      </c>
      <c r="I520" s="12">
        <f>car_price_prediction_[[#This Row],[Mileage]]/1000</f>
        <v>177.04300000000001</v>
      </c>
      <c r="J520" s="5">
        <v>177043</v>
      </c>
      <c r="K520" s="1" t="s">
        <v>25</v>
      </c>
      <c r="L520" s="5">
        <f>car_price_prediction_[[#This Row],[Price]]/100</f>
        <v>47020.82</v>
      </c>
      <c r="M520">
        <v>4702082</v>
      </c>
      <c r="N520" s="1" t="s">
        <v>34</v>
      </c>
      <c r="O520" s="1">
        <f>IF(IFERROR(VLOOKUP(car_price_prediction_[[#This Row],[Car ID]],A521:A3020,1,FALSE),0),1,0)</f>
        <v>0</v>
      </c>
    </row>
    <row r="521" spans="1:15" x14ac:dyDescent="0.25">
      <c r="A521">
        <v>520</v>
      </c>
      <c r="B521" s="1" t="s">
        <v>10</v>
      </c>
      <c r="C521" s="1">
        <f>car_price_prediction_[[#This Row],[Year2]]</f>
        <v>2020</v>
      </c>
      <c r="D521">
        <v>2020</v>
      </c>
      <c r="E521">
        <f>car_price_prediction_[[#This Row],[Engine Size]]/10</f>
        <v>4.8</v>
      </c>
      <c r="F521">
        <v>48</v>
      </c>
      <c r="G521" s="1" t="s">
        <v>16</v>
      </c>
      <c r="H521" s="1" t="s">
        <v>12</v>
      </c>
      <c r="I521" s="12">
        <f>car_price_prediction_[[#This Row],[Mileage]]/1000</f>
        <v>134.66999999999999</v>
      </c>
      <c r="J521" s="5">
        <v>134670</v>
      </c>
      <c r="K521" s="1" t="s">
        <v>13</v>
      </c>
      <c r="L521" s="5">
        <f>car_price_prediction_[[#This Row],[Price]]/100</f>
        <v>57859.82</v>
      </c>
      <c r="M521">
        <v>5785982</v>
      </c>
      <c r="N521" s="1" t="s">
        <v>23</v>
      </c>
      <c r="O521" s="1">
        <f>IF(IFERROR(VLOOKUP(car_price_prediction_[[#This Row],[Car ID]],A522:A3021,1,FALSE),0),1,0)</f>
        <v>0</v>
      </c>
    </row>
    <row r="522" spans="1:15" x14ac:dyDescent="0.25">
      <c r="A522">
        <v>521</v>
      </c>
      <c r="B522" s="1" t="s">
        <v>15</v>
      </c>
      <c r="C522" s="1">
        <f>car_price_prediction_[[#This Row],[Year2]]</f>
        <v>2017</v>
      </c>
      <c r="D522">
        <v>2017</v>
      </c>
      <c r="E522">
        <f>car_price_prediction_[[#This Row],[Engine Size]]/10</f>
        <v>1.6</v>
      </c>
      <c r="F522">
        <v>16</v>
      </c>
      <c r="G522" s="1" t="s">
        <v>21</v>
      </c>
      <c r="H522" s="1" t="s">
        <v>12</v>
      </c>
      <c r="I522" s="12">
        <f>car_price_prediction_[[#This Row],[Mileage]]/1000</f>
        <v>10.564</v>
      </c>
      <c r="J522" s="5">
        <v>10564</v>
      </c>
      <c r="K522" s="1" t="s">
        <v>17</v>
      </c>
      <c r="L522" s="5">
        <f>car_price_prediction_[[#This Row],[Price]]/100</f>
        <v>5417.3</v>
      </c>
      <c r="M522">
        <v>541730</v>
      </c>
      <c r="N522" s="1" t="s">
        <v>18</v>
      </c>
      <c r="O522" s="1">
        <f>IF(IFERROR(VLOOKUP(car_price_prediction_[[#This Row],[Car ID]],A523:A3022,1,FALSE),0),1,0)</f>
        <v>0</v>
      </c>
    </row>
    <row r="523" spans="1:15" x14ac:dyDescent="0.25">
      <c r="A523">
        <v>522</v>
      </c>
      <c r="B523" s="1" t="s">
        <v>19</v>
      </c>
      <c r="C523" s="1">
        <f>car_price_prediction_[[#This Row],[Year2]]</f>
        <v>2004</v>
      </c>
      <c r="D523">
        <v>2004</v>
      </c>
      <c r="E523">
        <f>car_price_prediction_[[#This Row],[Engine Size]]/10</f>
        <v>2</v>
      </c>
      <c r="F523">
        <v>20</v>
      </c>
      <c r="G523" s="1" t="s">
        <v>21</v>
      </c>
      <c r="H523" s="1" t="s">
        <v>22</v>
      </c>
      <c r="I523" s="12">
        <f>car_price_prediction_[[#This Row],[Mileage]]/1000</f>
        <v>242.124</v>
      </c>
      <c r="J523" s="5">
        <v>242124</v>
      </c>
      <c r="K523" s="1" t="s">
        <v>13</v>
      </c>
      <c r="L523" s="5">
        <f>car_price_prediction_[[#This Row],[Price]]/100</f>
        <v>86583.65</v>
      </c>
      <c r="M523">
        <v>8658365</v>
      </c>
      <c r="N523" s="1" t="s">
        <v>20</v>
      </c>
      <c r="O523" s="1">
        <f>IF(IFERROR(VLOOKUP(car_price_prediction_[[#This Row],[Car ID]],A524:A3023,1,FALSE),0),1,0)</f>
        <v>0</v>
      </c>
    </row>
    <row r="524" spans="1:15" x14ac:dyDescent="0.25">
      <c r="A524">
        <v>523</v>
      </c>
      <c r="B524" s="1" t="s">
        <v>30</v>
      </c>
      <c r="C524" s="1">
        <f>car_price_prediction_[[#This Row],[Year2]]</f>
        <v>2012</v>
      </c>
      <c r="D524">
        <v>2012</v>
      </c>
      <c r="E524">
        <f>car_price_prediction_[[#This Row],[Engine Size]]/10</f>
        <v>5.8</v>
      </c>
      <c r="F524">
        <v>58</v>
      </c>
      <c r="G524" s="1" t="s">
        <v>16</v>
      </c>
      <c r="H524" s="1" t="s">
        <v>12</v>
      </c>
      <c r="I524" s="12">
        <f>car_price_prediction_[[#This Row],[Mileage]]/1000</f>
        <v>227.506</v>
      </c>
      <c r="J524" s="5">
        <v>227506</v>
      </c>
      <c r="K524" s="1" t="s">
        <v>13</v>
      </c>
      <c r="L524" s="5">
        <f>car_price_prediction_[[#This Row],[Price]]/100</f>
        <v>66921.009999999995</v>
      </c>
      <c r="M524">
        <v>6692101</v>
      </c>
      <c r="N524" s="1" t="s">
        <v>42</v>
      </c>
      <c r="O524" s="1">
        <f>IF(IFERROR(VLOOKUP(car_price_prediction_[[#This Row],[Car ID]],A525:A3024,1,FALSE),0),1,0)</f>
        <v>0</v>
      </c>
    </row>
    <row r="525" spans="1:15" x14ac:dyDescent="0.25">
      <c r="A525">
        <v>524</v>
      </c>
      <c r="B525" s="1" t="s">
        <v>15</v>
      </c>
      <c r="C525" s="1">
        <f>car_price_prediction_[[#This Row],[Year2]]</f>
        <v>2003</v>
      </c>
      <c r="D525">
        <v>2003</v>
      </c>
      <c r="E525">
        <f>car_price_prediction_[[#This Row],[Engine Size]]/10</f>
        <v>1.9</v>
      </c>
      <c r="F525">
        <v>19</v>
      </c>
      <c r="G525" s="1" t="s">
        <v>16</v>
      </c>
      <c r="H525" s="1" t="s">
        <v>12</v>
      </c>
      <c r="I525" s="12">
        <f>car_price_prediction_[[#This Row],[Mileage]]/1000</f>
        <v>86.134</v>
      </c>
      <c r="J525" s="5">
        <v>86134</v>
      </c>
      <c r="K525" s="1" t="s">
        <v>13</v>
      </c>
      <c r="L525" s="5">
        <f>car_price_prediction_[[#This Row],[Price]]/100</f>
        <v>22932.06</v>
      </c>
      <c r="M525">
        <v>2293206</v>
      </c>
      <c r="N525" s="1" t="s">
        <v>51</v>
      </c>
      <c r="O525" s="1">
        <f>IF(IFERROR(VLOOKUP(car_price_prediction_[[#This Row],[Car ID]],A526:A3025,1,FALSE),0),1,0)</f>
        <v>0</v>
      </c>
    </row>
    <row r="526" spans="1:15" x14ac:dyDescent="0.25">
      <c r="A526">
        <v>525</v>
      </c>
      <c r="B526" s="1" t="s">
        <v>30</v>
      </c>
      <c r="C526" s="1">
        <f>car_price_prediction_[[#This Row],[Year2]]</f>
        <v>2016</v>
      </c>
      <c r="D526">
        <v>2016</v>
      </c>
      <c r="E526">
        <f>car_price_prediction_[[#This Row],[Engine Size]]/10</f>
        <v>3.8</v>
      </c>
      <c r="F526">
        <v>38</v>
      </c>
      <c r="G526" s="1" t="s">
        <v>11</v>
      </c>
      <c r="H526" s="1" t="s">
        <v>12</v>
      </c>
      <c r="I526" s="12">
        <f>car_price_prediction_[[#This Row],[Mileage]]/1000</f>
        <v>105.94</v>
      </c>
      <c r="J526" s="5">
        <v>105940</v>
      </c>
      <c r="K526" s="1" t="s">
        <v>17</v>
      </c>
      <c r="L526" s="5">
        <f>car_price_prediction_[[#This Row],[Price]]/100</f>
        <v>10986.59</v>
      </c>
      <c r="M526">
        <v>1098659</v>
      </c>
      <c r="N526" s="1" t="s">
        <v>45</v>
      </c>
      <c r="O526" s="1">
        <f>IF(IFERROR(VLOOKUP(car_price_prediction_[[#This Row],[Car ID]],A527:A3026,1,FALSE),0),1,0)</f>
        <v>0</v>
      </c>
    </row>
    <row r="527" spans="1:15" x14ac:dyDescent="0.25">
      <c r="A527">
        <v>526</v>
      </c>
      <c r="B527" s="1" t="s">
        <v>36</v>
      </c>
      <c r="C527" s="1">
        <f>car_price_prediction_[[#This Row],[Year2]]</f>
        <v>2002</v>
      </c>
      <c r="D527">
        <v>2002</v>
      </c>
      <c r="E527">
        <f>car_price_prediction_[[#This Row],[Engine Size]]/10</f>
        <v>3.9</v>
      </c>
      <c r="F527">
        <v>39</v>
      </c>
      <c r="G527" s="1" t="s">
        <v>16</v>
      </c>
      <c r="H527" s="1" t="s">
        <v>22</v>
      </c>
      <c r="I527" s="12">
        <f>car_price_prediction_[[#This Row],[Mileage]]/1000</f>
        <v>62.085000000000001</v>
      </c>
      <c r="J527" s="5">
        <v>62085</v>
      </c>
      <c r="K527" s="1" t="s">
        <v>13</v>
      </c>
      <c r="L527" s="5">
        <f>car_price_prediction_[[#This Row],[Price]]/100</f>
        <v>45314.559999999998</v>
      </c>
      <c r="M527">
        <v>4531456</v>
      </c>
      <c r="N527" s="1" t="s">
        <v>41</v>
      </c>
      <c r="O527" s="1">
        <f>IF(IFERROR(VLOOKUP(car_price_prediction_[[#This Row],[Car ID]],A528:A3027,1,FALSE),0),1,0)</f>
        <v>0</v>
      </c>
    </row>
    <row r="528" spans="1:15" x14ac:dyDescent="0.25">
      <c r="A528">
        <v>527</v>
      </c>
      <c r="B528" s="1" t="s">
        <v>24</v>
      </c>
      <c r="C528" s="1">
        <f>car_price_prediction_[[#This Row],[Year2]]</f>
        <v>2016</v>
      </c>
      <c r="D528">
        <v>2016</v>
      </c>
      <c r="E528">
        <f>car_price_prediction_[[#This Row],[Engine Size]]/10</f>
        <v>3.4</v>
      </c>
      <c r="F528">
        <v>34</v>
      </c>
      <c r="G528" s="1" t="s">
        <v>21</v>
      </c>
      <c r="H528" s="1" t="s">
        <v>22</v>
      </c>
      <c r="I528" s="12">
        <f>car_price_prediction_[[#This Row],[Mileage]]/1000</f>
        <v>17.861999999999998</v>
      </c>
      <c r="J528" s="5">
        <v>17862</v>
      </c>
      <c r="K528" s="1" t="s">
        <v>13</v>
      </c>
      <c r="L528" s="5">
        <f>car_price_prediction_[[#This Row],[Price]]/100</f>
        <v>6483.01</v>
      </c>
      <c r="M528">
        <v>648301</v>
      </c>
      <c r="N528" s="1" t="s">
        <v>53</v>
      </c>
      <c r="O528" s="1">
        <f>IF(IFERROR(VLOOKUP(car_price_prediction_[[#This Row],[Car ID]],A529:A3028,1,FALSE),0),1,0)</f>
        <v>0</v>
      </c>
    </row>
    <row r="529" spans="1:15" x14ac:dyDescent="0.25">
      <c r="A529">
        <v>528</v>
      </c>
      <c r="B529" s="1" t="s">
        <v>43</v>
      </c>
      <c r="C529" s="1">
        <f>car_price_prediction_[[#This Row],[Year2]]</f>
        <v>2010</v>
      </c>
      <c r="D529">
        <v>2010</v>
      </c>
      <c r="E529">
        <f>car_price_prediction_[[#This Row],[Engine Size]]/10</f>
        <v>4.2</v>
      </c>
      <c r="F529">
        <v>42</v>
      </c>
      <c r="G529" s="1" t="s">
        <v>11</v>
      </c>
      <c r="H529" s="1" t="s">
        <v>22</v>
      </c>
      <c r="I529" s="12">
        <f>car_price_prediction_[[#This Row],[Mileage]]/1000</f>
        <v>272.40899999999999</v>
      </c>
      <c r="J529" s="5">
        <v>272409</v>
      </c>
      <c r="K529" s="1" t="s">
        <v>17</v>
      </c>
      <c r="L529" s="5">
        <f>car_price_prediction_[[#This Row],[Price]]/100</f>
        <v>35238.25</v>
      </c>
      <c r="M529">
        <v>3523825</v>
      </c>
      <c r="N529" s="1" t="s">
        <v>52</v>
      </c>
      <c r="O529" s="1">
        <f>IF(IFERROR(VLOOKUP(car_price_prediction_[[#This Row],[Car ID]],A530:A3029,1,FALSE),0),1,0)</f>
        <v>0</v>
      </c>
    </row>
    <row r="530" spans="1:15" x14ac:dyDescent="0.25">
      <c r="A530">
        <v>529</v>
      </c>
      <c r="B530" s="1" t="s">
        <v>10</v>
      </c>
      <c r="C530" s="1">
        <f>car_price_prediction_[[#This Row],[Year2]]</f>
        <v>2020</v>
      </c>
      <c r="D530">
        <v>2020</v>
      </c>
      <c r="E530">
        <f>car_price_prediction_[[#This Row],[Engine Size]]/10</f>
        <v>2.1</v>
      </c>
      <c r="F530">
        <v>21</v>
      </c>
      <c r="G530" s="1" t="s">
        <v>21</v>
      </c>
      <c r="H530" s="1" t="s">
        <v>12</v>
      </c>
      <c r="I530" s="12">
        <f>car_price_prediction_[[#This Row],[Mileage]]/1000</f>
        <v>140.77699999999999</v>
      </c>
      <c r="J530" s="5">
        <v>140777</v>
      </c>
      <c r="K530" s="1" t="s">
        <v>25</v>
      </c>
      <c r="L530" s="5">
        <f>car_price_prediction_[[#This Row],[Price]]/100</f>
        <v>39962.04</v>
      </c>
      <c r="M530">
        <v>3996204</v>
      </c>
      <c r="N530" s="1" t="s">
        <v>23</v>
      </c>
      <c r="O530" s="1">
        <f>IF(IFERROR(VLOOKUP(car_price_prediction_[[#This Row],[Car ID]],A531:A3030,1,FALSE),0),1,0)</f>
        <v>0</v>
      </c>
    </row>
    <row r="531" spans="1:15" x14ac:dyDescent="0.25">
      <c r="A531">
        <v>530</v>
      </c>
      <c r="B531" s="1" t="s">
        <v>24</v>
      </c>
      <c r="C531" s="1">
        <f>car_price_prediction_[[#This Row],[Year2]]</f>
        <v>2019</v>
      </c>
      <c r="D531">
        <v>2019</v>
      </c>
      <c r="E531">
        <f>car_price_prediction_[[#This Row],[Engine Size]]/10</f>
        <v>3.8</v>
      </c>
      <c r="F531">
        <v>38</v>
      </c>
      <c r="G531" s="1" t="s">
        <v>29</v>
      </c>
      <c r="H531" s="1" t="s">
        <v>12</v>
      </c>
      <c r="I531" s="12">
        <f>car_price_prediction_[[#This Row],[Mileage]]/1000</f>
        <v>186.351</v>
      </c>
      <c r="J531" s="5">
        <v>186351</v>
      </c>
      <c r="K531" s="1" t="s">
        <v>25</v>
      </c>
      <c r="L531" s="5">
        <f>car_price_prediction_[[#This Row],[Price]]/100</f>
        <v>40680.94</v>
      </c>
      <c r="M531">
        <v>4068094</v>
      </c>
      <c r="N531" s="1" t="s">
        <v>32</v>
      </c>
      <c r="O531" s="1">
        <f>IF(IFERROR(VLOOKUP(car_price_prediction_[[#This Row],[Car ID]],A532:A3031,1,FALSE),0),1,0)</f>
        <v>0</v>
      </c>
    </row>
    <row r="532" spans="1:15" x14ac:dyDescent="0.25">
      <c r="A532">
        <v>531</v>
      </c>
      <c r="B532" s="1" t="s">
        <v>15</v>
      </c>
      <c r="C532" s="1">
        <f>car_price_prediction_[[#This Row],[Year2]]</f>
        <v>2022</v>
      </c>
      <c r="D532">
        <v>2022</v>
      </c>
      <c r="E532">
        <f>car_price_prediction_[[#This Row],[Engine Size]]/10</f>
        <v>2.9</v>
      </c>
      <c r="F532">
        <v>29</v>
      </c>
      <c r="G532" s="1" t="s">
        <v>11</v>
      </c>
      <c r="H532" s="1" t="s">
        <v>22</v>
      </c>
      <c r="I532" s="12">
        <f>car_price_prediction_[[#This Row],[Mileage]]/1000</f>
        <v>62.470999999999997</v>
      </c>
      <c r="J532" s="5">
        <v>62471</v>
      </c>
      <c r="K532" s="1" t="s">
        <v>25</v>
      </c>
      <c r="L532" s="5">
        <f>car_price_prediction_[[#This Row],[Price]]/100</f>
        <v>98038.25</v>
      </c>
      <c r="M532">
        <v>9803825</v>
      </c>
      <c r="N532" s="1" t="s">
        <v>35</v>
      </c>
      <c r="O532" s="1">
        <f>IF(IFERROR(VLOOKUP(car_price_prediction_[[#This Row],[Car ID]],A533:A3032,1,FALSE),0),1,0)</f>
        <v>0</v>
      </c>
    </row>
    <row r="533" spans="1:15" x14ac:dyDescent="0.25">
      <c r="A533">
        <v>532</v>
      </c>
      <c r="B533" s="1" t="s">
        <v>30</v>
      </c>
      <c r="C533" s="1">
        <f>car_price_prediction_[[#This Row],[Year2]]</f>
        <v>2020</v>
      </c>
      <c r="D533">
        <v>2020</v>
      </c>
      <c r="E533">
        <f>car_price_prediction_[[#This Row],[Engine Size]]/10</f>
        <v>4.3</v>
      </c>
      <c r="F533">
        <v>43</v>
      </c>
      <c r="G533" s="1" t="s">
        <v>21</v>
      </c>
      <c r="H533" s="1" t="s">
        <v>22</v>
      </c>
      <c r="I533" s="12">
        <f>car_price_prediction_[[#This Row],[Mileage]]/1000</f>
        <v>91.08</v>
      </c>
      <c r="J533" s="5">
        <v>91080</v>
      </c>
      <c r="K533" s="1" t="s">
        <v>17</v>
      </c>
      <c r="L533" s="5">
        <f>car_price_prediction_[[#This Row],[Price]]/100</f>
        <v>33870.58</v>
      </c>
      <c r="M533">
        <v>3387058</v>
      </c>
      <c r="N533" s="1" t="s">
        <v>31</v>
      </c>
      <c r="O533" s="1">
        <f>IF(IFERROR(VLOOKUP(car_price_prediction_[[#This Row],[Car ID]],A534:A3033,1,FALSE),0),1,0)</f>
        <v>0</v>
      </c>
    </row>
    <row r="534" spans="1:15" x14ac:dyDescent="0.25">
      <c r="A534">
        <v>533</v>
      </c>
      <c r="B534" s="1" t="s">
        <v>10</v>
      </c>
      <c r="C534" s="1">
        <f>car_price_prediction_[[#This Row],[Year2]]</f>
        <v>2003</v>
      </c>
      <c r="D534">
        <v>2003</v>
      </c>
      <c r="E534">
        <f>car_price_prediction_[[#This Row],[Engine Size]]/10</f>
        <v>1.7</v>
      </c>
      <c r="F534">
        <v>17</v>
      </c>
      <c r="G534" s="1" t="s">
        <v>16</v>
      </c>
      <c r="H534" s="1" t="s">
        <v>22</v>
      </c>
      <c r="I534" s="12">
        <f>car_price_prediction_[[#This Row],[Mileage]]/1000</f>
        <v>108.00700000000001</v>
      </c>
      <c r="J534" s="5">
        <v>108007</v>
      </c>
      <c r="K534" s="1" t="s">
        <v>17</v>
      </c>
      <c r="L534" s="5">
        <f>car_price_prediction_[[#This Row],[Price]]/100</f>
        <v>30196.61</v>
      </c>
      <c r="M534">
        <v>3019661</v>
      </c>
      <c r="N534" s="1" t="s">
        <v>14</v>
      </c>
      <c r="O534" s="1">
        <f>IF(IFERROR(VLOOKUP(car_price_prediction_[[#This Row],[Car ID]],A535:A3034,1,FALSE),0),1,0)</f>
        <v>0</v>
      </c>
    </row>
    <row r="535" spans="1:15" x14ac:dyDescent="0.25">
      <c r="A535">
        <v>534</v>
      </c>
      <c r="B535" s="1" t="s">
        <v>30</v>
      </c>
      <c r="C535" s="1">
        <f>car_price_prediction_[[#This Row],[Year2]]</f>
        <v>2001</v>
      </c>
      <c r="D535">
        <v>2001</v>
      </c>
      <c r="E535">
        <f>car_price_prediction_[[#This Row],[Engine Size]]/10</f>
        <v>3.9</v>
      </c>
      <c r="F535">
        <v>39</v>
      </c>
      <c r="G535" s="1" t="s">
        <v>29</v>
      </c>
      <c r="H535" s="1" t="s">
        <v>12</v>
      </c>
      <c r="I535" s="12">
        <f>car_price_prediction_[[#This Row],[Mileage]]/1000</f>
        <v>46.103999999999999</v>
      </c>
      <c r="J535" s="5">
        <v>46104</v>
      </c>
      <c r="K535" s="1" t="s">
        <v>25</v>
      </c>
      <c r="L535" s="5">
        <f>car_price_prediction_[[#This Row],[Price]]/100</f>
        <v>17291.189999999999</v>
      </c>
      <c r="M535">
        <v>1729119</v>
      </c>
      <c r="N535" s="1" t="s">
        <v>45</v>
      </c>
      <c r="O535" s="1">
        <f>IF(IFERROR(VLOOKUP(car_price_prediction_[[#This Row],[Car ID]],A536:A3035,1,FALSE),0),1,0)</f>
        <v>0</v>
      </c>
    </row>
    <row r="536" spans="1:15" x14ac:dyDescent="0.25">
      <c r="A536">
        <v>535</v>
      </c>
      <c r="B536" s="1" t="s">
        <v>19</v>
      </c>
      <c r="C536" s="1">
        <f>car_price_prediction_[[#This Row],[Year2]]</f>
        <v>2019</v>
      </c>
      <c r="D536">
        <v>2019</v>
      </c>
      <c r="E536">
        <f>car_price_prediction_[[#This Row],[Engine Size]]/10</f>
        <v>1.9</v>
      </c>
      <c r="F536">
        <v>19</v>
      </c>
      <c r="G536" s="1" t="s">
        <v>21</v>
      </c>
      <c r="H536" s="1" t="s">
        <v>22</v>
      </c>
      <c r="I536" s="12">
        <f>car_price_prediction_[[#This Row],[Mileage]]/1000</f>
        <v>40.933999999999997</v>
      </c>
      <c r="J536" s="5">
        <v>40934</v>
      </c>
      <c r="K536" s="1" t="s">
        <v>13</v>
      </c>
      <c r="L536" s="5">
        <f>car_price_prediction_[[#This Row],[Price]]/100</f>
        <v>53545.84</v>
      </c>
      <c r="M536">
        <v>5354584</v>
      </c>
      <c r="N536" s="1" t="s">
        <v>20</v>
      </c>
      <c r="O536" s="1">
        <f>IF(IFERROR(VLOOKUP(car_price_prediction_[[#This Row],[Car ID]],A537:A3036,1,FALSE),0),1,0)</f>
        <v>0</v>
      </c>
    </row>
    <row r="537" spans="1:15" x14ac:dyDescent="0.25">
      <c r="A537">
        <v>536</v>
      </c>
      <c r="B537" s="1" t="s">
        <v>30</v>
      </c>
      <c r="C537" s="1">
        <f>car_price_prediction_[[#This Row],[Year2]]</f>
        <v>2015</v>
      </c>
      <c r="D537">
        <v>2015</v>
      </c>
      <c r="E537">
        <f>car_price_prediction_[[#This Row],[Engine Size]]/10</f>
        <v>2.4</v>
      </c>
      <c r="F537">
        <v>24</v>
      </c>
      <c r="G537" s="1" t="s">
        <v>11</v>
      </c>
      <c r="H537" s="1" t="s">
        <v>12</v>
      </c>
      <c r="I537" s="12">
        <f>car_price_prediction_[[#This Row],[Mileage]]/1000</f>
        <v>254.60599999999999</v>
      </c>
      <c r="J537" s="5">
        <v>254606</v>
      </c>
      <c r="K537" s="1" t="s">
        <v>25</v>
      </c>
      <c r="L537" s="5">
        <f>car_price_prediction_[[#This Row],[Price]]/100</f>
        <v>19599.060000000001</v>
      </c>
      <c r="M537">
        <v>1959906</v>
      </c>
      <c r="N537" s="1" t="s">
        <v>48</v>
      </c>
      <c r="O537" s="1">
        <f>IF(IFERROR(VLOOKUP(car_price_prediction_[[#This Row],[Car ID]],A538:A3037,1,FALSE),0),1,0)</f>
        <v>0</v>
      </c>
    </row>
    <row r="538" spans="1:15" x14ac:dyDescent="0.25">
      <c r="A538">
        <v>537</v>
      </c>
      <c r="B538" s="1" t="s">
        <v>19</v>
      </c>
      <c r="C538" s="1">
        <f>car_price_prediction_[[#This Row],[Year2]]</f>
        <v>2017</v>
      </c>
      <c r="D538">
        <v>2017</v>
      </c>
      <c r="E538">
        <f>car_price_prediction_[[#This Row],[Engine Size]]/10</f>
        <v>2.1</v>
      </c>
      <c r="F538">
        <v>21</v>
      </c>
      <c r="G538" s="1" t="s">
        <v>21</v>
      </c>
      <c r="H538" s="1" t="s">
        <v>22</v>
      </c>
      <c r="I538" s="12">
        <f>car_price_prediction_[[#This Row],[Mileage]]/1000</f>
        <v>6.05</v>
      </c>
      <c r="J538" s="5">
        <v>6050</v>
      </c>
      <c r="K538" s="1" t="s">
        <v>17</v>
      </c>
      <c r="L538" s="5">
        <f>car_price_prediction_[[#This Row],[Price]]/100</f>
        <v>6354.8</v>
      </c>
      <c r="M538">
        <v>635480</v>
      </c>
      <c r="N538" s="1" t="s">
        <v>38</v>
      </c>
      <c r="O538" s="1">
        <f>IF(IFERROR(VLOOKUP(car_price_prediction_[[#This Row],[Car ID]],A539:A3038,1,FALSE),0),1,0)</f>
        <v>0</v>
      </c>
    </row>
    <row r="539" spans="1:15" x14ac:dyDescent="0.25">
      <c r="A539">
        <v>538</v>
      </c>
      <c r="B539" s="1" t="s">
        <v>36</v>
      </c>
      <c r="C539" s="1">
        <f>car_price_prediction_[[#This Row],[Year2]]</f>
        <v>2007</v>
      </c>
      <c r="D539">
        <v>2007</v>
      </c>
      <c r="E539">
        <f>car_price_prediction_[[#This Row],[Engine Size]]/10</f>
        <v>1.9</v>
      </c>
      <c r="F539">
        <v>19</v>
      </c>
      <c r="G539" s="1" t="s">
        <v>29</v>
      </c>
      <c r="H539" s="1" t="s">
        <v>12</v>
      </c>
      <c r="I539" s="12">
        <f>car_price_prediction_[[#This Row],[Mileage]]/1000</f>
        <v>175.024</v>
      </c>
      <c r="J539" s="5">
        <v>175024</v>
      </c>
      <c r="K539" s="1" t="s">
        <v>13</v>
      </c>
      <c r="L539" s="5">
        <f>car_price_prediction_[[#This Row],[Price]]/100</f>
        <v>19740.18</v>
      </c>
      <c r="M539">
        <v>1974018</v>
      </c>
      <c r="N539" s="1" t="s">
        <v>41</v>
      </c>
      <c r="O539" s="1">
        <f>IF(IFERROR(VLOOKUP(car_price_prediction_[[#This Row],[Car ID]],A540:A3039,1,FALSE),0),1,0)</f>
        <v>0</v>
      </c>
    </row>
    <row r="540" spans="1:15" x14ac:dyDescent="0.25">
      <c r="A540">
        <v>539</v>
      </c>
      <c r="B540" s="1" t="s">
        <v>10</v>
      </c>
      <c r="C540" s="1">
        <f>car_price_prediction_[[#This Row],[Year2]]</f>
        <v>2002</v>
      </c>
      <c r="D540">
        <v>2002</v>
      </c>
      <c r="E540">
        <f>car_price_prediction_[[#This Row],[Engine Size]]/10</f>
        <v>5.0999999999999996</v>
      </c>
      <c r="F540">
        <v>51</v>
      </c>
      <c r="G540" s="1" t="s">
        <v>11</v>
      </c>
      <c r="H540" s="1" t="s">
        <v>12</v>
      </c>
      <c r="I540" s="12">
        <f>car_price_prediction_[[#This Row],[Mileage]]/1000</f>
        <v>270.62799999999999</v>
      </c>
      <c r="J540" s="5">
        <v>270628</v>
      </c>
      <c r="K540" s="1" t="s">
        <v>13</v>
      </c>
      <c r="L540" s="5">
        <f>car_price_prediction_[[#This Row],[Price]]/100</f>
        <v>59783.97</v>
      </c>
      <c r="M540">
        <v>5978397</v>
      </c>
      <c r="N540" s="1" t="s">
        <v>14</v>
      </c>
      <c r="O540" s="1">
        <f>IF(IFERROR(VLOOKUP(car_price_prediction_[[#This Row],[Car ID]],A541:A3040,1,FALSE),0),1,0)</f>
        <v>0</v>
      </c>
    </row>
    <row r="541" spans="1:15" x14ac:dyDescent="0.25">
      <c r="A541">
        <v>540</v>
      </c>
      <c r="B541" s="1" t="s">
        <v>10</v>
      </c>
      <c r="C541" s="1">
        <f>car_price_prediction_[[#This Row],[Year2]]</f>
        <v>2008</v>
      </c>
      <c r="D541">
        <v>2008</v>
      </c>
      <c r="E541">
        <f>car_price_prediction_[[#This Row],[Engine Size]]/10</f>
        <v>2.4</v>
      </c>
      <c r="F541">
        <v>24</v>
      </c>
      <c r="G541" s="1" t="s">
        <v>29</v>
      </c>
      <c r="H541" s="1" t="s">
        <v>22</v>
      </c>
      <c r="I541" s="12">
        <f>car_price_prediction_[[#This Row],[Mileage]]/1000</f>
        <v>184.75</v>
      </c>
      <c r="J541" s="5">
        <v>184750</v>
      </c>
      <c r="K541" s="1" t="s">
        <v>17</v>
      </c>
      <c r="L541" s="5">
        <f>car_price_prediction_[[#This Row],[Price]]/100</f>
        <v>83495.58</v>
      </c>
      <c r="M541">
        <v>8349558</v>
      </c>
      <c r="N541" s="1" t="s">
        <v>49</v>
      </c>
      <c r="O541" s="1">
        <f>IF(IFERROR(VLOOKUP(car_price_prediction_[[#This Row],[Car ID]],A542:A3041,1,FALSE),0),1,0)</f>
        <v>0</v>
      </c>
    </row>
    <row r="542" spans="1:15" x14ac:dyDescent="0.25">
      <c r="A542">
        <v>541</v>
      </c>
      <c r="B542" s="1" t="s">
        <v>43</v>
      </c>
      <c r="C542" s="1">
        <f>car_price_prediction_[[#This Row],[Year2]]</f>
        <v>2019</v>
      </c>
      <c r="D542">
        <v>2019</v>
      </c>
      <c r="E542">
        <f>car_price_prediction_[[#This Row],[Engine Size]]/10</f>
        <v>5.6</v>
      </c>
      <c r="F542">
        <v>56</v>
      </c>
      <c r="G542" s="1" t="s">
        <v>21</v>
      </c>
      <c r="H542" s="1" t="s">
        <v>12</v>
      </c>
      <c r="I542" s="12">
        <f>car_price_prediction_[[#This Row],[Mileage]]/1000</f>
        <v>31.323</v>
      </c>
      <c r="J542" s="5">
        <v>31323</v>
      </c>
      <c r="K542" s="1" t="s">
        <v>13</v>
      </c>
      <c r="L542" s="5">
        <f>car_price_prediction_[[#This Row],[Price]]/100</f>
        <v>9039.84</v>
      </c>
      <c r="M542">
        <v>903984</v>
      </c>
      <c r="N542" s="1" t="s">
        <v>52</v>
      </c>
      <c r="O542" s="1">
        <f>IF(IFERROR(VLOOKUP(car_price_prediction_[[#This Row],[Car ID]],A543:A3042,1,FALSE),0),1,0)</f>
        <v>0</v>
      </c>
    </row>
    <row r="543" spans="1:15" x14ac:dyDescent="0.25">
      <c r="A543">
        <v>542</v>
      </c>
      <c r="B543" s="1" t="s">
        <v>15</v>
      </c>
      <c r="C543" s="1">
        <f>car_price_prediction_[[#This Row],[Year2]]</f>
        <v>2005</v>
      </c>
      <c r="D543">
        <v>2005</v>
      </c>
      <c r="E543">
        <f>car_price_prediction_[[#This Row],[Engine Size]]/10</f>
        <v>5.8</v>
      </c>
      <c r="F543">
        <v>58</v>
      </c>
      <c r="G543" s="1" t="s">
        <v>16</v>
      </c>
      <c r="H543" s="1" t="s">
        <v>22</v>
      </c>
      <c r="I543" s="12">
        <f>car_price_prediction_[[#This Row],[Mileage]]/1000</f>
        <v>86.331999999999994</v>
      </c>
      <c r="J543" s="5">
        <v>86332</v>
      </c>
      <c r="K543" s="1" t="s">
        <v>25</v>
      </c>
      <c r="L543" s="5">
        <f>car_price_prediction_[[#This Row],[Price]]/100</f>
        <v>44875.96</v>
      </c>
      <c r="M543">
        <v>4487596</v>
      </c>
      <c r="N543" s="1" t="s">
        <v>18</v>
      </c>
      <c r="O543" s="1">
        <f>IF(IFERROR(VLOOKUP(car_price_prediction_[[#This Row],[Car ID]],A544:A3043,1,FALSE),0),1,0)</f>
        <v>0</v>
      </c>
    </row>
    <row r="544" spans="1:15" x14ac:dyDescent="0.25">
      <c r="A544">
        <v>543</v>
      </c>
      <c r="B544" s="1" t="s">
        <v>19</v>
      </c>
      <c r="C544" s="1">
        <f>car_price_prediction_[[#This Row],[Year2]]</f>
        <v>2009</v>
      </c>
      <c r="D544">
        <v>2009</v>
      </c>
      <c r="E544">
        <f>car_price_prediction_[[#This Row],[Engine Size]]/10</f>
        <v>3.9</v>
      </c>
      <c r="F544">
        <v>39</v>
      </c>
      <c r="G544" s="1" t="s">
        <v>16</v>
      </c>
      <c r="H544" s="1" t="s">
        <v>12</v>
      </c>
      <c r="I544" s="12">
        <f>car_price_prediction_[[#This Row],[Mileage]]/1000</f>
        <v>255.54</v>
      </c>
      <c r="J544" s="5">
        <v>255540</v>
      </c>
      <c r="K544" s="1" t="s">
        <v>17</v>
      </c>
      <c r="L544" s="5">
        <f>car_price_prediction_[[#This Row],[Price]]/100</f>
        <v>48799.65</v>
      </c>
      <c r="M544">
        <v>4879965</v>
      </c>
      <c r="N544" s="1" t="s">
        <v>38</v>
      </c>
      <c r="O544" s="1">
        <f>IF(IFERROR(VLOOKUP(car_price_prediction_[[#This Row],[Car ID]],A545:A3044,1,FALSE),0),1,0)</f>
        <v>0</v>
      </c>
    </row>
    <row r="545" spans="1:15" x14ac:dyDescent="0.25">
      <c r="A545">
        <v>544</v>
      </c>
      <c r="B545" s="1" t="s">
        <v>43</v>
      </c>
      <c r="C545" s="1">
        <f>car_price_prediction_[[#This Row],[Year2]]</f>
        <v>2020</v>
      </c>
      <c r="D545">
        <v>2020</v>
      </c>
      <c r="E545">
        <f>car_price_prediction_[[#This Row],[Engine Size]]/10</f>
        <v>1.7</v>
      </c>
      <c r="F545">
        <v>17</v>
      </c>
      <c r="G545" s="1" t="s">
        <v>21</v>
      </c>
      <c r="H545" s="1" t="s">
        <v>12</v>
      </c>
      <c r="I545" s="12">
        <f>car_price_prediction_[[#This Row],[Mileage]]/1000</f>
        <v>254.547</v>
      </c>
      <c r="J545" s="5">
        <v>254547</v>
      </c>
      <c r="K545" s="1" t="s">
        <v>17</v>
      </c>
      <c r="L545" s="5">
        <f>car_price_prediction_[[#This Row],[Price]]/100</f>
        <v>80151.850000000006</v>
      </c>
      <c r="M545">
        <v>8015185</v>
      </c>
      <c r="N545" s="1" t="s">
        <v>50</v>
      </c>
      <c r="O545" s="1">
        <f>IF(IFERROR(VLOOKUP(car_price_prediction_[[#This Row],[Car ID]],A546:A3045,1,FALSE),0),1,0)</f>
        <v>0</v>
      </c>
    </row>
    <row r="546" spans="1:15" x14ac:dyDescent="0.25">
      <c r="A546">
        <v>545</v>
      </c>
      <c r="B546" s="1" t="s">
        <v>30</v>
      </c>
      <c r="C546" s="1">
        <f>car_price_prediction_[[#This Row],[Year2]]</f>
        <v>2009</v>
      </c>
      <c r="D546">
        <v>2009</v>
      </c>
      <c r="E546">
        <f>car_price_prediction_[[#This Row],[Engine Size]]/10</f>
        <v>2.9</v>
      </c>
      <c r="F546">
        <v>29</v>
      </c>
      <c r="G546" s="1" t="s">
        <v>21</v>
      </c>
      <c r="H546" s="1" t="s">
        <v>22</v>
      </c>
      <c r="I546" s="12">
        <f>car_price_prediction_[[#This Row],[Mileage]]/1000</f>
        <v>272.459</v>
      </c>
      <c r="J546" s="5">
        <v>272459</v>
      </c>
      <c r="K546" s="1" t="s">
        <v>17</v>
      </c>
      <c r="L546" s="5">
        <f>car_price_prediction_[[#This Row],[Price]]/100</f>
        <v>49451.99</v>
      </c>
      <c r="M546">
        <v>4945199</v>
      </c>
      <c r="N546" s="1" t="s">
        <v>42</v>
      </c>
      <c r="O546" s="1">
        <f>IF(IFERROR(VLOOKUP(car_price_prediction_[[#This Row],[Car ID]],A547:A3046,1,FALSE),0),1,0)</f>
        <v>0</v>
      </c>
    </row>
    <row r="547" spans="1:15" x14ac:dyDescent="0.25">
      <c r="A547">
        <v>546</v>
      </c>
      <c r="B547" s="1" t="s">
        <v>30</v>
      </c>
      <c r="C547" s="1">
        <f>car_price_prediction_[[#This Row],[Year2]]</f>
        <v>2012</v>
      </c>
      <c r="D547">
        <v>2012</v>
      </c>
      <c r="E547">
        <f>car_price_prediction_[[#This Row],[Engine Size]]/10</f>
        <v>5</v>
      </c>
      <c r="F547">
        <v>50</v>
      </c>
      <c r="G547" s="1" t="s">
        <v>21</v>
      </c>
      <c r="H547" s="1" t="s">
        <v>12</v>
      </c>
      <c r="I547" s="12">
        <f>car_price_prediction_[[#This Row],[Mileage]]/1000</f>
        <v>157.59100000000001</v>
      </c>
      <c r="J547" s="5">
        <v>157591</v>
      </c>
      <c r="K547" s="1" t="s">
        <v>17</v>
      </c>
      <c r="L547" s="5">
        <f>car_price_prediction_[[#This Row],[Price]]/100</f>
        <v>5891.59</v>
      </c>
      <c r="M547">
        <v>589159</v>
      </c>
      <c r="N547" s="1" t="s">
        <v>45</v>
      </c>
      <c r="O547" s="1">
        <f>IF(IFERROR(VLOOKUP(car_price_prediction_[[#This Row],[Car ID]],A548:A3047,1,FALSE),0),1,0)</f>
        <v>0</v>
      </c>
    </row>
    <row r="548" spans="1:15" x14ac:dyDescent="0.25">
      <c r="A548">
        <v>547</v>
      </c>
      <c r="B548" s="1" t="s">
        <v>43</v>
      </c>
      <c r="C548" s="1">
        <f>car_price_prediction_[[#This Row],[Year2]]</f>
        <v>2016</v>
      </c>
      <c r="D548">
        <v>2016</v>
      </c>
      <c r="E548">
        <f>car_price_prediction_[[#This Row],[Engine Size]]/10</f>
        <v>2.8</v>
      </c>
      <c r="F548">
        <v>28</v>
      </c>
      <c r="G548" s="1" t="s">
        <v>11</v>
      </c>
      <c r="H548" s="1" t="s">
        <v>22</v>
      </c>
      <c r="I548" s="12">
        <f>car_price_prediction_[[#This Row],[Mileage]]/1000</f>
        <v>271.25099999999998</v>
      </c>
      <c r="J548" s="5">
        <v>271251</v>
      </c>
      <c r="K548" s="1" t="s">
        <v>13</v>
      </c>
      <c r="L548" s="5">
        <f>car_price_prediction_[[#This Row],[Price]]/100</f>
        <v>8016.44</v>
      </c>
      <c r="M548">
        <v>801644</v>
      </c>
      <c r="N548" s="1" t="s">
        <v>50</v>
      </c>
      <c r="O548" s="1">
        <f>IF(IFERROR(VLOOKUP(car_price_prediction_[[#This Row],[Car ID]],A549:A3048,1,FALSE),0),1,0)</f>
        <v>0</v>
      </c>
    </row>
    <row r="549" spans="1:15" x14ac:dyDescent="0.25">
      <c r="A549">
        <v>548</v>
      </c>
      <c r="B549" s="1" t="s">
        <v>10</v>
      </c>
      <c r="C549" s="1">
        <f>car_price_prediction_[[#This Row],[Year2]]</f>
        <v>2008</v>
      </c>
      <c r="D549">
        <v>2008</v>
      </c>
      <c r="E549">
        <f>car_price_prediction_[[#This Row],[Engine Size]]/10</f>
        <v>1.4</v>
      </c>
      <c r="F549">
        <v>14</v>
      </c>
      <c r="G549" s="1" t="s">
        <v>29</v>
      </c>
      <c r="H549" s="1" t="s">
        <v>22</v>
      </c>
      <c r="I549" s="12">
        <f>car_price_prediction_[[#This Row],[Mileage]]/1000</f>
        <v>55.780999999999999</v>
      </c>
      <c r="J549" s="5">
        <v>55781</v>
      </c>
      <c r="K549" s="1" t="s">
        <v>17</v>
      </c>
      <c r="L549" s="5">
        <f>car_price_prediction_[[#This Row],[Price]]/100</f>
        <v>58177.06</v>
      </c>
      <c r="M549">
        <v>5817706</v>
      </c>
      <c r="N549" s="1" t="s">
        <v>49</v>
      </c>
      <c r="O549" s="1">
        <f>IF(IFERROR(VLOOKUP(car_price_prediction_[[#This Row],[Car ID]],A550:A3049,1,FALSE),0),1,0)</f>
        <v>0</v>
      </c>
    </row>
    <row r="550" spans="1:15" x14ac:dyDescent="0.25">
      <c r="A550">
        <v>549</v>
      </c>
      <c r="B550" s="1" t="s">
        <v>30</v>
      </c>
      <c r="C550" s="1">
        <f>car_price_prediction_[[#This Row],[Year2]]</f>
        <v>2016</v>
      </c>
      <c r="D550">
        <v>2016</v>
      </c>
      <c r="E550">
        <f>car_price_prediction_[[#This Row],[Engine Size]]/10</f>
        <v>3.8</v>
      </c>
      <c r="F550">
        <v>38</v>
      </c>
      <c r="G550" s="1" t="s">
        <v>29</v>
      </c>
      <c r="H550" s="1" t="s">
        <v>22</v>
      </c>
      <c r="I550" s="12">
        <f>car_price_prediction_[[#This Row],[Mileage]]/1000</f>
        <v>266.01299999999998</v>
      </c>
      <c r="J550" s="5">
        <v>266013</v>
      </c>
      <c r="K550" s="1" t="s">
        <v>17</v>
      </c>
      <c r="L550" s="5">
        <f>car_price_prediction_[[#This Row],[Price]]/100</f>
        <v>39038.44</v>
      </c>
      <c r="M550">
        <v>3903844</v>
      </c>
      <c r="N550" s="1" t="s">
        <v>45</v>
      </c>
      <c r="O550" s="1">
        <f>IF(IFERROR(VLOOKUP(car_price_prediction_[[#This Row],[Car ID]],A551:A3050,1,FALSE),0),1,0)</f>
        <v>0</v>
      </c>
    </row>
    <row r="551" spans="1:15" x14ac:dyDescent="0.25">
      <c r="A551">
        <v>550</v>
      </c>
      <c r="B551" s="1" t="s">
        <v>36</v>
      </c>
      <c r="C551" s="1">
        <f>car_price_prediction_[[#This Row],[Year2]]</f>
        <v>2023</v>
      </c>
      <c r="D551">
        <v>2023</v>
      </c>
      <c r="E551">
        <f>car_price_prediction_[[#This Row],[Engine Size]]/10</f>
        <v>5.2</v>
      </c>
      <c r="F551">
        <v>52</v>
      </c>
      <c r="G551" s="1" t="s">
        <v>29</v>
      </c>
      <c r="H551" s="1" t="s">
        <v>12</v>
      </c>
      <c r="I551" s="12">
        <f>car_price_prediction_[[#This Row],[Mileage]]/1000</f>
        <v>7.9710000000000001</v>
      </c>
      <c r="J551" s="5">
        <v>7971</v>
      </c>
      <c r="K551" s="1" t="s">
        <v>13</v>
      </c>
      <c r="L551" s="5">
        <f>car_price_prediction_[[#This Row],[Price]]/100</f>
        <v>13155.02</v>
      </c>
      <c r="M551">
        <v>1315502</v>
      </c>
      <c r="N551" s="1" t="s">
        <v>40</v>
      </c>
      <c r="O551" s="1">
        <f>IF(IFERROR(VLOOKUP(car_price_prediction_[[#This Row],[Car ID]],A552:A3051,1,FALSE),0),1,0)</f>
        <v>0</v>
      </c>
    </row>
    <row r="552" spans="1:15" x14ac:dyDescent="0.25">
      <c r="A552">
        <v>551</v>
      </c>
      <c r="B552" s="1" t="s">
        <v>36</v>
      </c>
      <c r="C552" s="1">
        <f>car_price_prediction_[[#This Row],[Year2]]</f>
        <v>2008</v>
      </c>
      <c r="D552">
        <v>2008</v>
      </c>
      <c r="E552">
        <f>car_price_prediction_[[#This Row],[Engine Size]]/10</f>
        <v>5</v>
      </c>
      <c r="F552">
        <v>50</v>
      </c>
      <c r="G552" s="1" t="s">
        <v>21</v>
      </c>
      <c r="H552" s="1" t="s">
        <v>12</v>
      </c>
      <c r="I552" s="12">
        <f>car_price_prediction_[[#This Row],[Mileage]]/1000</f>
        <v>254.92699999999999</v>
      </c>
      <c r="J552" s="5">
        <v>254927</v>
      </c>
      <c r="K552" s="1" t="s">
        <v>17</v>
      </c>
      <c r="L552" s="5">
        <f>car_price_prediction_[[#This Row],[Price]]/100</f>
        <v>74341.98</v>
      </c>
      <c r="M552">
        <v>7434198</v>
      </c>
      <c r="N552" s="1" t="s">
        <v>46</v>
      </c>
      <c r="O552" s="1">
        <f>IF(IFERROR(VLOOKUP(car_price_prediction_[[#This Row],[Car ID]],A553:A3052,1,FALSE),0),1,0)</f>
        <v>0</v>
      </c>
    </row>
    <row r="553" spans="1:15" x14ac:dyDescent="0.25">
      <c r="A553">
        <v>552</v>
      </c>
      <c r="B553" s="1" t="s">
        <v>43</v>
      </c>
      <c r="C553" s="1">
        <f>car_price_prediction_[[#This Row],[Year2]]</f>
        <v>2008</v>
      </c>
      <c r="D553">
        <v>2008</v>
      </c>
      <c r="E553">
        <f>car_price_prediction_[[#This Row],[Engine Size]]/10</f>
        <v>1.9</v>
      </c>
      <c r="F553">
        <v>19</v>
      </c>
      <c r="G553" s="1" t="s">
        <v>29</v>
      </c>
      <c r="H553" s="1" t="s">
        <v>12</v>
      </c>
      <c r="I553" s="12">
        <f>car_price_prediction_[[#This Row],[Mileage]]/1000</f>
        <v>287.79500000000002</v>
      </c>
      <c r="J553" s="5">
        <v>287795</v>
      </c>
      <c r="K553" s="1" t="s">
        <v>13</v>
      </c>
      <c r="L553" s="5">
        <f>car_price_prediction_[[#This Row],[Price]]/100</f>
        <v>87758.12</v>
      </c>
      <c r="M553">
        <v>8775812</v>
      </c>
      <c r="N553" s="1" t="s">
        <v>52</v>
      </c>
      <c r="O553" s="1">
        <f>IF(IFERROR(VLOOKUP(car_price_prediction_[[#This Row],[Car ID]],A554:A3053,1,FALSE),0),1,0)</f>
        <v>0</v>
      </c>
    </row>
    <row r="554" spans="1:15" x14ac:dyDescent="0.25">
      <c r="A554">
        <v>553</v>
      </c>
      <c r="B554" s="1" t="s">
        <v>19</v>
      </c>
      <c r="C554" s="1">
        <f>car_price_prediction_[[#This Row],[Year2]]</f>
        <v>2000</v>
      </c>
      <c r="D554">
        <v>2000</v>
      </c>
      <c r="E554">
        <f>car_price_prediction_[[#This Row],[Engine Size]]/10</f>
        <v>4.4000000000000004</v>
      </c>
      <c r="F554">
        <v>44</v>
      </c>
      <c r="G554" s="1" t="s">
        <v>21</v>
      </c>
      <c r="H554" s="1" t="s">
        <v>22</v>
      </c>
      <c r="I554" s="12">
        <f>car_price_prediction_[[#This Row],[Mileage]]/1000</f>
        <v>23.446000000000002</v>
      </c>
      <c r="J554" s="5">
        <v>23446</v>
      </c>
      <c r="K554" s="1" t="s">
        <v>13</v>
      </c>
      <c r="L554" s="5">
        <f>car_price_prediction_[[#This Row],[Price]]/100</f>
        <v>97156.13</v>
      </c>
      <c r="M554">
        <v>9715613</v>
      </c>
      <c r="N554" s="1" t="s">
        <v>20</v>
      </c>
      <c r="O554" s="1">
        <f>IF(IFERROR(VLOOKUP(car_price_prediction_[[#This Row],[Car ID]],A555:A3054,1,FALSE),0),1,0)</f>
        <v>0</v>
      </c>
    </row>
    <row r="555" spans="1:15" x14ac:dyDescent="0.25">
      <c r="A555">
        <v>554</v>
      </c>
      <c r="B555" s="1" t="s">
        <v>19</v>
      </c>
      <c r="C555" s="1">
        <f>car_price_prediction_[[#This Row],[Year2]]</f>
        <v>2001</v>
      </c>
      <c r="D555">
        <v>2001</v>
      </c>
      <c r="E555">
        <f>car_price_prediction_[[#This Row],[Engine Size]]/10</f>
        <v>2.1</v>
      </c>
      <c r="F555">
        <v>21</v>
      </c>
      <c r="G555" s="1" t="s">
        <v>11</v>
      </c>
      <c r="H555" s="1" t="s">
        <v>22</v>
      </c>
      <c r="I555" s="12">
        <f>car_price_prediction_[[#This Row],[Mileage]]/1000</f>
        <v>257.41899999999998</v>
      </c>
      <c r="J555" s="5">
        <v>257419</v>
      </c>
      <c r="K555" s="1" t="s">
        <v>17</v>
      </c>
      <c r="L555" s="5">
        <f>car_price_prediction_[[#This Row],[Price]]/100</f>
        <v>93026.99</v>
      </c>
      <c r="M555">
        <v>9302699</v>
      </c>
      <c r="N555" s="1" t="s">
        <v>20</v>
      </c>
      <c r="O555" s="1">
        <f>IF(IFERROR(VLOOKUP(car_price_prediction_[[#This Row],[Car ID]],A556:A3055,1,FALSE),0),1,0)</f>
        <v>0</v>
      </c>
    </row>
    <row r="556" spans="1:15" x14ac:dyDescent="0.25">
      <c r="A556">
        <v>555</v>
      </c>
      <c r="B556" s="1" t="s">
        <v>43</v>
      </c>
      <c r="C556" s="1">
        <f>car_price_prediction_[[#This Row],[Year2]]</f>
        <v>2015</v>
      </c>
      <c r="D556">
        <v>2015</v>
      </c>
      <c r="E556">
        <f>car_price_prediction_[[#This Row],[Engine Size]]/10</f>
        <v>2.1</v>
      </c>
      <c r="F556">
        <v>21</v>
      </c>
      <c r="G556" s="1" t="s">
        <v>16</v>
      </c>
      <c r="H556" s="1" t="s">
        <v>12</v>
      </c>
      <c r="I556" s="12">
        <f>car_price_prediction_[[#This Row],[Mileage]]/1000</f>
        <v>169.18</v>
      </c>
      <c r="J556" s="5">
        <v>169180</v>
      </c>
      <c r="K556" s="1" t="s">
        <v>25</v>
      </c>
      <c r="L556" s="5">
        <f>car_price_prediction_[[#This Row],[Price]]/100</f>
        <v>8075.47</v>
      </c>
      <c r="M556">
        <v>807547</v>
      </c>
      <c r="N556" s="1" t="s">
        <v>47</v>
      </c>
      <c r="O556" s="1">
        <f>IF(IFERROR(VLOOKUP(car_price_prediction_[[#This Row],[Car ID]],A557:A3056,1,FALSE),0),1,0)</f>
        <v>0</v>
      </c>
    </row>
    <row r="557" spans="1:15" x14ac:dyDescent="0.25">
      <c r="A557">
        <v>556</v>
      </c>
      <c r="B557" s="1" t="s">
        <v>19</v>
      </c>
      <c r="C557" s="1">
        <f>car_price_prediction_[[#This Row],[Year2]]</f>
        <v>2000</v>
      </c>
      <c r="D557">
        <v>2000</v>
      </c>
      <c r="E557">
        <f>car_price_prediction_[[#This Row],[Engine Size]]/10</f>
        <v>5.4</v>
      </c>
      <c r="F557">
        <v>54</v>
      </c>
      <c r="G557" s="1" t="s">
        <v>21</v>
      </c>
      <c r="H557" s="1" t="s">
        <v>12</v>
      </c>
      <c r="I557" s="12">
        <f>car_price_prediction_[[#This Row],[Mileage]]/1000</f>
        <v>3.823</v>
      </c>
      <c r="J557" s="5">
        <v>3823</v>
      </c>
      <c r="K557" s="1" t="s">
        <v>17</v>
      </c>
      <c r="L557" s="5">
        <f>car_price_prediction_[[#This Row],[Price]]/100</f>
        <v>66129.83</v>
      </c>
      <c r="M557">
        <v>6612983</v>
      </c>
      <c r="N557" s="1" t="s">
        <v>28</v>
      </c>
      <c r="O557" s="1">
        <f>IF(IFERROR(VLOOKUP(car_price_prediction_[[#This Row],[Car ID]],A558:A3057,1,FALSE),0),1,0)</f>
        <v>0</v>
      </c>
    </row>
    <row r="558" spans="1:15" x14ac:dyDescent="0.25">
      <c r="A558">
        <v>557</v>
      </c>
      <c r="B558" s="1" t="s">
        <v>10</v>
      </c>
      <c r="C558" s="1">
        <f>car_price_prediction_[[#This Row],[Year2]]</f>
        <v>2009</v>
      </c>
      <c r="D558">
        <v>2009</v>
      </c>
      <c r="E558">
        <f>car_price_prediction_[[#This Row],[Engine Size]]/10</f>
        <v>2.2000000000000002</v>
      </c>
      <c r="F558">
        <v>22</v>
      </c>
      <c r="G558" s="1" t="s">
        <v>21</v>
      </c>
      <c r="H558" s="1" t="s">
        <v>22</v>
      </c>
      <c r="I558" s="12">
        <f>car_price_prediction_[[#This Row],[Mileage]]/1000</f>
        <v>144.52600000000001</v>
      </c>
      <c r="J558" s="5">
        <v>144526</v>
      </c>
      <c r="K558" s="1" t="s">
        <v>25</v>
      </c>
      <c r="L558" s="5">
        <f>car_price_prediction_[[#This Row],[Price]]/100</f>
        <v>79238.710000000006</v>
      </c>
      <c r="M558">
        <v>7923871</v>
      </c>
      <c r="N558" s="1" t="s">
        <v>14</v>
      </c>
      <c r="O558" s="1">
        <f>IF(IFERROR(VLOOKUP(car_price_prediction_[[#This Row],[Car ID]],A559:A3058,1,FALSE),0),1,0)</f>
        <v>0</v>
      </c>
    </row>
    <row r="559" spans="1:15" x14ac:dyDescent="0.25">
      <c r="A559">
        <v>558</v>
      </c>
      <c r="B559" s="1" t="s">
        <v>10</v>
      </c>
      <c r="C559" s="1">
        <f>car_price_prediction_[[#This Row],[Year2]]</f>
        <v>2017</v>
      </c>
      <c r="D559">
        <v>2017</v>
      </c>
      <c r="E559">
        <f>car_price_prediction_[[#This Row],[Engine Size]]/10</f>
        <v>2.2999999999999998</v>
      </c>
      <c r="F559">
        <v>23</v>
      </c>
      <c r="G559" s="1" t="s">
        <v>16</v>
      </c>
      <c r="H559" s="1" t="s">
        <v>12</v>
      </c>
      <c r="I559" s="12">
        <f>car_price_prediction_[[#This Row],[Mileage]]/1000</f>
        <v>135.00399999999999</v>
      </c>
      <c r="J559" s="5">
        <v>135004</v>
      </c>
      <c r="K559" s="1" t="s">
        <v>13</v>
      </c>
      <c r="L559" s="5">
        <f>car_price_prediction_[[#This Row],[Price]]/100</f>
        <v>46047.95</v>
      </c>
      <c r="M559">
        <v>4604795</v>
      </c>
      <c r="N559" s="1" t="s">
        <v>14</v>
      </c>
      <c r="O559" s="1">
        <f>IF(IFERROR(VLOOKUP(car_price_prediction_[[#This Row],[Car ID]],A560:A3059,1,FALSE),0),1,0)</f>
        <v>0</v>
      </c>
    </row>
    <row r="560" spans="1:15" x14ac:dyDescent="0.25">
      <c r="A560">
        <v>559</v>
      </c>
      <c r="B560" s="1" t="s">
        <v>19</v>
      </c>
      <c r="C560" s="1">
        <f>car_price_prediction_[[#This Row],[Year2]]</f>
        <v>2007</v>
      </c>
      <c r="D560">
        <v>2007</v>
      </c>
      <c r="E560">
        <f>car_price_prediction_[[#This Row],[Engine Size]]/10</f>
        <v>1</v>
      </c>
      <c r="F560">
        <v>10</v>
      </c>
      <c r="G560" s="1" t="s">
        <v>16</v>
      </c>
      <c r="H560" s="1" t="s">
        <v>22</v>
      </c>
      <c r="I560" s="12">
        <f>car_price_prediction_[[#This Row],[Mileage]]/1000</f>
        <v>205.16200000000001</v>
      </c>
      <c r="J560" s="5">
        <v>205162</v>
      </c>
      <c r="K560" s="1" t="s">
        <v>25</v>
      </c>
      <c r="L560" s="5">
        <f>car_price_prediction_[[#This Row],[Price]]/100</f>
        <v>61503.74</v>
      </c>
      <c r="M560">
        <v>6150374</v>
      </c>
      <c r="N560" s="1" t="s">
        <v>20</v>
      </c>
      <c r="O560" s="1">
        <f>IF(IFERROR(VLOOKUP(car_price_prediction_[[#This Row],[Car ID]],A561:A3060,1,FALSE),0),1,0)</f>
        <v>0</v>
      </c>
    </row>
    <row r="561" spans="1:15" x14ac:dyDescent="0.25">
      <c r="A561">
        <v>560</v>
      </c>
      <c r="B561" s="1" t="s">
        <v>36</v>
      </c>
      <c r="C561" s="1">
        <f>car_price_prediction_[[#This Row],[Year2]]</f>
        <v>2020</v>
      </c>
      <c r="D561">
        <v>2020</v>
      </c>
      <c r="E561">
        <f>car_price_prediction_[[#This Row],[Engine Size]]/10</f>
        <v>5.4</v>
      </c>
      <c r="F561">
        <v>54</v>
      </c>
      <c r="G561" s="1" t="s">
        <v>11</v>
      </c>
      <c r="H561" s="1" t="s">
        <v>12</v>
      </c>
      <c r="I561" s="12">
        <f>car_price_prediction_[[#This Row],[Mileage]]/1000</f>
        <v>67.965000000000003</v>
      </c>
      <c r="J561" s="5">
        <v>67965</v>
      </c>
      <c r="K561" s="1" t="s">
        <v>17</v>
      </c>
      <c r="L561" s="5">
        <f>car_price_prediction_[[#This Row],[Price]]/100</f>
        <v>38126.480000000003</v>
      </c>
      <c r="M561">
        <v>3812648</v>
      </c>
      <c r="N561" s="1" t="s">
        <v>37</v>
      </c>
      <c r="O561" s="1">
        <f>IF(IFERROR(VLOOKUP(car_price_prediction_[[#This Row],[Car ID]],A562:A3061,1,FALSE),0),1,0)</f>
        <v>0</v>
      </c>
    </row>
    <row r="562" spans="1:15" x14ac:dyDescent="0.25">
      <c r="A562">
        <v>561</v>
      </c>
      <c r="B562" s="1" t="s">
        <v>19</v>
      </c>
      <c r="C562" s="1">
        <f>car_price_prediction_[[#This Row],[Year2]]</f>
        <v>2010</v>
      </c>
      <c r="D562">
        <v>2010</v>
      </c>
      <c r="E562">
        <f>car_price_prediction_[[#This Row],[Engine Size]]/10</f>
        <v>5</v>
      </c>
      <c r="F562">
        <v>50</v>
      </c>
      <c r="G562" s="1" t="s">
        <v>29</v>
      </c>
      <c r="H562" s="1" t="s">
        <v>22</v>
      </c>
      <c r="I562" s="12">
        <f>car_price_prediction_[[#This Row],[Mileage]]/1000</f>
        <v>272.654</v>
      </c>
      <c r="J562" s="5">
        <v>272654</v>
      </c>
      <c r="K562" s="1" t="s">
        <v>17</v>
      </c>
      <c r="L562" s="5">
        <f>car_price_prediction_[[#This Row],[Price]]/100</f>
        <v>36037.379999999997</v>
      </c>
      <c r="M562">
        <v>3603738</v>
      </c>
      <c r="N562" s="1" t="s">
        <v>27</v>
      </c>
      <c r="O562" s="1">
        <f>IF(IFERROR(VLOOKUP(car_price_prediction_[[#This Row],[Car ID]],A563:A3062,1,FALSE),0),1,0)</f>
        <v>0</v>
      </c>
    </row>
    <row r="563" spans="1:15" x14ac:dyDescent="0.25">
      <c r="A563">
        <v>562</v>
      </c>
      <c r="B563" s="1" t="s">
        <v>10</v>
      </c>
      <c r="C563" s="1">
        <f>car_price_prediction_[[#This Row],[Year2]]</f>
        <v>2022</v>
      </c>
      <c r="D563">
        <v>2022</v>
      </c>
      <c r="E563">
        <f>car_price_prediction_[[#This Row],[Engine Size]]/10</f>
        <v>4.0999999999999996</v>
      </c>
      <c r="F563">
        <v>41</v>
      </c>
      <c r="G563" s="1" t="s">
        <v>21</v>
      </c>
      <c r="H563" s="1" t="s">
        <v>12</v>
      </c>
      <c r="I563" s="12">
        <f>car_price_prediction_[[#This Row],[Mileage]]/1000</f>
        <v>141.60900000000001</v>
      </c>
      <c r="J563" s="5">
        <v>141609</v>
      </c>
      <c r="K563" s="1" t="s">
        <v>25</v>
      </c>
      <c r="L563" s="5">
        <f>car_price_prediction_[[#This Row],[Price]]/100</f>
        <v>76885.72</v>
      </c>
      <c r="M563">
        <v>7688572</v>
      </c>
      <c r="N563" s="1" t="s">
        <v>14</v>
      </c>
      <c r="O563" s="1">
        <f>IF(IFERROR(VLOOKUP(car_price_prediction_[[#This Row],[Car ID]],A564:A3063,1,FALSE),0),1,0)</f>
        <v>0</v>
      </c>
    </row>
    <row r="564" spans="1:15" x14ac:dyDescent="0.25">
      <c r="A564">
        <v>563</v>
      </c>
      <c r="B564" s="1" t="s">
        <v>24</v>
      </c>
      <c r="C564" s="1">
        <f>car_price_prediction_[[#This Row],[Year2]]</f>
        <v>2001</v>
      </c>
      <c r="D564">
        <v>2001</v>
      </c>
      <c r="E564">
        <f>car_price_prediction_[[#This Row],[Engine Size]]/10</f>
        <v>4.8</v>
      </c>
      <c r="F564">
        <v>48</v>
      </c>
      <c r="G564" s="1" t="s">
        <v>29</v>
      </c>
      <c r="H564" s="1" t="s">
        <v>12</v>
      </c>
      <c r="I564" s="12">
        <f>car_price_prediction_[[#This Row],[Mileage]]/1000</f>
        <v>105.935</v>
      </c>
      <c r="J564" s="5">
        <v>105935</v>
      </c>
      <c r="K564" s="1" t="s">
        <v>17</v>
      </c>
      <c r="L564" s="5">
        <f>car_price_prediction_[[#This Row],[Price]]/100</f>
        <v>48123.61</v>
      </c>
      <c r="M564">
        <v>4812361</v>
      </c>
      <c r="N564" s="1" t="s">
        <v>32</v>
      </c>
      <c r="O564" s="1">
        <f>IF(IFERROR(VLOOKUP(car_price_prediction_[[#This Row],[Car ID]],A565:A3064,1,FALSE),0),1,0)</f>
        <v>0</v>
      </c>
    </row>
    <row r="565" spans="1:15" x14ac:dyDescent="0.25">
      <c r="A565">
        <v>564</v>
      </c>
      <c r="B565" s="1" t="s">
        <v>15</v>
      </c>
      <c r="C565" s="1">
        <f>car_price_prediction_[[#This Row],[Year2]]</f>
        <v>2007</v>
      </c>
      <c r="D565">
        <v>2007</v>
      </c>
      <c r="E565">
        <f>car_price_prediction_[[#This Row],[Engine Size]]/10</f>
        <v>1.8</v>
      </c>
      <c r="F565">
        <v>18</v>
      </c>
      <c r="G565" s="1" t="s">
        <v>21</v>
      </c>
      <c r="H565" s="1" t="s">
        <v>22</v>
      </c>
      <c r="I565" s="12">
        <f>car_price_prediction_[[#This Row],[Mileage]]/1000</f>
        <v>233.70500000000001</v>
      </c>
      <c r="J565" s="5">
        <v>233705</v>
      </c>
      <c r="K565" s="1" t="s">
        <v>25</v>
      </c>
      <c r="L565" s="5">
        <f>car_price_prediction_[[#This Row],[Price]]/100</f>
        <v>25155.32</v>
      </c>
      <c r="M565">
        <v>2515532</v>
      </c>
      <c r="N565" s="1" t="s">
        <v>39</v>
      </c>
      <c r="O565" s="1">
        <f>IF(IFERROR(VLOOKUP(car_price_prediction_[[#This Row],[Car ID]],A566:A3065,1,FALSE),0),1,0)</f>
        <v>0</v>
      </c>
    </row>
    <row r="566" spans="1:15" x14ac:dyDescent="0.25">
      <c r="A566">
        <v>565</v>
      </c>
      <c r="B566" s="1" t="s">
        <v>30</v>
      </c>
      <c r="C566" s="1">
        <f>car_price_prediction_[[#This Row],[Year2]]</f>
        <v>2021</v>
      </c>
      <c r="D566">
        <v>2021</v>
      </c>
      <c r="E566">
        <f>car_price_prediction_[[#This Row],[Engine Size]]/10</f>
        <v>3.3</v>
      </c>
      <c r="F566">
        <v>33</v>
      </c>
      <c r="G566" s="1" t="s">
        <v>11</v>
      </c>
      <c r="H566" s="1" t="s">
        <v>22</v>
      </c>
      <c r="I566" s="12">
        <f>car_price_prediction_[[#This Row],[Mileage]]/1000</f>
        <v>253.97800000000001</v>
      </c>
      <c r="J566" s="5">
        <v>253978</v>
      </c>
      <c r="K566" s="1" t="s">
        <v>13</v>
      </c>
      <c r="L566" s="5">
        <f>car_price_prediction_[[#This Row],[Price]]/100</f>
        <v>24184.13</v>
      </c>
      <c r="M566">
        <v>2418413</v>
      </c>
      <c r="N566" s="1" t="s">
        <v>42</v>
      </c>
      <c r="O566" s="1">
        <f>IF(IFERROR(VLOOKUP(car_price_prediction_[[#This Row],[Car ID]],A567:A3066,1,FALSE),0),1,0)</f>
        <v>0</v>
      </c>
    </row>
    <row r="567" spans="1:15" x14ac:dyDescent="0.25">
      <c r="A567">
        <v>566</v>
      </c>
      <c r="B567" s="1" t="s">
        <v>24</v>
      </c>
      <c r="C567" s="1">
        <f>car_price_prediction_[[#This Row],[Year2]]</f>
        <v>2007</v>
      </c>
      <c r="D567">
        <v>2007</v>
      </c>
      <c r="E567">
        <f>car_price_prediction_[[#This Row],[Engine Size]]/10</f>
        <v>2.8</v>
      </c>
      <c r="F567">
        <v>28</v>
      </c>
      <c r="G567" s="1" t="s">
        <v>16</v>
      </c>
      <c r="H567" s="1" t="s">
        <v>22</v>
      </c>
      <c r="I567" s="12">
        <f>car_price_prediction_[[#This Row],[Mileage]]/1000</f>
        <v>144.85400000000001</v>
      </c>
      <c r="J567" s="5">
        <v>144854</v>
      </c>
      <c r="K567" s="1" t="s">
        <v>25</v>
      </c>
      <c r="L567" s="5">
        <f>car_price_prediction_[[#This Row],[Price]]/100</f>
        <v>86621.37</v>
      </c>
      <c r="M567">
        <v>8662137</v>
      </c>
      <c r="N567" s="1" t="s">
        <v>26</v>
      </c>
      <c r="O567" s="1">
        <f>IF(IFERROR(VLOOKUP(car_price_prediction_[[#This Row],[Car ID]],A568:A3067,1,FALSE),0),1,0)</f>
        <v>0</v>
      </c>
    </row>
    <row r="568" spans="1:15" x14ac:dyDescent="0.25">
      <c r="A568">
        <v>567</v>
      </c>
      <c r="B568" s="1" t="s">
        <v>19</v>
      </c>
      <c r="C568" s="1">
        <f>car_price_prediction_[[#This Row],[Year2]]</f>
        <v>2016</v>
      </c>
      <c r="D568">
        <v>2016</v>
      </c>
      <c r="E568">
        <f>car_price_prediction_[[#This Row],[Engine Size]]/10</f>
        <v>1.5</v>
      </c>
      <c r="F568">
        <v>15</v>
      </c>
      <c r="G568" s="1" t="s">
        <v>11</v>
      </c>
      <c r="H568" s="1" t="s">
        <v>12</v>
      </c>
      <c r="I568" s="12">
        <f>car_price_prediction_[[#This Row],[Mileage]]/1000</f>
        <v>78.004000000000005</v>
      </c>
      <c r="J568" s="5">
        <v>78004</v>
      </c>
      <c r="K568" s="1" t="s">
        <v>25</v>
      </c>
      <c r="L568" s="5">
        <f>car_price_prediction_[[#This Row],[Price]]/100</f>
        <v>69387.25</v>
      </c>
      <c r="M568">
        <v>6938725</v>
      </c>
      <c r="N568" s="1" t="s">
        <v>20</v>
      </c>
      <c r="O568" s="1">
        <f>IF(IFERROR(VLOOKUP(car_price_prediction_[[#This Row],[Car ID]],A569:A3068,1,FALSE),0),1,0)</f>
        <v>0</v>
      </c>
    </row>
    <row r="569" spans="1:15" x14ac:dyDescent="0.25">
      <c r="A569">
        <v>568</v>
      </c>
      <c r="B569" s="1" t="s">
        <v>36</v>
      </c>
      <c r="C569" s="1">
        <f>car_price_prediction_[[#This Row],[Year2]]</f>
        <v>2014</v>
      </c>
      <c r="D569">
        <v>2014</v>
      </c>
      <c r="E569">
        <f>car_price_prediction_[[#This Row],[Engine Size]]/10</f>
        <v>3.4</v>
      </c>
      <c r="F569">
        <v>34</v>
      </c>
      <c r="G569" s="1" t="s">
        <v>16</v>
      </c>
      <c r="H569" s="1" t="s">
        <v>22</v>
      </c>
      <c r="I569" s="12">
        <f>car_price_prediction_[[#This Row],[Mileage]]/1000</f>
        <v>22.071999999999999</v>
      </c>
      <c r="J569" s="5">
        <v>22072</v>
      </c>
      <c r="K569" s="1" t="s">
        <v>25</v>
      </c>
      <c r="L569" s="5">
        <f>car_price_prediction_[[#This Row],[Price]]/100</f>
        <v>56874.38</v>
      </c>
      <c r="M569">
        <v>5687438</v>
      </c>
      <c r="N569" s="1" t="s">
        <v>46</v>
      </c>
      <c r="O569" s="1">
        <f>IF(IFERROR(VLOOKUP(car_price_prediction_[[#This Row],[Car ID]],A570:A3069,1,FALSE),0),1,0)</f>
        <v>0</v>
      </c>
    </row>
    <row r="570" spans="1:15" x14ac:dyDescent="0.25">
      <c r="A570">
        <v>569</v>
      </c>
      <c r="B570" s="1" t="s">
        <v>43</v>
      </c>
      <c r="C570" s="1">
        <f>car_price_prediction_[[#This Row],[Year2]]</f>
        <v>2016</v>
      </c>
      <c r="D570">
        <v>2016</v>
      </c>
      <c r="E570">
        <f>car_price_prediction_[[#This Row],[Engine Size]]/10</f>
        <v>5.6</v>
      </c>
      <c r="F570">
        <v>56</v>
      </c>
      <c r="G570" s="1" t="s">
        <v>29</v>
      </c>
      <c r="H570" s="1" t="s">
        <v>22</v>
      </c>
      <c r="I570" s="12">
        <f>car_price_prediction_[[#This Row],[Mileage]]/1000</f>
        <v>81.015000000000001</v>
      </c>
      <c r="J570" s="5">
        <v>81015</v>
      </c>
      <c r="K570" s="1" t="s">
        <v>25</v>
      </c>
      <c r="L570" s="5">
        <f>car_price_prediction_[[#This Row],[Price]]/100</f>
        <v>43089.18</v>
      </c>
      <c r="M570">
        <v>4308918</v>
      </c>
      <c r="N570" s="1" t="s">
        <v>47</v>
      </c>
      <c r="O570" s="1">
        <f>IF(IFERROR(VLOOKUP(car_price_prediction_[[#This Row],[Car ID]],A571:A3070,1,FALSE),0),1,0)</f>
        <v>0</v>
      </c>
    </row>
    <row r="571" spans="1:15" x14ac:dyDescent="0.25">
      <c r="A571">
        <v>570</v>
      </c>
      <c r="B571" s="1" t="s">
        <v>19</v>
      </c>
      <c r="C571" s="1">
        <f>car_price_prediction_[[#This Row],[Year2]]</f>
        <v>2022</v>
      </c>
      <c r="D571">
        <v>2022</v>
      </c>
      <c r="E571">
        <f>car_price_prediction_[[#This Row],[Engine Size]]/10</f>
        <v>1.2</v>
      </c>
      <c r="F571">
        <v>12</v>
      </c>
      <c r="G571" s="1" t="s">
        <v>29</v>
      </c>
      <c r="H571" s="1" t="s">
        <v>12</v>
      </c>
      <c r="I571" s="12">
        <f>car_price_prediction_[[#This Row],[Mileage]]/1000</f>
        <v>225.07499999999999</v>
      </c>
      <c r="J571" s="5">
        <v>225075</v>
      </c>
      <c r="K571" s="1" t="s">
        <v>13</v>
      </c>
      <c r="L571" s="5">
        <f>car_price_prediction_[[#This Row],[Price]]/100</f>
        <v>45927.65</v>
      </c>
      <c r="M571">
        <v>4592765</v>
      </c>
      <c r="N571" s="1" t="s">
        <v>28</v>
      </c>
      <c r="O571" s="1">
        <f>IF(IFERROR(VLOOKUP(car_price_prediction_[[#This Row],[Car ID]],A572:A3071,1,FALSE),0),1,0)</f>
        <v>0</v>
      </c>
    </row>
    <row r="572" spans="1:15" x14ac:dyDescent="0.25">
      <c r="A572">
        <v>571</v>
      </c>
      <c r="B572" s="1" t="s">
        <v>36</v>
      </c>
      <c r="C572" s="1">
        <f>car_price_prediction_[[#This Row],[Year2]]</f>
        <v>2023</v>
      </c>
      <c r="D572">
        <v>2023</v>
      </c>
      <c r="E572">
        <f>car_price_prediction_[[#This Row],[Engine Size]]/10</f>
        <v>2.5</v>
      </c>
      <c r="F572">
        <v>25</v>
      </c>
      <c r="G572" s="1" t="s">
        <v>11</v>
      </c>
      <c r="H572" s="1" t="s">
        <v>22</v>
      </c>
      <c r="I572" s="12">
        <f>car_price_prediction_[[#This Row],[Mileage]]/1000</f>
        <v>220.01</v>
      </c>
      <c r="J572" s="5">
        <v>220010</v>
      </c>
      <c r="K572" s="1" t="s">
        <v>13</v>
      </c>
      <c r="L572" s="5">
        <f>car_price_prediction_[[#This Row],[Price]]/100</f>
        <v>10456.34</v>
      </c>
      <c r="M572">
        <v>1045634</v>
      </c>
      <c r="N572" s="1" t="s">
        <v>37</v>
      </c>
      <c r="O572" s="1">
        <f>IF(IFERROR(VLOOKUP(car_price_prediction_[[#This Row],[Car ID]],A573:A3072,1,FALSE),0),1,0)</f>
        <v>0</v>
      </c>
    </row>
    <row r="573" spans="1:15" x14ac:dyDescent="0.25">
      <c r="A573">
        <v>572</v>
      </c>
      <c r="B573" s="1" t="s">
        <v>15</v>
      </c>
      <c r="C573" s="1">
        <f>car_price_prediction_[[#This Row],[Year2]]</f>
        <v>2012</v>
      </c>
      <c r="D573">
        <v>2012</v>
      </c>
      <c r="E573">
        <f>car_price_prediction_[[#This Row],[Engine Size]]/10</f>
        <v>2</v>
      </c>
      <c r="F573">
        <v>20</v>
      </c>
      <c r="G573" s="1" t="s">
        <v>16</v>
      </c>
      <c r="H573" s="1" t="s">
        <v>22</v>
      </c>
      <c r="I573" s="12">
        <f>car_price_prediction_[[#This Row],[Mileage]]/1000</f>
        <v>72.745999999999995</v>
      </c>
      <c r="J573" s="5">
        <v>72746</v>
      </c>
      <c r="K573" s="1" t="s">
        <v>13</v>
      </c>
      <c r="L573" s="5">
        <f>car_price_prediction_[[#This Row],[Price]]/100</f>
        <v>48216.46</v>
      </c>
      <c r="M573">
        <v>4821646</v>
      </c>
      <c r="N573" s="1" t="s">
        <v>51</v>
      </c>
      <c r="O573" s="1">
        <f>IF(IFERROR(VLOOKUP(car_price_prediction_[[#This Row],[Car ID]],A574:A3073,1,FALSE),0),1,0)</f>
        <v>0</v>
      </c>
    </row>
    <row r="574" spans="1:15" x14ac:dyDescent="0.25">
      <c r="A574">
        <v>573</v>
      </c>
      <c r="B574" s="1" t="s">
        <v>19</v>
      </c>
      <c r="C574" s="1">
        <f>car_price_prediction_[[#This Row],[Year2]]</f>
        <v>2018</v>
      </c>
      <c r="D574">
        <v>2018</v>
      </c>
      <c r="E574">
        <f>car_price_prediction_[[#This Row],[Engine Size]]/10</f>
        <v>2.2000000000000002</v>
      </c>
      <c r="F574">
        <v>22</v>
      </c>
      <c r="G574" s="1" t="s">
        <v>11</v>
      </c>
      <c r="H574" s="1" t="s">
        <v>22</v>
      </c>
      <c r="I574" s="12">
        <f>car_price_prediction_[[#This Row],[Mileage]]/1000</f>
        <v>176.774</v>
      </c>
      <c r="J574" s="5">
        <v>176774</v>
      </c>
      <c r="K574" s="1" t="s">
        <v>25</v>
      </c>
      <c r="L574" s="5">
        <f>car_price_prediction_[[#This Row],[Price]]/100</f>
        <v>80568.22</v>
      </c>
      <c r="M574">
        <v>8056822</v>
      </c>
      <c r="N574" s="1" t="s">
        <v>28</v>
      </c>
      <c r="O574" s="1">
        <f>IF(IFERROR(VLOOKUP(car_price_prediction_[[#This Row],[Car ID]],A575:A3074,1,FALSE),0),1,0)</f>
        <v>0</v>
      </c>
    </row>
    <row r="575" spans="1:15" x14ac:dyDescent="0.25">
      <c r="A575">
        <v>574</v>
      </c>
      <c r="B575" s="1" t="s">
        <v>10</v>
      </c>
      <c r="C575" s="1">
        <f>car_price_prediction_[[#This Row],[Year2]]</f>
        <v>2004</v>
      </c>
      <c r="D575">
        <v>2004</v>
      </c>
      <c r="E575">
        <f>car_price_prediction_[[#This Row],[Engine Size]]/10</f>
        <v>5.5</v>
      </c>
      <c r="F575">
        <v>55</v>
      </c>
      <c r="G575" s="1" t="s">
        <v>16</v>
      </c>
      <c r="H575" s="1" t="s">
        <v>12</v>
      </c>
      <c r="I575" s="12">
        <f>car_price_prediction_[[#This Row],[Mileage]]/1000</f>
        <v>128.25899999999999</v>
      </c>
      <c r="J575" s="5">
        <v>128259</v>
      </c>
      <c r="K575" s="1" t="s">
        <v>13</v>
      </c>
      <c r="L575" s="5">
        <f>car_price_prediction_[[#This Row],[Price]]/100</f>
        <v>41858.720000000001</v>
      </c>
      <c r="M575">
        <v>4185872</v>
      </c>
      <c r="N575" s="1" t="s">
        <v>14</v>
      </c>
      <c r="O575" s="1">
        <f>IF(IFERROR(VLOOKUP(car_price_prediction_[[#This Row],[Car ID]],A576:A3075,1,FALSE),0),1,0)</f>
        <v>0</v>
      </c>
    </row>
    <row r="576" spans="1:15" x14ac:dyDescent="0.25">
      <c r="A576">
        <v>575</v>
      </c>
      <c r="B576" s="1" t="s">
        <v>43</v>
      </c>
      <c r="C576" s="1">
        <f>car_price_prediction_[[#This Row],[Year2]]</f>
        <v>2011</v>
      </c>
      <c r="D576">
        <v>2011</v>
      </c>
      <c r="E576">
        <f>car_price_prediction_[[#This Row],[Engine Size]]/10</f>
        <v>3.3</v>
      </c>
      <c r="F576">
        <v>33</v>
      </c>
      <c r="G576" s="1" t="s">
        <v>16</v>
      </c>
      <c r="H576" s="1" t="s">
        <v>12</v>
      </c>
      <c r="I576" s="12">
        <f>car_price_prediction_[[#This Row],[Mileage]]/1000</f>
        <v>30.916</v>
      </c>
      <c r="J576" s="5">
        <v>30916</v>
      </c>
      <c r="K576" s="1" t="s">
        <v>17</v>
      </c>
      <c r="L576" s="5">
        <f>car_price_prediction_[[#This Row],[Price]]/100</f>
        <v>41440.22</v>
      </c>
      <c r="M576">
        <v>4144022</v>
      </c>
      <c r="N576" s="1" t="s">
        <v>44</v>
      </c>
      <c r="O576" s="1">
        <f>IF(IFERROR(VLOOKUP(car_price_prediction_[[#This Row],[Car ID]],A577:A3076,1,FALSE),0),1,0)</f>
        <v>0</v>
      </c>
    </row>
    <row r="577" spans="1:15" x14ac:dyDescent="0.25">
      <c r="A577">
        <v>576</v>
      </c>
      <c r="B577" s="1" t="s">
        <v>36</v>
      </c>
      <c r="C577" s="1">
        <f>car_price_prediction_[[#This Row],[Year2]]</f>
        <v>2000</v>
      </c>
      <c r="D577">
        <v>2000</v>
      </c>
      <c r="E577">
        <f>car_price_prediction_[[#This Row],[Engine Size]]/10</f>
        <v>3.3</v>
      </c>
      <c r="F577">
        <v>33</v>
      </c>
      <c r="G577" s="1" t="s">
        <v>29</v>
      </c>
      <c r="H577" s="1" t="s">
        <v>12</v>
      </c>
      <c r="I577" s="12">
        <f>car_price_prediction_[[#This Row],[Mileage]]/1000</f>
        <v>27.268000000000001</v>
      </c>
      <c r="J577" s="5">
        <v>27268</v>
      </c>
      <c r="K577" s="1" t="s">
        <v>13</v>
      </c>
      <c r="L577" s="5">
        <f>car_price_prediction_[[#This Row],[Price]]/100</f>
        <v>6493.08</v>
      </c>
      <c r="M577">
        <v>649308</v>
      </c>
      <c r="N577" s="1" t="s">
        <v>37</v>
      </c>
      <c r="O577" s="1">
        <f>IF(IFERROR(VLOOKUP(car_price_prediction_[[#This Row],[Car ID]],A578:A3077,1,FALSE),0),1,0)</f>
        <v>0</v>
      </c>
    </row>
    <row r="578" spans="1:15" x14ac:dyDescent="0.25">
      <c r="A578">
        <v>577</v>
      </c>
      <c r="B578" s="1" t="s">
        <v>36</v>
      </c>
      <c r="C578" s="1">
        <f>car_price_prediction_[[#This Row],[Year2]]</f>
        <v>2022</v>
      </c>
      <c r="D578">
        <v>2022</v>
      </c>
      <c r="E578">
        <f>car_price_prediction_[[#This Row],[Engine Size]]/10</f>
        <v>4.8</v>
      </c>
      <c r="F578">
        <v>48</v>
      </c>
      <c r="G578" s="1" t="s">
        <v>29</v>
      </c>
      <c r="H578" s="1" t="s">
        <v>22</v>
      </c>
      <c r="I578" s="12">
        <f>car_price_prediction_[[#This Row],[Mileage]]/1000</f>
        <v>175.05</v>
      </c>
      <c r="J578" s="5">
        <v>175050</v>
      </c>
      <c r="K578" s="1" t="s">
        <v>25</v>
      </c>
      <c r="L578" s="5">
        <f>car_price_prediction_[[#This Row],[Price]]/100</f>
        <v>48494.35</v>
      </c>
      <c r="M578">
        <v>4849435</v>
      </c>
      <c r="N578" s="1" t="s">
        <v>41</v>
      </c>
      <c r="O578" s="1">
        <f>IF(IFERROR(VLOOKUP(car_price_prediction_[[#This Row],[Car ID]],A579:A3078,1,FALSE),0),1,0)</f>
        <v>0</v>
      </c>
    </row>
    <row r="579" spans="1:15" x14ac:dyDescent="0.25">
      <c r="A579">
        <v>578</v>
      </c>
      <c r="B579" s="1" t="s">
        <v>36</v>
      </c>
      <c r="C579" s="1">
        <f>car_price_prediction_[[#This Row],[Year2]]</f>
        <v>2004</v>
      </c>
      <c r="D579">
        <v>2004</v>
      </c>
      <c r="E579">
        <f>car_price_prediction_[[#This Row],[Engine Size]]/10</f>
        <v>1.8</v>
      </c>
      <c r="F579">
        <v>18</v>
      </c>
      <c r="G579" s="1" t="s">
        <v>16</v>
      </c>
      <c r="H579" s="1" t="s">
        <v>12</v>
      </c>
      <c r="I579" s="12">
        <f>car_price_prediction_[[#This Row],[Mileage]]/1000</f>
        <v>243.96600000000001</v>
      </c>
      <c r="J579" s="5">
        <v>243966</v>
      </c>
      <c r="K579" s="1" t="s">
        <v>17</v>
      </c>
      <c r="L579" s="5">
        <f>car_price_prediction_[[#This Row],[Price]]/100</f>
        <v>7407.08</v>
      </c>
      <c r="M579">
        <v>740708</v>
      </c>
      <c r="N579" s="1" t="s">
        <v>40</v>
      </c>
      <c r="O579" s="1">
        <f>IF(IFERROR(VLOOKUP(car_price_prediction_[[#This Row],[Car ID]],A580:A3079,1,FALSE),0),1,0)</f>
        <v>0</v>
      </c>
    </row>
    <row r="580" spans="1:15" x14ac:dyDescent="0.25">
      <c r="A580">
        <v>579</v>
      </c>
      <c r="B580" s="1" t="s">
        <v>15</v>
      </c>
      <c r="C580" s="1">
        <f>car_price_prediction_[[#This Row],[Year2]]</f>
        <v>2007</v>
      </c>
      <c r="D580">
        <v>2007</v>
      </c>
      <c r="E580">
        <f>car_price_prediction_[[#This Row],[Engine Size]]/10</f>
        <v>3.4</v>
      </c>
      <c r="F580">
        <v>34</v>
      </c>
      <c r="G580" s="1" t="s">
        <v>16</v>
      </c>
      <c r="H580" s="1" t="s">
        <v>22</v>
      </c>
      <c r="I580" s="12">
        <f>car_price_prediction_[[#This Row],[Mileage]]/1000</f>
        <v>23.259</v>
      </c>
      <c r="J580" s="5">
        <v>23259</v>
      </c>
      <c r="K580" s="1" t="s">
        <v>25</v>
      </c>
      <c r="L580" s="5">
        <f>car_price_prediction_[[#This Row],[Price]]/100</f>
        <v>5918.32</v>
      </c>
      <c r="M580">
        <v>591832</v>
      </c>
      <c r="N580" s="1" t="s">
        <v>18</v>
      </c>
      <c r="O580" s="1">
        <f>IF(IFERROR(VLOOKUP(car_price_prediction_[[#This Row],[Car ID]],A581:A3080,1,FALSE),0),1,0)</f>
        <v>0</v>
      </c>
    </row>
    <row r="581" spans="1:15" x14ac:dyDescent="0.25">
      <c r="A581">
        <v>580</v>
      </c>
      <c r="B581" s="1" t="s">
        <v>19</v>
      </c>
      <c r="C581" s="1">
        <f>car_price_prediction_[[#This Row],[Year2]]</f>
        <v>2012</v>
      </c>
      <c r="D581">
        <v>2012</v>
      </c>
      <c r="E581">
        <f>car_price_prediction_[[#This Row],[Engine Size]]/10</f>
        <v>3.1</v>
      </c>
      <c r="F581">
        <v>31</v>
      </c>
      <c r="G581" s="1" t="s">
        <v>16</v>
      </c>
      <c r="H581" s="1" t="s">
        <v>22</v>
      </c>
      <c r="I581" s="12">
        <f>car_price_prediction_[[#This Row],[Mileage]]/1000</f>
        <v>79.400000000000006</v>
      </c>
      <c r="J581" s="5">
        <v>79400</v>
      </c>
      <c r="K581" s="1" t="s">
        <v>17</v>
      </c>
      <c r="L581" s="5">
        <f>car_price_prediction_[[#This Row],[Price]]/100</f>
        <v>53144.42</v>
      </c>
      <c r="M581">
        <v>5314442</v>
      </c>
      <c r="N581" s="1" t="s">
        <v>28</v>
      </c>
      <c r="O581" s="1">
        <f>IF(IFERROR(VLOOKUP(car_price_prediction_[[#This Row],[Car ID]],A582:A3081,1,FALSE),0),1,0)</f>
        <v>0</v>
      </c>
    </row>
    <row r="582" spans="1:15" x14ac:dyDescent="0.25">
      <c r="A582">
        <v>581</v>
      </c>
      <c r="B582" s="1" t="s">
        <v>15</v>
      </c>
      <c r="C582" s="1">
        <f>car_price_prediction_[[#This Row],[Year2]]</f>
        <v>2007</v>
      </c>
      <c r="D582">
        <v>2007</v>
      </c>
      <c r="E582">
        <f>car_price_prediction_[[#This Row],[Engine Size]]/10</f>
        <v>4</v>
      </c>
      <c r="F582">
        <v>40</v>
      </c>
      <c r="G582" s="1" t="s">
        <v>29</v>
      </c>
      <c r="H582" s="1" t="s">
        <v>22</v>
      </c>
      <c r="I582" s="12">
        <f>car_price_prediction_[[#This Row],[Mileage]]/1000</f>
        <v>296.43700000000001</v>
      </c>
      <c r="J582" s="5">
        <v>296437</v>
      </c>
      <c r="K582" s="1" t="s">
        <v>25</v>
      </c>
      <c r="L582" s="5">
        <f>car_price_prediction_[[#This Row],[Price]]/100</f>
        <v>84800.81</v>
      </c>
      <c r="M582">
        <v>8480081</v>
      </c>
      <c r="N582" s="1" t="s">
        <v>51</v>
      </c>
      <c r="O582" s="1">
        <f>IF(IFERROR(VLOOKUP(car_price_prediction_[[#This Row],[Car ID]],A583:A3082,1,FALSE),0),1,0)</f>
        <v>0</v>
      </c>
    </row>
    <row r="583" spans="1:15" x14ac:dyDescent="0.25">
      <c r="A583">
        <v>582</v>
      </c>
      <c r="B583" s="1" t="s">
        <v>30</v>
      </c>
      <c r="C583" s="1">
        <f>car_price_prediction_[[#This Row],[Year2]]</f>
        <v>2022</v>
      </c>
      <c r="D583">
        <v>2022</v>
      </c>
      <c r="E583">
        <f>car_price_prediction_[[#This Row],[Engine Size]]/10</f>
        <v>6</v>
      </c>
      <c r="F583">
        <v>60</v>
      </c>
      <c r="G583" s="1" t="s">
        <v>29</v>
      </c>
      <c r="H583" s="1" t="s">
        <v>12</v>
      </c>
      <c r="I583" s="12">
        <f>car_price_prediction_[[#This Row],[Mileage]]/1000</f>
        <v>111.581</v>
      </c>
      <c r="J583" s="5">
        <v>111581</v>
      </c>
      <c r="K583" s="1" t="s">
        <v>25</v>
      </c>
      <c r="L583" s="5">
        <f>car_price_prediction_[[#This Row],[Price]]/100</f>
        <v>60269.16</v>
      </c>
      <c r="M583">
        <v>6026916</v>
      </c>
      <c r="N583" s="1" t="s">
        <v>45</v>
      </c>
      <c r="O583" s="1">
        <f>IF(IFERROR(VLOOKUP(car_price_prediction_[[#This Row],[Car ID]],A584:A3083,1,FALSE),0),1,0)</f>
        <v>0</v>
      </c>
    </row>
    <row r="584" spans="1:15" x14ac:dyDescent="0.25">
      <c r="A584">
        <v>583</v>
      </c>
      <c r="B584" s="1" t="s">
        <v>30</v>
      </c>
      <c r="C584" s="1">
        <f>car_price_prediction_[[#This Row],[Year2]]</f>
        <v>2010</v>
      </c>
      <c r="D584">
        <v>2010</v>
      </c>
      <c r="E584">
        <f>car_price_prediction_[[#This Row],[Engine Size]]/10</f>
        <v>4.8</v>
      </c>
      <c r="F584">
        <v>48</v>
      </c>
      <c r="G584" s="1" t="s">
        <v>21</v>
      </c>
      <c r="H584" s="1" t="s">
        <v>12</v>
      </c>
      <c r="I584" s="12">
        <f>car_price_prediction_[[#This Row],[Mileage]]/1000</f>
        <v>7.0430000000000001</v>
      </c>
      <c r="J584" s="5">
        <v>7043</v>
      </c>
      <c r="K584" s="1" t="s">
        <v>17</v>
      </c>
      <c r="L584" s="5">
        <f>car_price_prediction_[[#This Row],[Price]]/100</f>
        <v>3572.56</v>
      </c>
      <c r="M584">
        <v>357256</v>
      </c>
      <c r="N584" s="1" t="s">
        <v>45</v>
      </c>
      <c r="O584" s="1">
        <f>IF(IFERROR(VLOOKUP(car_price_prediction_[[#This Row],[Car ID]],A585:A3084,1,FALSE),0),1,0)</f>
        <v>0</v>
      </c>
    </row>
    <row r="585" spans="1:15" x14ac:dyDescent="0.25">
      <c r="A585">
        <v>584</v>
      </c>
      <c r="B585" s="1" t="s">
        <v>19</v>
      </c>
      <c r="C585" s="1">
        <f>car_price_prediction_[[#This Row],[Year2]]</f>
        <v>2000</v>
      </c>
      <c r="D585">
        <v>2000</v>
      </c>
      <c r="E585">
        <f>car_price_prediction_[[#This Row],[Engine Size]]/10</f>
        <v>3</v>
      </c>
      <c r="F585">
        <v>30</v>
      </c>
      <c r="G585" s="1" t="s">
        <v>16</v>
      </c>
      <c r="H585" s="1" t="s">
        <v>22</v>
      </c>
      <c r="I585" s="12">
        <f>car_price_prediction_[[#This Row],[Mileage]]/1000</f>
        <v>181.50200000000001</v>
      </c>
      <c r="J585" s="5">
        <v>181502</v>
      </c>
      <c r="K585" s="1" t="s">
        <v>13</v>
      </c>
      <c r="L585" s="5">
        <f>car_price_prediction_[[#This Row],[Price]]/100</f>
        <v>54041.95</v>
      </c>
      <c r="M585">
        <v>5404195</v>
      </c>
      <c r="N585" s="1" t="s">
        <v>27</v>
      </c>
      <c r="O585" s="1">
        <f>IF(IFERROR(VLOOKUP(car_price_prediction_[[#This Row],[Car ID]],A586:A3085,1,FALSE),0),1,0)</f>
        <v>0</v>
      </c>
    </row>
    <row r="586" spans="1:15" x14ac:dyDescent="0.25">
      <c r="A586">
        <v>585</v>
      </c>
      <c r="B586" s="1" t="s">
        <v>10</v>
      </c>
      <c r="C586" s="1">
        <f>car_price_prediction_[[#This Row],[Year2]]</f>
        <v>2012</v>
      </c>
      <c r="D586">
        <v>2012</v>
      </c>
      <c r="E586">
        <f>car_price_prediction_[[#This Row],[Engine Size]]/10</f>
        <v>5.0999999999999996</v>
      </c>
      <c r="F586">
        <v>51</v>
      </c>
      <c r="G586" s="1" t="s">
        <v>21</v>
      </c>
      <c r="H586" s="1" t="s">
        <v>22</v>
      </c>
      <c r="I586" s="12">
        <f>car_price_prediction_[[#This Row],[Mileage]]/1000</f>
        <v>107.009</v>
      </c>
      <c r="J586" s="5">
        <v>107009</v>
      </c>
      <c r="K586" s="1" t="s">
        <v>17</v>
      </c>
      <c r="L586" s="5">
        <f>car_price_prediction_[[#This Row],[Price]]/100</f>
        <v>7147.21</v>
      </c>
      <c r="M586">
        <v>714721</v>
      </c>
      <c r="N586" s="1" t="s">
        <v>23</v>
      </c>
      <c r="O586" s="1">
        <f>IF(IFERROR(VLOOKUP(car_price_prediction_[[#This Row],[Car ID]],A587:A3086,1,FALSE),0),1,0)</f>
        <v>0</v>
      </c>
    </row>
    <row r="587" spans="1:15" x14ac:dyDescent="0.25">
      <c r="A587">
        <v>586</v>
      </c>
      <c r="B587" s="1" t="s">
        <v>15</v>
      </c>
      <c r="C587" s="1">
        <f>car_price_prediction_[[#This Row],[Year2]]</f>
        <v>2018</v>
      </c>
      <c r="D587">
        <v>2018</v>
      </c>
      <c r="E587">
        <f>car_price_prediction_[[#This Row],[Engine Size]]/10</f>
        <v>1.9</v>
      </c>
      <c r="F587">
        <v>19</v>
      </c>
      <c r="G587" s="1" t="s">
        <v>16</v>
      </c>
      <c r="H587" s="1" t="s">
        <v>12</v>
      </c>
      <c r="I587" s="12">
        <f>car_price_prediction_[[#This Row],[Mileage]]/1000</f>
        <v>209.137</v>
      </c>
      <c r="J587" s="5">
        <v>209137</v>
      </c>
      <c r="K587" s="1" t="s">
        <v>17</v>
      </c>
      <c r="L587" s="5">
        <f>car_price_prediction_[[#This Row],[Price]]/100</f>
        <v>13926.56</v>
      </c>
      <c r="M587">
        <v>1392656</v>
      </c>
      <c r="N587" s="1" t="s">
        <v>39</v>
      </c>
      <c r="O587" s="1">
        <f>IF(IFERROR(VLOOKUP(car_price_prediction_[[#This Row],[Car ID]],A588:A3087,1,FALSE),0),1,0)</f>
        <v>0</v>
      </c>
    </row>
    <row r="588" spans="1:15" x14ac:dyDescent="0.25">
      <c r="A588">
        <v>587</v>
      </c>
      <c r="B588" s="1" t="s">
        <v>43</v>
      </c>
      <c r="C588" s="1">
        <f>car_price_prediction_[[#This Row],[Year2]]</f>
        <v>2023</v>
      </c>
      <c r="D588">
        <v>2023</v>
      </c>
      <c r="E588">
        <f>car_price_prediction_[[#This Row],[Engine Size]]/10</f>
        <v>1.2</v>
      </c>
      <c r="F588">
        <v>12</v>
      </c>
      <c r="G588" s="1" t="s">
        <v>29</v>
      </c>
      <c r="H588" s="1" t="s">
        <v>12</v>
      </c>
      <c r="I588" s="12">
        <f>car_price_prediction_[[#This Row],[Mileage]]/1000</f>
        <v>161.94</v>
      </c>
      <c r="J588" s="5">
        <v>161940</v>
      </c>
      <c r="K588" s="1" t="s">
        <v>17</v>
      </c>
      <c r="L588" s="5">
        <f>car_price_prediction_[[#This Row],[Price]]/100</f>
        <v>64002.04</v>
      </c>
      <c r="M588">
        <v>6400204</v>
      </c>
      <c r="N588" s="1" t="s">
        <v>52</v>
      </c>
      <c r="O588" s="1">
        <f>IF(IFERROR(VLOOKUP(car_price_prediction_[[#This Row],[Car ID]],A589:A3088,1,FALSE),0),1,0)</f>
        <v>0</v>
      </c>
    </row>
    <row r="589" spans="1:15" x14ac:dyDescent="0.25">
      <c r="A589">
        <v>588</v>
      </c>
      <c r="B589" s="1" t="s">
        <v>36</v>
      </c>
      <c r="C589" s="1">
        <f>car_price_prediction_[[#This Row],[Year2]]</f>
        <v>2002</v>
      </c>
      <c r="D589">
        <v>2002</v>
      </c>
      <c r="E589">
        <f>car_price_prediction_[[#This Row],[Engine Size]]/10</f>
        <v>2</v>
      </c>
      <c r="F589">
        <v>20</v>
      </c>
      <c r="G589" s="1" t="s">
        <v>21</v>
      </c>
      <c r="H589" s="1" t="s">
        <v>12</v>
      </c>
      <c r="I589" s="12">
        <f>car_price_prediction_[[#This Row],[Mileage]]/1000</f>
        <v>288.45299999999997</v>
      </c>
      <c r="J589" s="5">
        <v>288453</v>
      </c>
      <c r="K589" s="1" t="s">
        <v>17</v>
      </c>
      <c r="L589" s="5">
        <f>car_price_prediction_[[#This Row],[Price]]/100</f>
        <v>9207.9500000000007</v>
      </c>
      <c r="M589">
        <v>920795</v>
      </c>
      <c r="N589" s="1" t="s">
        <v>41</v>
      </c>
      <c r="O589" s="1">
        <f>IF(IFERROR(VLOOKUP(car_price_prediction_[[#This Row],[Car ID]],A590:A3089,1,FALSE),0),1,0)</f>
        <v>0</v>
      </c>
    </row>
    <row r="590" spans="1:15" x14ac:dyDescent="0.25">
      <c r="A590">
        <v>589</v>
      </c>
      <c r="B590" s="1" t="s">
        <v>36</v>
      </c>
      <c r="C590" s="1">
        <f>car_price_prediction_[[#This Row],[Year2]]</f>
        <v>2023</v>
      </c>
      <c r="D590">
        <v>2023</v>
      </c>
      <c r="E590">
        <f>car_price_prediction_[[#This Row],[Engine Size]]/10</f>
        <v>2.7</v>
      </c>
      <c r="F590">
        <v>27</v>
      </c>
      <c r="G590" s="1" t="s">
        <v>21</v>
      </c>
      <c r="H590" s="1" t="s">
        <v>22</v>
      </c>
      <c r="I590" s="12">
        <f>car_price_prediction_[[#This Row],[Mileage]]/1000</f>
        <v>285.428</v>
      </c>
      <c r="J590" s="5">
        <v>285428</v>
      </c>
      <c r="K590" s="1" t="s">
        <v>17</v>
      </c>
      <c r="L590" s="5">
        <f>car_price_prediction_[[#This Row],[Price]]/100</f>
        <v>33417.379999999997</v>
      </c>
      <c r="M590">
        <v>3341738</v>
      </c>
      <c r="N590" s="1" t="s">
        <v>46</v>
      </c>
      <c r="O590" s="1">
        <f>IF(IFERROR(VLOOKUP(car_price_prediction_[[#This Row],[Car ID]],A591:A3090,1,FALSE),0),1,0)</f>
        <v>0</v>
      </c>
    </row>
    <row r="591" spans="1:15" x14ac:dyDescent="0.25">
      <c r="A591">
        <v>590</v>
      </c>
      <c r="B591" s="1" t="s">
        <v>19</v>
      </c>
      <c r="C591" s="1">
        <f>car_price_prediction_[[#This Row],[Year2]]</f>
        <v>2016</v>
      </c>
      <c r="D591">
        <v>2016</v>
      </c>
      <c r="E591">
        <f>car_price_prediction_[[#This Row],[Engine Size]]/10</f>
        <v>3.6</v>
      </c>
      <c r="F591">
        <v>36</v>
      </c>
      <c r="G591" s="1" t="s">
        <v>11</v>
      </c>
      <c r="H591" s="1" t="s">
        <v>12</v>
      </c>
      <c r="I591" s="12">
        <f>car_price_prediction_[[#This Row],[Mileage]]/1000</f>
        <v>113.259</v>
      </c>
      <c r="J591" s="5">
        <v>113259</v>
      </c>
      <c r="K591" s="1" t="s">
        <v>25</v>
      </c>
      <c r="L591" s="5">
        <f>car_price_prediction_[[#This Row],[Price]]/100</f>
        <v>64529.38</v>
      </c>
      <c r="M591">
        <v>6452938</v>
      </c>
      <c r="N591" s="1" t="s">
        <v>20</v>
      </c>
      <c r="O591" s="1">
        <f>IF(IFERROR(VLOOKUP(car_price_prediction_[[#This Row],[Car ID]],A592:A3091,1,FALSE),0),1,0)</f>
        <v>0</v>
      </c>
    </row>
    <row r="592" spans="1:15" x14ac:dyDescent="0.25">
      <c r="A592">
        <v>591</v>
      </c>
      <c r="B592" s="1" t="s">
        <v>10</v>
      </c>
      <c r="C592" s="1">
        <f>car_price_prediction_[[#This Row],[Year2]]</f>
        <v>2004</v>
      </c>
      <c r="D592">
        <v>2004</v>
      </c>
      <c r="E592">
        <f>car_price_prediction_[[#This Row],[Engine Size]]/10</f>
        <v>4.0999999999999996</v>
      </c>
      <c r="F592">
        <v>41</v>
      </c>
      <c r="G592" s="1" t="s">
        <v>16</v>
      </c>
      <c r="H592" s="1" t="s">
        <v>12</v>
      </c>
      <c r="I592" s="12">
        <f>car_price_prediction_[[#This Row],[Mileage]]/1000</f>
        <v>100.804</v>
      </c>
      <c r="J592" s="5">
        <v>100804</v>
      </c>
      <c r="K592" s="1" t="s">
        <v>25</v>
      </c>
      <c r="L592" s="5">
        <f>car_price_prediction_[[#This Row],[Price]]/100</f>
        <v>8302.6299999999992</v>
      </c>
      <c r="M592">
        <v>830263</v>
      </c>
      <c r="N592" s="1" t="s">
        <v>33</v>
      </c>
      <c r="O592" s="1">
        <f>IF(IFERROR(VLOOKUP(car_price_prediction_[[#This Row],[Car ID]],A593:A3092,1,FALSE),0),1,0)</f>
        <v>0</v>
      </c>
    </row>
    <row r="593" spans="1:15" x14ac:dyDescent="0.25">
      <c r="A593">
        <v>592</v>
      </c>
      <c r="B593" s="1" t="s">
        <v>30</v>
      </c>
      <c r="C593" s="1">
        <f>car_price_prediction_[[#This Row],[Year2]]</f>
        <v>2019</v>
      </c>
      <c r="D593">
        <v>2019</v>
      </c>
      <c r="E593">
        <f>car_price_prediction_[[#This Row],[Engine Size]]/10</f>
        <v>5.6</v>
      </c>
      <c r="F593">
        <v>56</v>
      </c>
      <c r="G593" s="1" t="s">
        <v>29</v>
      </c>
      <c r="H593" s="1" t="s">
        <v>12</v>
      </c>
      <c r="I593" s="12">
        <f>car_price_prediction_[[#This Row],[Mileage]]/1000</f>
        <v>69</v>
      </c>
      <c r="J593" s="5">
        <v>69000</v>
      </c>
      <c r="K593" s="1" t="s">
        <v>13</v>
      </c>
      <c r="L593" s="5">
        <f>car_price_prediction_[[#This Row],[Price]]/100</f>
        <v>53621.61</v>
      </c>
      <c r="M593">
        <v>5362161</v>
      </c>
      <c r="N593" s="1" t="s">
        <v>45</v>
      </c>
      <c r="O593" s="1">
        <f>IF(IFERROR(VLOOKUP(car_price_prediction_[[#This Row],[Car ID]],A594:A3093,1,FALSE),0),1,0)</f>
        <v>0</v>
      </c>
    </row>
    <row r="594" spans="1:15" x14ac:dyDescent="0.25">
      <c r="A594">
        <v>593</v>
      </c>
      <c r="B594" s="1" t="s">
        <v>30</v>
      </c>
      <c r="C594" s="1">
        <f>car_price_prediction_[[#This Row],[Year2]]</f>
        <v>2020</v>
      </c>
      <c r="D594">
        <v>2020</v>
      </c>
      <c r="E594">
        <f>car_price_prediction_[[#This Row],[Engine Size]]/10</f>
        <v>3.5</v>
      </c>
      <c r="F594">
        <v>35</v>
      </c>
      <c r="G594" s="1" t="s">
        <v>11</v>
      </c>
      <c r="H594" s="1" t="s">
        <v>22</v>
      </c>
      <c r="I594" s="12">
        <f>car_price_prediction_[[#This Row],[Mileage]]/1000</f>
        <v>84.179000000000002</v>
      </c>
      <c r="J594" s="5">
        <v>84179</v>
      </c>
      <c r="K594" s="1" t="s">
        <v>13</v>
      </c>
      <c r="L594" s="5">
        <f>car_price_prediction_[[#This Row],[Price]]/100</f>
        <v>73208.06</v>
      </c>
      <c r="M594">
        <v>7320806</v>
      </c>
      <c r="N594" s="1" t="s">
        <v>45</v>
      </c>
      <c r="O594" s="1">
        <f>IF(IFERROR(VLOOKUP(car_price_prediction_[[#This Row],[Car ID]],A595:A3094,1,FALSE),0),1,0)</f>
        <v>0</v>
      </c>
    </row>
    <row r="595" spans="1:15" x14ac:dyDescent="0.25">
      <c r="A595">
        <v>594</v>
      </c>
      <c r="B595" s="1" t="s">
        <v>36</v>
      </c>
      <c r="C595" s="1">
        <f>car_price_prediction_[[#This Row],[Year2]]</f>
        <v>2007</v>
      </c>
      <c r="D595">
        <v>2007</v>
      </c>
      <c r="E595">
        <f>car_price_prediction_[[#This Row],[Engine Size]]/10</f>
        <v>3.5</v>
      </c>
      <c r="F595">
        <v>35</v>
      </c>
      <c r="G595" s="1" t="s">
        <v>11</v>
      </c>
      <c r="H595" s="1" t="s">
        <v>12</v>
      </c>
      <c r="I595" s="12">
        <f>car_price_prediction_[[#This Row],[Mileage]]/1000</f>
        <v>291.40899999999999</v>
      </c>
      <c r="J595" s="5">
        <v>291409</v>
      </c>
      <c r="K595" s="1" t="s">
        <v>17</v>
      </c>
      <c r="L595" s="5">
        <f>car_price_prediction_[[#This Row],[Price]]/100</f>
        <v>34545.980000000003</v>
      </c>
      <c r="M595">
        <v>3454598</v>
      </c>
      <c r="N595" s="1" t="s">
        <v>40</v>
      </c>
      <c r="O595" s="1">
        <f>IF(IFERROR(VLOOKUP(car_price_prediction_[[#This Row],[Car ID]],A596:A3095,1,FALSE),0),1,0)</f>
        <v>0</v>
      </c>
    </row>
    <row r="596" spans="1:15" x14ac:dyDescent="0.25">
      <c r="A596">
        <v>595</v>
      </c>
      <c r="B596" s="1" t="s">
        <v>19</v>
      </c>
      <c r="C596" s="1">
        <f>car_price_prediction_[[#This Row],[Year2]]</f>
        <v>2013</v>
      </c>
      <c r="D596">
        <v>2013</v>
      </c>
      <c r="E596">
        <f>car_price_prediction_[[#This Row],[Engine Size]]/10</f>
        <v>1.3</v>
      </c>
      <c r="F596">
        <v>13</v>
      </c>
      <c r="G596" s="1" t="s">
        <v>16</v>
      </c>
      <c r="H596" s="1" t="s">
        <v>22</v>
      </c>
      <c r="I596" s="12">
        <f>car_price_prediction_[[#This Row],[Mileage]]/1000</f>
        <v>260.226</v>
      </c>
      <c r="J596" s="5">
        <v>260226</v>
      </c>
      <c r="K596" s="1" t="s">
        <v>13</v>
      </c>
      <c r="L596" s="5">
        <f>car_price_prediction_[[#This Row],[Price]]/100</f>
        <v>34075.550000000003</v>
      </c>
      <c r="M596">
        <v>3407555</v>
      </c>
      <c r="N596" s="1" t="s">
        <v>38</v>
      </c>
      <c r="O596" s="1">
        <f>IF(IFERROR(VLOOKUP(car_price_prediction_[[#This Row],[Car ID]],A597:A3096,1,FALSE),0),1,0)</f>
        <v>0</v>
      </c>
    </row>
    <row r="597" spans="1:15" x14ac:dyDescent="0.25">
      <c r="A597">
        <v>596</v>
      </c>
      <c r="B597" s="1" t="s">
        <v>15</v>
      </c>
      <c r="C597" s="1">
        <f>car_price_prediction_[[#This Row],[Year2]]</f>
        <v>2003</v>
      </c>
      <c r="D597">
        <v>2003</v>
      </c>
      <c r="E597">
        <f>car_price_prediction_[[#This Row],[Engine Size]]/10</f>
        <v>1.2</v>
      </c>
      <c r="F597">
        <v>12</v>
      </c>
      <c r="G597" s="1" t="s">
        <v>11</v>
      </c>
      <c r="H597" s="1" t="s">
        <v>22</v>
      </c>
      <c r="I597" s="12">
        <f>car_price_prediction_[[#This Row],[Mileage]]/1000</f>
        <v>23.88</v>
      </c>
      <c r="J597" s="5">
        <v>23880</v>
      </c>
      <c r="K597" s="1" t="s">
        <v>13</v>
      </c>
      <c r="L597" s="5">
        <f>car_price_prediction_[[#This Row],[Price]]/100</f>
        <v>68420.479999999996</v>
      </c>
      <c r="M597">
        <v>6842048</v>
      </c>
      <c r="N597" s="1" t="s">
        <v>35</v>
      </c>
      <c r="O597" s="1">
        <f>IF(IFERROR(VLOOKUP(car_price_prediction_[[#This Row],[Car ID]],A598:A3097,1,FALSE),0),1,0)</f>
        <v>0</v>
      </c>
    </row>
    <row r="598" spans="1:15" x14ac:dyDescent="0.25">
      <c r="A598">
        <v>597</v>
      </c>
      <c r="B598" s="1" t="s">
        <v>30</v>
      </c>
      <c r="C598" s="1">
        <f>car_price_prediction_[[#This Row],[Year2]]</f>
        <v>2010</v>
      </c>
      <c r="D598">
        <v>2010</v>
      </c>
      <c r="E598">
        <f>car_price_prediction_[[#This Row],[Engine Size]]/10</f>
        <v>3.8</v>
      </c>
      <c r="F598">
        <v>38</v>
      </c>
      <c r="G598" s="1" t="s">
        <v>16</v>
      </c>
      <c r="H598" s="1" t="s">
        <v>22</v>
      </c>
      <c r="I598" s="12">
        <f>car_price_prediction_[[#This Row],[Mileage]]/1000</f>
        <v>201.26400000000001</v>
      </c>
      <c r="J598" s="5">
        <v>201264</v>
      </c>
      <c r="K598" s="1" t="s">
        <v>17</v>
      </c>
      <c r="L598" s="5">
        <f>car_price_prediction_[[#This Row],[Price]]/100</f>
        <v>72013.84</v>
      </c>
      <c r="M598">
        <v>7201384</v>
      </c>
      <c r="N598" s="1" t="s">
        <v>31</v>
      </c>
      <c r="O598" s="1">
        <f>IF(IFERROR(VLOOKUP(car_price_prediction_[[#This Row],[Car ID]],A599:A3098,1,FALSE),0),1,0)</f>
        <v>0</v>
      </c>
    </row>
    <row r="599" spans="1:15" x14ac:dyDescent="0.25">
      <c r="A599">
        <v>598</v>
      </c>
      <c r="B599" s="1" t="s">
        <v>15</v>
      </c>
      <c r="C599" s="1">
        <f>car_price_prediction_[[#This Row],[Year2]]</f>
        <v>2019</v>
      </c>
      <c r="D599">
        <v>2019</v>
      </c>
      <c r="E599">
        <f>car_price_prediction_[[#This Row],[Engine Size]]/10</f>
        <v>3.2</v>
      </c>
      <c r="F599">
        <v>32</v>
      </c>
      <c r="G599" s="1" t="s">
        <v>11</v>
      </c>
      <c r="H599" s="1" t="s">
        <v>12</v>
      </c>
      <c r="I599" s="12">
        <f>car_price_prediction_[[#This Row],[Mileage]]/1000</f>
        <v>172.43799999999999</v>
      </c>
      <c r="J599" s="5">
        <v>172438</v>
      </c>
      <c r="K599" s="1" t="s">
        <v>25</v>
      </c>
      <c r="L599" s="5">
        <f>car_price_prediction_[[#This Row],[Price]]/100</f>
        <v>94015.92</v>
      </c>
      <c r="M599">
        <v>9401592</v>
      </c>
      <c r="N599" s="1" t="s">
        <v>39</v>
      </c>
      <c r="O599" s="1">
        <f>IF(IFERROR(VLOOKUP(car_price_prediction_[[#This Row],[Car ID]],A600:A3099,1,FALSE),0),1,0)</f>
        <v>0</v>
      </c>
    </row>
    <row r="600" spans="1:15" x14ac:dyDescent="0.25">
      <c r="A600">
        <v>599</v>
      </c>
      <c r="B600" s="1" t="s">
        <v>10</v>
      </c>
      <c r="C600" s="1">
        <f>car_price_prediction_[[#This Row],[Year2]]</f>
        <v>2014</v>
      </c>
      <c r="D600">
        <v>2014</v>
      </c>
      <c r="E600">
        <f>car_price_prediction_[[#This Row],[Engine Size]]/10</f>
        <v>5.2</v>
      </c>
      <c r="F600">
        <v>52</v>
      </c>
      <c r="G600" s="1" t="s">
        <v>16</v>
      </c>
      <c r="H600" s="1" t="s">
        <v>12</v>
      </c>
      <c r="I600" s="12">
        <f>car_price_prediction_[[#This Row],[Mileage]]/1000</f>
        <v>245.352</v>
      </c>
      <c r="J600" s="5">
        <v>245352</v>
      </c>
      <c r="K600" s="1" t="s">
        <v>25</v>
      </c>
      <c r="L600" s="5">
        <f>car_price_prediction_[[#This Row],[Price]]/100</f>
        <v>26359.66</v>
      </c>
      <c r="M600">
        <v>2635966</v>
      </c>
      <c r="N600" s="1" t="s">
        <v>23</v>
      </c>
      <c r="O600" s="1">
        <f>IF(IFERROR(VLOOKUP(car_price_prediction_[[#This Row],[Car ID]],A601:A3100,1,FALSE),0),1,0)</f>
        <v>0</v>
      </c>
    </row>
    <row r="601" spans="1:15" x14ac:dyDescent="0.25">
      <c r="A601">
        <v>600</v>
      </c>
      <c r="B601" s="1" t="s">
        <v>30</v>
      </c>
      <c r="C601" s="1">
        <f>car_price_prediction_[[#This Row],[Year2]]</f>
        <v>2018</v>
      </c>
      <c r="D601">
        <v>2018</v>
      </c>
      <c r="E601">
        <f>car_price_prediction_[[#This Row],[Engine Size]]/10</f>
        <v>1.8</v>
      </c>
      <c r="F601">
        <v>18</v>
      </c>
      <c r="G601" s="1" t="s">
        <v>29</v>
      </c>
      <c r="H601" s="1" t="s">
        <v>12</v>
      </c>
      <c r="I601" s="12">
        <f>car_price_prediction_[[#This Row],[Mileage]]/1000</f>
        <v>67.396000000000001</v>
      </c>
      <c r="J601" s="5">
        <v>67396</v>
      </c>
      <c r="K601" s="1" t="s">
        <v>13</v>
      </c>
      <c r="L601" s="5">
        <f>car_price_prediction_[[#This Row],[Price]]/100</f>
        <v>49480.67</v>
      </c>
      <c r="M601">
        <v>4948067</v>
      </c>
      <c r="N601" s="1" t="s">
        <v>31</v>
      </c>
      <c r="O601" s="1">
        <f>IF(IFERROR(VLOOKUP(car_price_prediction_[[#This Row],[Car ID]],A602:A3101,1,FALSE),0),1,0)</f>
        <v>0</v>
      </c>
    </row>
    <row r="602" spans="1:15" x14ac:dyDescent="0.25">
      <c r="A602">
        <v>601</v>
      </c>
      <c r="B602" s="1" t="s">
        <v>30</v>
      </c>
      <c r="C602" s="1">
        <f>car_price_prediction_[[#This Row],[Year2]]</f>
        <v>2006</v>
      </c>
      <c r="D602">
        <v>2006</v>
      </c>
      <c r="E602">
        <f>car_price_prediction_[[#This Row],[Engine Size]]/10</f>
        <v>1.1000000000000001</v>
      </c>
      <c r="F602">
        <v>11</v>
      </c>
      <c r="G602" s="1" t="s">
        <v>16</v>
      </c>
      <c r="H602" s="1" t="s">
        <v>22</v>
      </c>
      <c r="I602" s="12">
        <f>car_price_prediction_[[#This Row],[Mileage]]/1000</f>
        <v>279.25</v>
      </c>
      <c r="J602" s="5">
        <v>279250</v>
      </c>
      <c r="K602" s="1" t="s">
        <v>25</v>
      </c>
      <c r="L602" s="5">
        <f>car_price_prediction_[[#This Row],[Price]]/100</f>
        <v>28798.78</v>
      </c>
      <c r="M602">
        <v>2879878</v>
      </c>
      <c r="N602" s="1" t="s">
        <v>42</v>
      </c>
      <c r="O602" s="1">
        <f>IF(IFERROR(VLOOKUP(car_price_prediction_[[#This Row],[Car ID]],A603:A3102,1,FALSE),0),1,0)</f>
        <v>0</v>
      </c>
    </row>
    <row r="603" spans="1:15" x14ac:dyDescent="0.25">
      <c r="A603">
        <v>602</v>
      </c>
      <c r="B603" s="1" t="s">
        <v>24</v>
      </c>
      <c r="C603" s="1">
        <f>car_price_prediction_[[#This Row],[Year2]]</f>
        <v>2018</v>
      </c>
      <c r="D603">
        <v>2018</v>
      </c>
      <c r="E603">
        <f>car_price_prediction_[[#This Row],[Engine Size]]/10</f>
        <v>3.2</v>
      </c>
      <c r="F603">
        <v>32</v>
      </c>
      <c r="G603" s="1" t="s">
        <v>16</v>
      </c>
      <c r="H603" s="1" t="s">
        <v>12</v>
      </c>
      <c r="I603" s="12">
        <f>car_price_prediction_[[#This Row],[Mileage]]/1000</f>
        <v>56.731000000000002</v>
      </c>
      <c r="J603" s="5">
        <v>56731</v>
      </c>
      <c r="K603" s="1" t="s">
        <v>25</v>
      </c>
      <c r="L603" s="5">
        <f>car_price_prediction_[[#This Row],[Price]]/100</f>
        <v>12608.76</v>
      </c>
      <c r="M603">
        <v>1260876</v>
      </c>
      <c r="N603" s="1" t="s">
        <v>53</v>
      </c>
      <c r="O603" s="1">
        <f>IF(IFERROR(VLOOKUP(car_price_prediction_[[#This Row],[Car ID]],A604:A3103,1,FALSE),0),1,0)</f>
        <v>0</v>
      </c>
    </row>
    <row r="604" spans="1:15" x14ac:dyDescent="0.25">
      <c r="A604">
        <v>603</v>
      </c>
      <c r="B604" s="1" t="s">
        <v>30</v>
      </c>
      <c r="C604" s="1">
        <f>car_price_prediction_[[#This Row],[Year2]]</f>
        <v>2018</v>
      </c>
      <c r="D604">
        <v>2018</v>
      </c>
      <c r="E604">
        <f>car_price_prediction_[[#This Row],[Engine Size]]/10</f>
        <v>2.2000000000000002</v>
      </c>
      <c r="F604">
        <v>22</v>
      </c>
      <c r="G604" s="1" t="s">
        <v>21</v>
      </c>
      <c r="H604" s="1" t="s">
        <v>22</v>
      </c>
      <c r="I604" s="12">
        <f>car_price_prediction_[[#This Row],[Mileage]]/1000</f>
        <v>75.010000000000005</v>
      </c>
      <c r="J604" s="5">
        <v>75010</v>
      </c>
      <c r="K604" s="1" t="s">
        <v>13</v>
      </c>
      <c r="L604" s="5">
        <f>car_price_prediction_[[#This Row],[Price]]/100</f>
        <v>4330.6899999999996</v>
      </c>
      <c r="M604">
        <v>433069</v>
      </c>
      <c r="N604" s="1" t="s">
        <v>48</v>
      </c>
      <c r="O604" s="1">
        <f>IF(IFERROR(VLOOKUP(car_price_prediction_[[#This Row],[Car ID]],A605:A3104,1,FALSE),0),1,0)</f>
        <v>0</v>
      </c>
    </row>
    <row r="605" spans="1:15" x14ac:dyDescent="0.25">
      <c r="A605">
        <v>604</v>
      </c>
      <c r="B605" s="1" t="s">
        <v>43</v>
      </c>
      <c r="C605" s="1">
        <f>car_price_prediction_[[#This Row],[Year2]]</f>
        <v>2010</v>
      </c>
      <c r="D605">
        <v>2010</v>
      </c>
      <c r="E605">
        <f>car_price_prediction_[[#This Row],[Engine Size]]/10</f>
        <v>1.2</v>
      </c>
      <c r="F605">
        <v>12</v>
      </c>
      <c r="G605" s="1" t="s">
        <v>29</v>
      </c>
      <c r="H605" s="1" t="s">
        <v>12</v>
      </c>
      <c r="I605" s="12">
        <f>car_price_prediction_[[#This Row],[Mileage]]/1000</f>
        <v>249.09100000000001</v>
      </c>
      <c r="J605" s="5">
        <v>249091</v>
      </c>
      <c r="K605" s="1" t="s">
        <v>17</v>
      </c>
      <c r="L605" s="5">
        <f>car_price_prediction_[[#This Row],[Price]]/100</f>
        <v>40537.67</v>
      </c>
      <c r="M605">
        <v>4053767</v>
      </c>
      <c r="N605" s="1" t="s">
        <v>50</v>
      </c>
      <c r="O605" s="1">
        <f>IF(IFERROR(VLOOKUP(car_price_prediction_[[#This Row],[Car ID]],A606:A3105,1,FALSE),0),1,0)</f>
        <v>0</v>
      </c>
    </row>
    <row r="606" spans="1:15" x14ac:dyDescent="0.25">
      <c r="A606">
        <v>605</v>
      </c>
      <c r="B606" s="1" t="s">
        <v>19</v>
      </c>
      <c r="C606" s="1">
        <f>car_price_prediction_[[#This Row],[Year2]]</f>
        <v>2004</v>
      </c>
      <c r="D606">
        <v>2004</v>
      </c>
      <c r="E606">
        <f>car_price_prediction_[[#This Row],[Engine Size]]/10</f>
        <v>4.5999999999999996</v>
      </c>
      <c r="F606">
        <v>46</v>
      </c>
      <c r="G606" s="1" t="s">
        <v>29</v>
      </c>
      <c r="H606" s="1" t="s">
        <v>12</v>
      </c>
      <c r="I606" s="12">
        <f>car_price_prediction_[[#This Row],[Mileage]]/1000</f>
        <v>294.74299999999999</v>
      </c>
      <c r="J606" s="5">
        <v>294743</v>
      </c>
      <c r="K606" s="1" t="s">
        <v>13</v>
      </c>
      <c r="L606" s="5">
        <f>car_price_prediction_[[#This Row],[Price]]/100</f>
        <v>30691.24</v>
      </c>
      <c r="M606">
        <v>3069124</v>
      </c>
      <c r="N606" s="1" t="s">
        <v>20</v>
      </c>
      <c r="O606" s="1">
        <f>IF(IFERROR(VLOOKUP(car_price_prediction_[[#This Row],[Car ID]],A607:A3106,1,FALSE),0),1,0)</f>
        <v>0</v>
      </c>
    </row>
    <row r="607" spans="1:15" x14ac:dyDescent="0.25">
      <c r="A607">
        <v>606</v>
      </c>
      <c r="B607" s="1" t="s">
        <v>19</v>
      </c>
      <c r="C607" s="1">
        <f>car_price_prediction_[[#This Row],[Year2]]</f>
        <v>2004</v>
      </c>
      <c r="D607">
        <v>2004</v>
      </c>
      <c r="E607">
        <f>car_price_prediction_[[#This Row],[Engine Size]]/10</f>
        <v>1.6</v>
      </c>
      <c r="F607">
        <v>16</v>
      </c>
      <c r="G607" s="1" t="s">
        <v>29</v>
      </c>
      <c r="H607" s="1" t="s">
        <v>12</v>
      </c>
      <c r="I607" s="12">
        <f>car_price_prediction_[[#This Row],[Mileage]]/1000</f>
        <v>71.325999999999993</v>
      </c>
      <c r="J607" s="5">
        <v>71326</v>
      </c>
      <c r="K607" s="1" t="s">
        <v>13</v>
      </c>
      <c r="L607" s="5">
        <f>car_price_prediction_[[#This Row],[Price]]/100</f>
        <v>33214.51</v>
      </c>
      <c r="M607">
        <v>3321451</v>
      </c>
      <c r="N607" s="1" t="s">
        <v>20</v>
      </c>
      <c r="O607" s="1">
        <f>IF(IFERROR(VLOOKUP(car_price_prediction_[[#This Row],[Car ID]],A608:A3107,1,FALSE),0),1,0)</f>
        <v>0</v>
      </c>
    </row>
    <row r="608" spans="1:15" x14ac:dyDescent="0.25">
      <c r="A608">
        <v>607</v>
      </c>
      <c r="B608" s="1" t="s">
        <v>15</v>
      </c>
      <c r="C608" s="1">
        <f>car_price_prediction_[[#This Row],[Year2]]</f>
        <v>2021</v>
      </c>
      <c r="D608">
        <v>2021</v>
      </c>
      <c r="E608">
        <f>car_price_prediction_[[#This Row],[Engine Size]]/10</f>
        <v>4</v>
      </c>
      <c r="F608">
        <v>40</v>
      </c>
      <c r="G608" s="1" t="s">
        <v>11</v>
      </c>
      <c r="H608" s="1" t="s">
        <v>12</v>
      </c>
      <c r="I608" s="12">
        <f>car_price_prediction_[[#This Row],[Mileage]]/1000</f>
        <v>248.876</v>
      </c>
      <c r="J608" s="5">
        <v>248876</v>
      </c>
      <c r="K608" s="1" t="s">
        <v>13</v>
      </c>
      <c r="L608" s="5">
        <f>car_price_prediction_[[#This Row],[Price]]/100</f>
        <v>39239.120000000003</v>
      </c>
      <c r="M608">
        <v>3923912</v>
      </c>
      <c r="N608" s="1" t="s">
        <v>51</v>
      </c>
      <c r="O608" s="1">
        <f>IF(IFERROR(VLOOKUP(car_price_prediction_[[#This Row],[Car ID]],A609:A3108,1,FALSE),0),1,0)</f>
        <v>0</v>
      </c>
    </row>
    <row r="609" spans="1:15" x14ac:dyDescent="0.25">
      <c r="A609">
        <v>608</v>
      </c>
      <c r="B609" s="1" t="s">
        <v>10</v>
      </c>
      <c r="C609" s="1">
        <f>car_price_prediction_[[#This Row],[Year2]]</f>
        <v>2007</v>
      </c>
      <c r="D609">
        <v>2007</v>
      </c>
      <c r="E609">
        <f>car_price_prediction_[[#This Row],[Engine Size]]/10</f>
        <v>2.4</v>
      </c>
      <c r="F609">
        <v>24</v>
      </c>
      <c r="G609" s="1" t="s">
        <v>21</v>
      </c>
      <c r="H609" s="1" t="s">
        <v>22</v>
      </c>
      <c r="I609" s="12">
        <f>car_price_prediction_[[#This Row],[Mileage]]/1000</f>
        <v>9.0039999999999996</v>
      </c>
      <c r="J609" s="5">
        <v>9004</v>
      </c>
      <c r="K609" s="1" t="s">
        <v>17</v>
      </c>
      <c r="L609" s="5">
        <f>car_price_prediction_[[#This Row],[Price]]/100</f>
        <v>98939.58</v>
      </c>
      <c r="M609">
        <v>9893958</v>
      </c>
      <c r="N609" s="1" t="s">
        <v>33</v>
      </c>
      <c r="O609" s="1">
        <f>IF(IFERROR(VLOOKUP(car_price_prediction_[[#This Row],[Car ID]],A610:A3109,1,FALSE),0),1,0)</f>
        <v>0</v>
      </c>
    </row>
    <row r="610" spans="1:15" x14ac:dyDescent="0.25">
      <c r="A610">
        <v>609</v>
      </c>
      <c r="B610" s="1" t="s">
        <v>30</v>
      </c>
      <c r="C610" s="1">
        <f>car_price_prediction_[[#This Row],[Year2]]</f>
        <v>2009</v>
      </c>
      <c r="D610">
        <v>2009</v>
      </c>
      <c r="E610">
        <f>car_price_prediction_[[#This Row],[Engine Size]]/10</f>
        <v>1.9</v>
      </c>
      <c r="F610">
        <v>19</v>
      </c>
      <c r="G610" s="1" t="s">
        <v>29</v>
      </c>
      <c r="H610" s="1" t="s">
        <v>22</v>
      </c>
      <c r="I610" s="12">
        <f>car_price_prediction_[[#This Row],[Mileage]]/1000</f>
        <v>115.018</v>
      </c>
      <c r="J610" s="5">
        <v>115018</v>
      </c>
      <c r="K610" s="1" t="s">
        <v>17</v>
      </c>
      <c r="L610" s="5">
        <f>car_price_prediction_[[#This Row],[Price]]/100</f>
        <v>79380.990000000005</v>
      </c>
      <c r="M610">
        <v>7938099</v>
      </c>
      <c r="N610" s="1" t="s">
        <v>31</v>
      </c>
      <c r="O610" s="1">
        <f>IF(IFERROR(VLOOKUP(car_price_prediction_[[#This Row],[Car ID]],A611:A3110,1,FALSE),0),1,0)</f>
        <v>0</v>
      </c>
    </row>
    <row r="611" spans="1:15" x14ac:dyDescent="0.25">
      <c r="A611">
        <v>610</v>
      </c>
      <c r="B611" s="1" t="s">
        <v>43</v>
      </c>
      <c r="C611" s="1">
        <f>car_price_prediction_[[#This Row],[Year2]]</f>
        <v>2005</v>
      </c>
      <c r="D611">
        <v>2005</v>
      </c>
      <c r="E611">
        <f>car_price_prediction_[[#This Row],[Engine Size]]/10</f>
        <v>2.9</v>
      </c>
      <c r="F611">
        <v>29</v>
      </c>
      <c r="G611" s="1" t="s">
        <v>11</v>
      </c>
      <c r="H611" s="1" t="s">
        <v>22</v>
      </c>
      <c r="I611" s="12">
        <f>car_price_prediction_[[#This Row],[Mileage]]/1000</f>
        <v>25.792000000000002</v>
      </c>
      <c r="J611" s="5">
        <v>25792</v>
      </c>
      <c r="K611" s="1" t="s">
        <v>17</v>
      </c>
      <c r="L611" s="5">
        <f>car_price_prediction_[[#This Row],[Price]]/100</f>
        <v>11783.11</v>
      </c>
      <c r="M611">
        <v>1178311</v>
      </c>
      <c r="N611" s="1" t="s">
        <v>50</v>
      </c>
      <c r="O611" s="1">
        <f>IF(IFERROR(VLOOKUP(car_price_prediction_[[#This Row],[Car ID]],A612:A3111,1,FALSE),0),1,0)</f>
        <v>0</v>
      </c>
    </row>
    <row r="612" spans="1:15" x14ac:dyDescent="0.25">
      <c r="A612">
        <v>611</v>
      </c>
      <c r="B612" s="1" t="s">
        <v>15</v>
      </c>
      <c r="C612" s="1">
        <f>car_price_prediction_[[#This Row],[Year2]]</f>
        <v>2014</v>
      </c>
      <c r="D612">
        <v>2014</v>
      </c>
      <c r="E612">
        <f>car_price_prediction_[[#This Row],[Engine Size]]/10</f>
        <v>5</v>
      </c>
      <c r="F612">
        <v>50</v>
      </c>
      <c r="G612" s="1" t="s">
        <v>11</v>
      </c>
      <c r="H612" s="1" t="s">
        <v>22</v>
      </c>
      <c r="I612" s="12">
        <f>car_price_prediction_[[#This Row],[Mileage]]/1000</f>
        <v>54.645000000000003</v>
      </c>
      <c r="J612" s="5">
        <v>54645</v>
      </c>
      <c r="K612" s="1" t="s">
        <v>17</v>
      </c>
      <c r="L612" s="5">
        <f>car_price_prediction_[[#This Row],[Price]]/100</f>
        <v>87879.25</v>
      </c>
      <c r="M612">
        <v>8787925</v>
      </c>
      <c r="N612" s="1" t="s">
        <v>18</v>
      </c>
      <c r="O612" s="1">
        <f>IF(IFERROR(VLOOKUP(car_price_prediction_[[#This Row],[Car ID]],A613:A3112,1,FALSE),0),1,0)</f>
        <v>0</v>
      </c>
    </row>
    <row r="613" spans="1:15" x14ac:dyDescent="0.25">
      <c r="A613">
        <v>612</v>
      </c>
      <c r="B613" s="1" t="s">
        <v>24</v>
      </c>
      <c r="C613" s="1">
        <f>car_price_prediction_[[#This Row],[Year2]]</f>
        <v>2015</v>
      </c>
      <c r="D613">
        <v>2015</v>
      </c>
      <c r="E613">
        <f>car_price_prediction_[[#This Row],[Engine Size]]/10</f>
        <v>3</v>
      </c>
      <c r="F613">
        <v>30</v>
      </c>
      <c r="G613" s="1" t="s">
        <v>11</v>
      </c>
      <c r="H613" s="1" t="s">
        <v>12</v>
      </c>
      <c r="I613" s="12">
        <f>car_price_prediction_[[#This Row],[Mileage]]/1000</f>
        <v>7.2320000000000002</v>
      </c>
      <c r="J613" s="5">
        <v>7232</v>
      </c>
      <c r="K613" s="1" t="s">
        <v>13</v>
      </c>
      <c r="L613" s="5">
        <f>car_price_prediction_[[#This Row],[Price]]/100</f>
        <v>65163.82</v>
      </c>
      <c r="M613">
        <v>6516382</v>
      </c>
      <c r="N613" s="1" t="s">
        <v>34</v>
      </c>
      <c r="O613" s="1">
        <f>IF(IFERROR(VLOOKUP(car_price_prediction_[[#This Row],[Car ID]],A614:A3113,1,FALSE),0),1,0)</f>
        <v>0</v>
      </c>
    </row>
    <row r="614" spans="1:15" x14ac:dyDescent="0.25">
      <c r="A614">
        <v>613</v>
      </c>
      <c r="B614" s="1" t="s">
        <v>15</v>
      </c>
      <c r="C614" s="1">
        <f>car_price_prediction_[[#This Row],[Year2]]</f>
        <v>2016</v>
      </c>
      <c r="D614">
        <v>2016</v>
      </c>
      <c r="E614">
        <f>car_price_prediction_[[#This Row],[Engine Size]]/10</f>
        <v>4.8</v>
      </c>
      <c r="F614">
        <v>48</v>
      </c>
      <c r="G614" s="1" t="s">
        <v>21</v>
      </c>
      <c r="H614" s="1" t="s">
        <v>22</v>
      </c>
      <c r="I614" s="12">
        <f>car_price_prediction_[[#This Row],[Mileage]]/1000</f>
        <v>54.765999999999998</v>
      </c>
      <c r="J614" s="5">
        <v>54766</v>
      </c>
      <c r="K614" s="1" t="s">
        <v>25</v>
      </c>
      <c r="L614" s="5">
        <f>car_price_prediction_[[#This Row],[Price]]/100</f>
        <v>89606.41</v>
      </c>
      <c r="M614">
        <v>8960641</v>
      </c>
      <c r="N614" s="1" t="s">
        <v>39</v>
      </c>
      <c r="O614" s="1">
        <f>IF(IFERROR(VLOOKUP(car_price_prediction_[[#This Row],[Car ID]],A615:A3114,1,FALSE),0),1,0)</f>
        <v>0</v>
      </c>
    </row>
    <row r="615" spans="1:15" x14ac:dyDescent="0.25">
      <c r="A615">
        <v>614</v>
      </c>
      <c r="B615" s="1" t="s">
        <v>15</v>
      </c>
      <c r="C615" s="1">
        <f>car_price_prediction_[[#This Row],[Year2]]</f>
        <v>2007</v>
      </c>
      <c r="D615">
        <v>2007</v>
      </c>
      <c r="E615">
        <f>car_price_prediction_[[#This Row],[Engine Size]]/10</f>
        <v>1.6</v>
      </c>
      <c r="F615">
        <v>16</v>
      </c>
      <c r="G615" s="1" t="s">
        <v>11</v>
      </c>
      <c r="H615" s="1" t="s">
        <v>22</v>
      </c>
      <c r="I615" s="12">
        <f>car_price_prediction_[[#This Row],[Mileage]]/1000</f>
        <v>120.601</v>
      </c>
      <c r="J615" s="5">
        <v>120601</v>
      </c>
      <c r="K615" s="1" t="s">
        <v>13</v>
      </c>
      <c r="L615" s="5">
        <f>car_price_prediction_[[#This Row],[Price]]/100</f>
        <v>37462.42</v>
      </c>
      <c r="M615">
        <v>3746242</v>
      </c>
      <c r="N615" s="1" t="s">
        <v>39</v>
      </c>
      <c r="O615" s="1">
        <f>IF(IFERROR(VLOOKUP(car_price_prediction_[[#This Row],[Car ID]],A616:A3115,1,FALSE),0),1,0)</f>
        <v>0</v>
      </c>
    </row>
    <row r="616" spans="1:15" x14ac:dyDescent="0.25">
      <c r="A616">
        <v>615</v>
      </c>
      <c r="B616" s="1" t="s">
        <v>30</v>
      </c>
      <c r="C616" s="1">
        <f>car_price_prediction_[[#This Row],[Year2]]</f>
        <v>2007</v>
      </c>
      <c r="D616">
        <v>2007</v>
      </c>
      <c r="E616">
        <f>car_price_prediction_[[#This Row],[Engine Size]]/10</f>
        <v>4.9000000000000004</v>
      </c>
      <c r="F616">
        <v>49</v>
      </c>
      <c r="G616" s="1" t="s">
        <v>21</v>
      </c>
      <c r="H616" s="1" t="s">
        <v>22</v>
      </c>
      <c r="I616" s="12">
        <f>car_price_prediction_[[#This Row],[Mileage]]/1000</f>
        <v>81.587999999999994</v>
      </c>
      <c r="J616" s="5">
        <v>81588</v>
      </c>
      <c r="K616" s="1" t="s">
        <v>17</v>
      </c>
      <c r="L616" s="5">
        <f>car_price_prediction_[[#This Row],[Price]]/100</f>
        <v>49129.29</v>
      </c>
      <c r="M616">
        <v>4912929</v>
      </c>
      <c r="N616" s="1" t="s">
        <v>48</v>
      </c>
      <c r="O616" s="1">
        <f>IF(IFERROR(VLOOKUP(car_price_prediction_[[#This Row],[Car ID]],A617:A3116,1,FALSE),0),1,0)</f>
        <v>0</v>
      </c>
    </row>
    <row r="617" spans="1:15" x14ac:dyDescent="0.25">
      <c r="A617">
        <v>616</v>
      </c>
      <c r="B617" s="1" t="s">
        <v>24</v>
      </c>
      <c r="C617" s="1">
        <f>car_price_prediction_[[#This Row],[Year2]]</f>
        <v>2008</v>
      </c>
      <c r="D617">
        <v>2008</v>
      </c>
      <c r="E617">
        <f>car_price_prediction_[[#This Row],[Engine Size]]/10</f>
        <v>2.2000000000000002</v>
      </c>
      <c r="F617">
        <v>22</v>
      </c>
      <c r="G617" s="1" t="s">
        <v>16</v>
      </c>
      <c r="H617" s="1" t="s">
        <v>12</v>
      </c>
      <c r="I617" s="12">
        <f>car_price_prediction_[[#This Row],[Mileage]]/1000</f>
        <v>179.614</v>
      </c>
      <c r="J617" s="5">
        <v>179614</v>
      </c>
      <c r="K617" s="1" t="s">
        <v>25</v>
      </c>
      <c r="L617" s="5">
        <f>car_price_prediction_[[#This Row],[Price]]/100</f>
        <v>90141.57</v>
      </c>
      <c r="M617">
        <v>9014157</v>
      </c>
      <c r="N617" s="1" t="s">
        <v>53</v>
      </c>
      <c r="O617" s="1">
        <f>IF(IFERROR(VLOOKUP(car_price_prediction_[[#This Row],[Car ID]],A618:A3117,1,FALSE),0),1,0)</f>
        <v>0</v>
      </c>
    </row>
    <row r="618" spans="1:15" x14ac:dyDescent="0.25">
      <c r="A618">
        <v>617</v>
      </c>
      <c r="B618" s="1" t="s">
        <v>15</v>
      </c>
      <c r="C618" s="1">
        <f>car_price_prediction_[[#This Row],[Year2]]</f>
        <v>2001</v>
      </c>
      <c r="D618">
        <v>2001</v>
      </c>
      <c r="E618">
        <f>car_price_prediction_[[#This Row],[Engine Size]]/10</f>
        <v>4.4000000000000004</v>
      </c>
      <c r="F618">
        <v>44</v>
      </c>
      <c r="G618" s="1" t="s">
        <v>11</v>
      </c>
      <c r="H618" s="1" t="s">
        <v>22</v>
      </c>
      <c r="I618" s="12">
        <f>car_price_prediction_[[#This Row],[Mileage]]/1000</f>
        <v>5.9130000000000003</v>
      </c>
      <c r="J618" s="5">
        <v>5913</v>
      </c>
      <c r="K618" s="1" t="s">
        <v>13</v>
      </c>
      <c r="L618" s="5">
        <f>car_price_prediction_[[#This Row],[Price]]/100</f>
        <v>30894.45</v>
      </c>
      <c r="M618">
        <v>3089445</v>
      </c>
      <c r="N618" s="1" t="s">
        <v>35</v>
      </c>
      <c r="O618" s="1">
        <f>IF(IFERROR(VLOOKUP(car_price_prediction_[[#This Row],[Car ID]],A619:A3118,1,FALSE),0),1,0)</f>
        <v>0</v>
      </c>
    </row>
    <row r="619" spans="1:15" x14ac:dyDescent="0.25">
      <c r="A619">
        <v>618</v>
      </c>
      <c r="B619" s="1" t="s">
        <v>43</v>
      </c>
      <c r="C619" s="1">
        <f>car_price_prediction_[[#This Row],[Year2]]</f>
        <v>2014</v>
      </c>
      <c r="D619">
        <v>2014</v>
      </c>
      <c r="E619">
        <f>car_price_prediction_[[#This Row],[Engine Size]]/10</f>
        <v>3.8</v>
      </c>
      <c r="F619">
        <v>38</v>
      </c>
      <c r="G619" s="1" t="s">
        <v>29</v>
      </c>
      <c r="H619" s="1" t="s">
        <v>22</v>
      </c>
      <c r="I619" s="12">
        <f>car_price_prediction_[[#This Row],[Mileage]]/1000</f>
        <v>112.40600000000001</v>
      </c>
      <c r="J619" s="5">
        <v>112406</v>
      </c>
      <c r="K619" s="1" t="s">
        <v>25</v>
      </c>
      <c r="L619" s="5">
        <f>car_price_prediction_[[#This Row],[Price]]/100</f>
        <v>91972.58</v>
      </c>
      <c r="M619">
        <v>9197258</v>
      </c>
      <c r="N619" s="1" t="s">
        <v>52</v>
      </c>
      <c r="O619" s="1">
        <f>IF(IFERROR(VLOOKUP(car_price_prediction_[[#This Row],[Car ID]],A620:A3119,1,FALSE),0),1,0)</f>
        <v>0</v>
      </c>
    </row>
    <row r="620" spans="1:15" x14ac:dyDescent="0.25">
      <c r="A620">
        <v>619</v>
      </c>
      <c r="B620" s="1" t="s">
        <v>43</v>
      </c>
      <c r="C620" s="1">
        <f>car_price_prediction_[[#This Row],[Year2]]</f>
        <v>2017</v>
      </c>
      <c r="D620">
        <v>2017</v>
      </c>
      <c r="E620">
        <f>car_price_prediction_[[#This Row],[Engine Size]]/10</f>
        <v>5.6</v>
      </c>
      <c r="F620">
        <v>56</v>
      </c>
      <c r="G620" s="1" t="s">
        <v>11</v>
      </c>
      <c r="H620" s="1" t="s">
        <v>12</v>
      </c>
      <c r="I620" s="12">
        <f>car_price_prediction_[[#This Row],[Mileage]]/1000</f>
        <v>113.693</v>
      </c>
      <c r="J620" s="5">
        <v>113693</v>
      </c>
      <c r="K620" s="1" t="s">
        <v>17</v>
      </c>
      <c r="L620" s="5">
        <f>car_price_prediction_[[#This Row],[Price]]/100</f>
        <v>83707.47</v>
      </c>
      <c r="M620">
        <v>8370747</v>
      </c>
      <c r="N620" s="1" t="s">
        <v>44</v>
      </c>
      <c r="O620" s="1">
        <f>IF(IFERROR(VLOOKUP(car_price_prediction_[[#This Row],[Car ID]],A621:A3120,1,FALSE),0),1,0)</f>
        <v>0</v>
      </c>
    </row>
    <row r="621" spans="1:15" x14ac:dyDescent="0.25">
      <c r="A621">
        <v>620</v>
      </c>
      <c r="B621" s="1" t="s">
        <v>19</v>
      </c>
      <c r="C621" s="1">
        <f>car_price_prediction_[[#This Row],[Year2]]</f>
        <v>2002</v>
      </c>
      <c r="D621">
        <v>2002</v>
      </c>
      <c r="E621">
        <f>car_price_prediction_[[#This Row],[Engine Size]]/10</f>
        <v>2.9</v>
      </c>
      <c r="F621">
        <v>29</v>
      </c>
      <c r="G621" s="1" t="s">
        <v>16</v>
      </c>
      <c r="H621" s="1" t="s">
        <v>12</v>
      </c>
      <c r="I621" s="12">
        <f>car_price_prediction_[[#This Row],[Mileage]]/1000</f>
        <v>93.448999999999998</v>
      </c>
      <c r="J621" s="5">
        <v>93449</v>
      </c>
      <c r="K621" s="1" t="s">
        <v>25</v>
      </c>
      <c r="L621" s="5">
        <f>car_price_prediction_[[#This Row],[Price]]/100</f>
        <v>9815.2999999999993</v>
      </c>
      <c r="M621">
        <v>981530</v>
      </c>
      <c r="N621" s="1" t="s">
        <v>27</v>
      </c>
      <c r="O621" s="1">
        <f>IF(IFERROR(VLOOKUP(car_price_prediction_[[#This Row],[Car ID]],A622:A3121,1,FALSE),0),1,0)</f>
        <v>0</v>
      </c>
    </row>
    <row r="622" spans="1:15" x14ac:dyDescent="0.25">
      <c r="A622">
        <v>621</v>
      </c>
      <c r="B622" s="1" t="s">
        <v>24</v>
      </c>
      <c r="C622" s="1">
        <f>car_price_prediction_[[#This Row],[Year2]]</f>
        <v>2016</v>
      </c>
      <c r="D622">
        <v>2016</v>
      </c>
      <c r="E622">
        <f>car_price_prediction_[[#This Row],[Engine Size]]/10</f>
        <v>1.3</v>
      </c>
      <c r="F622">
        <v>13</v>
      </c>
      <c r="G622" s="1" t="s">
        <v>16</v>
      </c>
      <c r="H622" s="1" t="s">
        <v>22</v>
      </c>
      <c r="I622" s="12">
        <f>car_price_prediction_[[#This Row],[Mileage]]/1000</f>
        <v>10.567</v>
      </c>
      <c r="J622" s="5">
        <v>10567</v>
      </c>
      <c r="K622" s="1" t="s">
        <v>25</v>
      </c>
      <c r="L622" s="5">
        <f>car_price_prediction_[[#This Row],[Price]]/100</f>
        <v>35804.47</v>
      </c>
      <c r="M622">
        <v>3580447</v>
      </c>
      <c r="N622" s="1" t="s">
        <v>26</v>
      </c>
      <c r="O622" s="1">
        <f>IF(IFERROR(VLOOKUP(car_price_prediction_[[#This Row],[Car ID]],A623:A3122,1,FALSE),0),1,0)</f>
        <v>0</v>
      </c>
    </row>
    <row r="623" spans="1:15" x14ac:dyDescent="0.25">
      <c r="A623">
        <v>622</v>
      </c>
      <c r="B623" s="1" t="s">
        <v>24</v>
      </c>
      <c r="C623" s="1">
        <f>car_price_prediction_[[#This Row],[Year2]]</f>
        <v>2003</v>
      </c>
      <c r="D623">
        <v>2003</v>
      </c>
      <c r="E623">
        <f>car_price_prediction_[[#This Row],[Engine Size]]/10</f>
        <v>1.1000000000000001</v>
      </c>
      <c r="F623">
        <v>11</v>
      </c>
      <c r="G623" s="1" t="s">
        <v>11</v>
      </c>
      <c r="H623" s="1" t="s">
        <v>22</v>
      </c>
      <c r="I623" s="12">
        <f>car_price_prediction_[[#This Row],[Mileage]]/1000</f>
        <v>38.378999999999998</v>
      </c>
      <c r="J623" s="5">
        <v>38379</v>
      </c>
      <c r="K623" s="1" t="s">
        <v>17</v>
      </c>
      <c r="L623" s="5">
        <f>car_price_prediction_[[#This Row],[Price]]/100</f>
        <v>27396.55</v>
      </c>
      <c r="M623">
        <v>2739655</v>
      </c>
      <c r="N623" s="1" t="s">
        <v>53</v>
      </c>
      <c r="O623" s="1">
        <f>IF(IFERROR(VLOOKUP(car_price_prediction_[[#This Row],[Car ID]],A624:A3123,1,FALSE),0),1,0)</f>
        <v>0</v>
      </c>
    </row>
    <row r="624" spans="1:15" x14ac:dyDescent="0.25">
      <c r="A624">
        <v>623</v>
      </c>
      <c r="B624" s="1" t="s">
        <v>19</v>
      </c>
      <c r="C624" s="1">
        <f>car_price_prediction_[[#This Row],[Year2]]</f>
        <v>2003</v>
      </c>
      <c r="D624">
        <v>2003</v>
      </c>
      <c r="E624">
        <f>car_price_prediction_[[#This Row],[Engine Size]]/10</f>
        <v>5.0999999999999996</v>
      </c>
      <c r="F624">
        <v>51</v>
      </c>
      <c r="G624" s="1" t="s">
        <v>16</v>
      </c>
      <c r="H624" s="1" t="s">
        <v>12</v>
      </c>
      <c r="I624" s="12">
        <f>car_price_prediction_[[#This Row],[Mileage]]/1000</f>
        <v>206.04</v>
      </c>
      <c r="J624" s="5">
        <v>206040</v>
      </c>
      <c r="K624" s="1" t="s">
        <v>25</v>
      </c>
      <c r="L624" s="5">
        <f>car_price_prediction_[[#This Row],[Price]]/100</f>
        <v>36432.36</v>
      </c>
      <c r="M624">
        <v>3643236</v>
      </c>
      <c r="N624" s="1" t="s">
        <v>27</v>
      </c>
      <c r="O624" s="1">
        <f>IF(IFERROR(VLOOKUP(car_price_prediction_[[#This Row],[Car ID]],A625:A3124,1,FALSE),0),1,0)</f>
        <v>0</v>
      </c>
    </row>
    <row r="625" spans="1:15" x14ac:dyDescent="0.25">
      <c r="A625">
        <v>624</v>
      </c>
      <c r="B625" s="1" t="s">
        <v>15</v>
      </c>
      <c r="C625" s="1">
        <f>car_price_prediction_[[#This Row],[Year2]]</f>
        <v>2013</v>
      </c>
      <c r="D625">
        <v>2013</v>
      </c>
      <c r="E625">
        <f>car_price_prediction_[[#This Row],[Engine Size]]/10</f>
        <v>3.6</v>
      </c>
      <c r="F625">
        <v>36</v>
      </c>
      <c r="G625" s="1" t="s">
        <v>21</v>
      </c>
      <c r="H625" s="1" t="s">
        <v>22</v>
      </c>
      <c r="I625" s="12">
        <f>car_price_prediction_[[#This Row],[Mileage]]/1000</f>
        <v>262.46300000000002</v>
      </c>
      <c r="J625" s="5">
        <v>262463</v>
      </c>
      <c r="K625" s="1" t="s">
        <v>13</v>
      </c>
      <c r="L625" s="5">
        <f>car_price_prediction_[[#This Row],[Price]]/100</f>
        <v>95691.73</v>
      </c>
      <c r="M625">
        <v>9569173</v>
      </c>
      <c r="N625" s="1" t="s">
        <v>51</v>
      </c>
      <c r="O625" s="1">
        <f>IF(IFERROR(VLOOKUP(car_price_prediction_[[#This Row],[Car ID]],A626:A3125,1,FALSE),0),1,0)</f>
        <v>0</v>
      </c>
    </row>
    <row r="626" spans="1:15" x14ac:dyDescent="0.25">
      <c r="A626">
        <v>625</v>
      </c>
      <c r="B626" s="1" t="s">
        <v>24</v>
      </c>
      <c r="C626" s="1">
        <f>car_price_prediction_[[#This Row],[Year2]]</f>
        <v>2008</v>
      </c>
      <c r="D626">
        <v>2008</v>
      </c>
      <c r="E626">
        <f>car_price_prediction_[[#This Row],[Engine Size]]/10</f>
        <v>4.9000000000000004</v>
      </c>
      <c r="F626">
        <v>49</v>
      </c>
      <c r="G626" s="1" t="s">
        <v>21</v>
      </c>
      <c r="H626" s="1" t="s">
        <v>12</v>
      </c>
      <c r="I626" s="12">
        <f>car_price_prediction_[[#This Row],[Mileage]]/1000</f>
        <v>90.004999999999995</v>
      </c>
      <c r="J626" s="5">
        <v>90005</v>
      </c>
      <c r="K626" s="1" t="s">
        <v>25</v>
      </c>
      <c r="L626" s="5">
        <f>car_price_prediction_[[#This Row],[Price]]/100</f>
        <v>36641.96</v>
      </c>
      <c r="M626">
        <v>3664196</v>
      </c>
      <c r="N626" s="1" t="s">
        <v>34</v>
      </c>
      <c r="O626" s="1">
        <f>IF(IFERROR(VLOOKUP(car_price_prediction_[[#This Row],[Car ID]],A627:A3126,1,FALSE),0),1,0)</f>
        <v>0</v>
      </c>
    </row>
    <row r="627" spans="1:15" x14ac:dyDescent="0.25">
      <c r="A627">
        <v>626</v>
      </c>
      <c r="B627" s="1" t="s">
        <v>43</v>
      </c>
      <c r="C627" s="1">
        <f>car_price_prediction_[[#This Row],[Year2]]</f>
        <v>2008</v>
      </c>
      <c r="D627">
        <v>2008</v>
      </c>
      <c r="E627">
        <f>car_price_prediction_[[#This Row],[Engine Size]]/10</f>
        <v>2.2000000000000002</v>
      </c>
      <c r="F627">
        <v>22</v>
      </c>
      <c r="G627" s="1" t="s">
        <v>11</v>
      </c>
      <c r="H627" s="1" t="s">
        <v>22</v>
      </c>
      <c r="I627" s="12">
        <f>car_price_prediction_[[#This Row],[Mileage]]/1000</f>
        <v>223.09800000000001</v>
      </c>
      <c r="J627" s="5">
        <v>223098</v>
      </c>
      <c r="K627" s="1" t="s">
        <v>13</v>
      </c>
      <c r="L627" s="5">
        <f>car_price_prediction_[[#This Row],[Price]]/100</f>
        <v>58695.12</v>
      </c>
      <c r="M627">
        <v>5869512</v>
      </c>
      <c r="N627" s="1" t="s">
        <v>50</v>
      </c>
      <c r="O627" s="1">
        <f>IF(IFERROR(VLOOKUP(car_price_prediction_[[#This Row],[Car ID]],A628:A3127,1,FALSE),0),1,0)</f>
        <v>0</v>
      </c>
    </row>
    <row r="628" spans="1:15" x14ac:dyDescent="0.25">
      <c r="A628">
        <v>627</v>
      </c>
      <c r="B628" s="1" t="s">
        <v>43</v>
      </c>
      <c r="C628" s="1">
        <f>car_price_prediction_[[#This Row],[Year2]]</f>
        <v>2022</v>
      </c>
      <c r="D628">
        <v>2022</v>
      </c>
      <c r="E628">
        <f>car_price_prediction_[[#This Row],[Engine Size]]/10</f>
        <v>2.7</v>
      </c>
      <c r="F628">
        <v>27</v>
      </c>
      <c r="G628" s="1" t="s">
        <v>21</v>
      </c>
      <c r="H628" s="1" t="s">
        <v>22</v>
      </c>
      <c r="I628" s="12">
        <f>car_price_prediction_[[#This Row],[Mileage]]/1000</f>
        <v>4.7910000000000004</v>
      </c>
      <c r="J628" s="5">
        <v>4791</v>
      </c>
      <c r="K628" s="1" t="s">
        <v>25</v>
      </c>
      <c r="L628" s="5">
        <f>car_price_prediction_[[#This Row],[Price]]/100</f>
        <v>43349.53</v>
      </c>
      <c r="M628">
        <v>4334953</v>
      </c>
      <c r="N628" s="1" t="s">
        <v>44</v>
      </c>
      <c r="O628" s="1">
        <f>IF(IFERROR(VLOOKUP(car_price_prediction_[[#This Row],[Car ID]],A629:A3128,1,FALSE),0),1,0)</f>
        <v>0</v>
      </c>
    </row>
    <row r="629" spans="1:15" x14ac:dyDescent="0.25">
      <c r="A629">
        <v>628</v>
      </c>
      <c r="B629" s="1" t="s">
        <v>30</v>
      </c>
      <c r="C629" s="1">
        <f>car_price_prediction_[[#This Row],[Year2]]</f>
        <v>2017</v>
      </c>
      <c r="D629">
        <v>2017</v>
      </c>
      <c r="E629">
        <f>car_price_prediction_[[#This Row],[Engine Size]]/10</f>
        <v>1.2</v>
      </c>
      <c r="F629">
        <v>12</v>
      </c>
      <c r="G629" s="1" t="s">
        <v>21</v>
      </c>
      <c r="H629" s="1" t="s">
        <v>22</v>
      </c>
      <c r="I629" s="12">
        <f>car_price_prediction_[[#This Row],[Mileage]]/1000</f>
        <v>131.40100000000001</v>
      </c>
      <c r="J629" s="5">
        <v>131401</v>
      </c>
      <c r="K629" s="1" t="s">
        <v>25</v>
      </c>
      <c r="L629" s="5">
        <f>car_price_prediction_[[#This Row],[Price]]/100</f>
        <v>42640.91</v>
      </c>
      <c r="M629">
        <v>4264091</v>
      </c>
      <c r="N629" s="1" t="s">
        <v>48</v>
      </c>
      <c r="O629" s="1">
        <f>IF(IFERROR(VLOOKUP(car_price_prediction_[[#This Row],[Car ID]],A630:A3129,1,FALSE),0),1,0)</f>
        <v>0</v>
      </c>
    </row>
    <row r="630" spans="1:15" x14ac:dyDescent="0.25">
      <c r="A630">
        <v>629</v>
      </c>
      <c r="B630" s="1" t="s">
        <v>24</v>
      </c>
      <c r="C630" s="1">
        <f>car_price_prediction_[[#This Row],[Year2]]</f>
        <v>2009</v>
      </c>
      <c r="D630">
        <v>2009</v>
      </c>
      <c r="E630">
        <f>car_price_prediction_[[#This Row],[Engine Size]]/10</f>
        <v>5.8</v>
      </c>
      <c r="F630">
        <v>58</v>
      </c>
      <c r="G630" s="1" t="s">
        <v>29</v>
      </c>
      <c r="H630" s="1" t="s">
        <v>22</v>
      </c>
      <c r="I630" s="12">
        <f>car_price_prediction_[[#This Row],[Mileage]]/1000</f>
        <v>205.459</v>
      </c>
      <c r="J630" s="5">
        <v>205459</v>
      </c>
      <c r="K630" s="1" t="s">
        <v>17</v>
      </c>
      <c r="L630" s="5">
        <f>car_price_prediction_[[#This Row],[Price]]/100</f>
        <v>23370.97</v>
      </c>
      <c r="M630">
        <v>2337097</v>
      </c>
      <c r="N630" s="1" t="s">
        <v>32</v>
      </c>
      <c r="O630" s="1">
        <f>IF(IFERROR(VLOOKUP(car_price_prediction_[[#This Row],[Car ID]],A631:A3130,1,FALSE),0),1,0)</f>
        <v>0</v>
      </c>
    </row>
    <row r="631" spans="1:15" x14ac:dyDescent="0.25">
      <c r="A631">
        <v>630</v>
      </c>
      <c r="B631" s="1" t="s">
        <v>15</v>
      </c>
      <c r="C631" s="1">
        <f>car_price_prediction_[[#This Row],[Year2]]</f>
        <v>2020</v>
      </c>
      <c r="D631">
        <v>2020</v>
      </c>
      <c r="E631">
        <f>car_price_prediction_[[#This Row],[Engine Size]]/10</f>
        <v>4.3</v>
      </c>
      <c r="F631">
        <v>43</v>
      </c>
      <c r="G631" s="1" t="s">
        <v>11</v>
      </c>
      <c r="H631" s="1" t="s">
        <v>22</v>
      </c>
      <c r="I631" s="12">
        <f>car_price_prediction_[[#This Row],[Mileage]]/1000</f>
        <v>61.031999999999996</v>
      </c>
      <c r="J631" s="5">
        <v>61032</v>
      </c>
      <c r="K631" s="1" t="s">
        <v>17</v>
      </c>
      <c r="L631" s="5">
        <f>car_price_prediction_[[#This Row],[Price]]/100</f>
        <v>56022.559999999998</v>
      </c>
      <c r="M631">
        <v>5602256</v>
      </c>
      <c r="N631" s="1" t="s">
        <v>39</v>
      </c>
      <c r="O631" s="1">
        <f>IF(IFERROR(VLOOKUP(car_price_prediction_[[#This Row],[Car ID]],A632:A3131,1,FALSE),0),1,0)</f>
        <v>0</v>
      </c>
    </row>
    <row r="632" spans="1:15" x14ac:dyDescent="0.25">
      <c r="A632">
        <v>631</v>
      </c>
      <c r="B632" s="1" t="s">
        <v>19</v>
      </c>
      <c r="C632" s="1">
        <f>car_price_prediction_[[#This Row],[Year2]]</f>
        <v>2003</v>
      </c>
      <c r="D632">
        <v>2003</v>
      </c>
      <c r="E632">
        <f>car_price_prediction_[[#This Row],[Engine Size]]/10</f>
        <v>5.7</v>
      </c>
      <c r="F632">
        <v>57</v>
      </c>
      <c r="G632" s="1" t="s">
        <v>16</v>
      </c>
      <c r="H632" s="1" t="s">
        <v>12</v>
      </c>
      <c r="I632" s="12">
        <f>car_price_prediction_[[#This Row],[Mileage]]/1000</f>
        <v>175.15</v>
      </c>
      <c r="J632" s="5">
        <v>175150</v>
      </c>
      <c r="K632" s="1" t="s">
        <v>13</v>
      </c>
      <c r="L632" s="5">
        <f>car_price_prediction_[[#This Row],[Price]]/100</f>
        <v>8569.34</v>
      </c>
      <c r="M632">
        <v>856934</v>
      </c>
      <c r="N632" s="1" t="s">
        <v>20</v>
      </c>
      <c r="O632" s="1">
        <f>IF(IFERROR(VLOOKUP(car_price_prediction_[[#This Row],[Car ID]],A633:A3132,1,FALSE),0),1,0)</f>
        <v>0</v>
      </c>
    </row>
    <row r="633" spans="1:15" x14ac:dyDescent="0.25">
      <c r="A633">
        <v>632</v>
      </c>
      <c r="B633" s="1" t="s">
        <v>19</v>
      </c>
      <c r="C633" s="1">
        <f>car_price_prediction_[[#This Row],[Year2]]</f>
        <v>2011</v>
      </c>
      <c r="D633">
        <v>2011</v>
      </c>
      <c r="E633">
        <f>car_price_prediction_[[#This Row],[Engine Size]]/10</f>
        <v>2.2999999999999998</v>
      </c>
      <c r="F633">
        <v>23</v>
      </c>
      <c r="G633" s="1" t="s">
        <v>11</v>
      </c>
      <c r="H633" s="1" t="s">
        <v>12</v>
      </c>
      <c r="I633" s="12">
        <f>car_price_prediction_[[#This Row],[Mileage]]/1000</f>
        <v>21.3</v>
      </c>
      <c r="J633" s="5">
        <v>21300</v>
      </c>
      <c r="K633" s="1" t="s">
        <v>17</v>
      </c>
      <c r="L633" s="5">
        <f>car_price_prediction_[[#This Row],[Price]]/100</f>
        <v>9701.08</v>
      </c>
      <c r="M633">
        <v>970108</v>
      </c>
      <c r="N633" s="1" t="s">
        <v>27</v>
      </c>
      <c r="O633" s="1">
        <f>IF(IFERROR(VLOOKUP(car_price_prediction_[[#This Row],[Car ID]],A634:A3133,1,FALSE),0),1,0)</f>
        <v>0</v>
      </c>
    </row>
    <row r="634" spans="1:15" x14ac:dyDescent="0.25">
      <c r="A634">
        <v>633</v>
      </c>
      <c r="B634" s="1" t="s">
        <v>15</v>
      </c>
      <c r="C634" s="1">
        <f>car_price_prediction_[[#This Row],[Year2]]</f>
        <v>2007</v>
      </c>
      <c r="D634">
        <v>2007</v>
      </c>
      <c r="E634">
        <f>car_price_prediction_[[#This Row],[Engine Size]]/10</f>
        <v>4.0999999999999996</v>
      </c>
      <c r="F634">
        <v>41</v>
      </c>
      <c r="G634" s="1" t="s">
        <v>21</v>
      </c>
      <c r="H634" s="1" t="s">
        <v>22</v>
      </c>
      <c r="I634" s="12">
        <f>car_price_prediction_[[#This Row],[Mileage]]/1000</f>
        <v>55.609000000000002</v>
      </c>
      <c r="J634" s="5">
        <v>55609</v>
      </c>
      <c r="K634" s="1" t="s">
        <v>17</v>
      </c>
      <c r="L634" s="5">
        <f>car_price_prediction_[[#This Row],[Price]]/100</f>
        <v>89476.53</v>
      </c>
      <c r="M634">
        <v>8947653</v>
      </c>
      <c r="N634" s="1" t="s">
        <v>35</v>
      </c>
      <c r="O634" s="1">
        <f>IF(IFERROR(VLOOKUP(car_price_prediction_[[#This Row],[Car ID]],A635:A3134,1,FALSE),0),1,0)</f>
        <v>0</v>
      </c>
    </row>
    <row r="635" spans="1:15" x14ac:dyDescent="0.25">
      <c r="A635">
        <v>634</v>
      </c>
      <c r="B635" s="1" t="s">
        <v>10</v>
      </c>
      <c r="C635" s="1">
        <f>car_price_prediction_[[#This Row],[Year2]]</f>
        <v>2001</v>
      </c>
      <c r="D635">
        <v>2001</v>
      </c>
      <c r="E635">
        <f>car_price_prediction_[[#This Row],[Engine Size]]/10</f>
        <v>4.4000000000000004</v>
      </c>
      <c r="F635">
        <v>44</v>
      </c>
      <c r="G635" s="1" t="s">
        <v>29</v>
      </c>
      <c r="H635" s="1" t="s">
        <v>22</v>
      </c>
      <c r="I635" s="12">
        <f>car_price_prediction_[[#This Row],[Mileage]]/1000</f>
        <v>191.63399999999999</v>
      </c>
      <c r="J635" s="5">
        <v>191634</v>
      </c>
      <c r="K635" s="1" t="s">
        <v>17</v>
      </c>
      <c r="L635" s="5">
        <f>car_price_prediction_[[#This Row],[Price]]/100</f>
        <v>68219.929999999993</v>
      </c>
      <c r="M635">
        <v>6821993</v>
      </c>
      <c r="N635" s="1" t="s">
        <v>33</v>
      </c>
      <c r="O635" s="1">
        <f>IF(IFERROR(VLOOKUP(car_price_prediction_[[#This Row],[Car ID]],A636:A3135,1,FALSE),0),1,0)</f>
        <v>0</v>
      </c>
    </row>
    <row r="636" spans="1:15" x14ac:dyDescent="0.25">
      <c r="A636">
        <v>635</v>
      </c>
      <c r="B636" s="1" t="s">
        <v>36</v>
      </c>
      <c r="C636" s="1">
        <f>car_price_prediction_[[#This Row],[Year2]]</f>
        <v>2021</v>
      </c>
      <c r="D636">
        <v>2021</v>
      </c>
      <c r="E636">
        <f>car_price_prediction_[[#This Row],[Engine Size]]/10</f>
        <v>2.6</v>
      </c>
      <c r="F636">
        <v>26</v>
      </c>
      <c r="G636" s="1" t="s">
        <v>11</v>
      </c>
      <c r="H636" s="1" t="s">
        <v>22</v>
      </c>
      <c r="I636" s="12">
        <f>car_price_prediction_[[#This Row],[Mileage]]/1000</f>
        <v>90.045000000000002</v>
      </c>
      <c r="J636" s="5">
        <v>90045</v>
      </c>
      <c r="K636" s="1" t="s">
        <v>17</v>
      </c>
      <c r="L636" s="5">
        <f>car_price_prediction_[[#This Row],[Price]]/100</f>
        <v>63590.12</v>
      </c>
      <c r="M636">
        <v>6359012</v>
      </c>
      <c r="N636" s="1" t="s">
        <v>37</v>
      </c>
      <c r="O636" s="1">
        <f>IF(IFERROR(VLOOKUP(car_price_prediction_[[#This Row],[Car ID]],A637:A3136,1,FALSE),0),1,0)</f>
        <v>0</v>
      </c>
    </row>
    <row r="637" spans="1:15" x14ac:dyDescent="0.25">
      <c r="A637">
        <v>636</v>
      </c>
      <c r="B637" s="1" t="s">
        <v>30</v>
      </c>
      <c r="C637" s="1">
        <f>car_price_prediction_[[#This Row],[Year2]]</f>
        <v>2012</v>
      </c>
      <c r="D637">
        <v>2012</v>
      </c>
      <c r="E637">
        <f>car_price_prediction_[[#This Row],[Engine Size]]/10</f>
        <v>5.2</v>
      </c>
      <c r="F637">
        <v>52</v>
      </c>
      <c r="G637" s="1" t="s">
        <v>11</v>
      </c>
      <c r="H637" s="1" t="s">
        <v>12</v>
      </c>
      <c r="I637" s="12">
        <f>car_price_prediction_[[#This Row],[Mileage]]/1000</f>
        <v>267.84699999999998</v>
      </c>
      <c r="J637" s="5">
        <v>267847</v>
      </c>
      <c r="K637" s="1" t="s">
        <v>17</v>
      </c>
      <c r="L637" s="5">
        <f>car_price_prediction_[[#This Row],[Price]]/100</f>
        <v>64460.52</v>
      </c>
      <c r="M637">
        <v>6446052</v>
      </c>
      <c r="N637" s="1" t="s">
        <v>31</v>
      </c>
      <c r="O637" s="1">
        <f>IF(IFERROR(VLOOKUP(car_price_prediction_[[#This Row],[Car ID]],A638:A3137,1,FALSE),0),1,0)</f>
        <v>0</v>
      </c>
    </row>
    <row r="638" spans="1:15" x14ac:dyDescent="0.25">
      <c r="A638">
        <v>637</v>
      </c>
      <c r="B638" s="1" t="s">
        <v>19</v>
      </c>
      <c r="C638" s="1">
        <f>car_price_prediction_[[#This Row],[Year2]]</f>
        <v>2020</v>
      </c>
      <c r="D638">
        <v>2020</v>
      </c>
      <c r="E638">
        <f>car_price_prediction_[[#This Row],[Engine Size]]/10</f>
        <v>5.7</v>
      </c>
      <c r="F638">
        <v>57</v>
      </c>
      <c r="G638" s="1" t="s">
        <v>21</v>
      </c>
      <c r="H638" s="1" t="s">
        <v>12</v>
      </c>
      <c r="I638" s="12">
        <f>car_price_prediction_[[#This Row],[Mileage]]/1000</f>
        <v>223.71700000000001</v>
      </c>
      <c r="J638" s="5">
        <v>223717</v>
      </c>
      <c r="K638" s="1" t="s">
        <v>13</v>
      </c>
      <c r="L638" s="5">
        <f>car_price_prediction_[[#This Row],[Price]]/100</f>
        <v>33145.629999999997</v>
      </c>
      <c r="M638">
        <v>3314563</v>
      </c>
      <c r="N638" s="1" t="s">
        <v>27</v>
      </c>
      <c r="O638" s="1">
        <f>IF(IFERROR(VLOOKUP(car_price_prediction_[[#This Row],[Car ID]],A639:A3138,1,FALSE),0),1,0)</f>
        <v>0</v>
      </c>
    </row>
    <row r="639" spans="1:15" x14ac:dyDescent="0.25">
      <c r="A639">
        <v>638</v>
      </c>
      <c r="B639" s="1" t="s">
        <v>24</v>
      </c>
      <c r="C639" s="1">
        <f>car_price_prediction_[[#This Row],[Year2]]</f>
        <v>2015</v>
      </c>
      <c r="D639">
        <v>2015</v>
      </c>
      <c r="E639">
        <f>car_price_prediction_[[#This Row],[Engine Size]]/10</f>
        <v>5.4</v>
      </c>
      <c r="F639">
        <v>54</v>
      </c>
      <c r="G639" s="1" t="s">
        <v>21</v>
      </c>
      <c r="H639" s="1" t="s">
        <v>12</v>
      </c>
      <c r="I639" s="12">
        <f>car_price_prediction_[[#This Row],[Mileage]]/1000</f>
        <v>219.16200000000001</v>
      </c>
      <c r="J639" s="5">
        <v>219162</v>
      </c>
      <c r="K639" s="1" t="s">
        <v>13</v>
      </c>
      <c r="L639" s="5">
        <f>car_price_prediction_[[#This Row],[Price]]/100</f>
        <v>44438.73</v>
      </c>
      <c r="M639">
        <v>4443873</v>
      </c>
      <c r="N639" s="1" t="s">
        <v>53</v>
      </c>
      <c r="O639" s="1">
        <f>IF(IFERROR(VLOOKUP(car_price_prediction_[[#This Row],[Car ID]],A640:A3139,1,FALSE),0),1,0)</f>
        <v>0</v>
      </c>
    </row>
    <row r="640" spans="1:15" x14ac:dyDescent="0.25">
      <c r="A640">
        <v>639</v>
      </c>
      <c r="B640" s="1" t="s">
        <v>30</v>
      </c>
      <c r="C640" s="1">
        <f>car_price_prediction_[[#This Row],[Year2]]</f>
        <v>2001</v>
      </c>
      <c r="D640">
        <v>2001</v>
      </c>
      <c r="E640">
        <f>car_price_prediction_[[#This Row],[Engine Size]]/10</f>
        <v>4.7</v>
      </c>
      <c r="F640">
        <v>47</v>
      </c>
      <c r="G640" s="1" t="s">
        <v>11</v>
      </c>
      <c r="H640" s="1" t="s">
        <v>12</v>
      </c>
      <c r="I640" s="12">
        <f>car_price_prediction_[[#This Row],[Mileage]]/1000</f>
        <v>27.675999999999998</v>
      </c>
      <c r="J640" s="5">
        <v>27676</v>
      </c>
      <c r="K640" s="1" t="s">
        <v>17</v>
      </c>
      <c r="L640" s="5">
        <f>car_price_prediction_[[#This Row],[Price]]/100</f>
        <v>80932.55</v>
      </c>
      <c r="M640">
        <v>8093255</v>
      </c>
      <c r="N640" s="1" t="s">
        <v>31</v>
      </c>
      <c r="O640" s="1">
        <f>IF(IFERROR(VLOOKUP(car_price_prediction_[[#This Row],[Car ID]],A641:A3140,1,FALSE),0),1,0)</f>
        <v>0</v>
      </c>
    </row>
    <row r="641" spans="1:15" x14ac:dyDescent="0.25">
      <c r="A641">
        <v>640</v>
      </c>
      <c r="B641" s="1" t="s">
        <v>24</v>
      </c>
      <c r="C641" s="1">
        <f>car_price_prediction_[[#This Row],[Year2]]</f>
        <v>2010</v>
      </c>
      <c r="D641">
        <v>2010</v>
      </c>
      <c r="E641">
        <f>car_price_prediction_[[#This Row],[Engine Size]]/10</f>
        <v>2.4</v>
      </c>
      <c r="F641">
        <v>24</v>
      </c>
      <c r="G641" s="1" t="s">
        <v>21</v>
      </c>
      <c r="H641" s="1" t="s">
        <v>12</v>
      </c>
      <c r="I641" s="12">
        <f>car_price_prediction_[[#This Row],[Mileage]]/1000</f>
        <v>220.41200000000001</v>
      </c>
      <c r="J641" s="5">
        <v>220412</v>
      </c>
      <c r="K641" s="1" t="s">
        <v>17</v>
      </c>
      <c r="L641" s="5">
        <f>car_price_prediction_[[#This Row],[Price]]/100</f>
        <v>3410.62</v>
      </c>
      <c r="M641">
        <v>341062</v>
      </c>
      <c r="N641" s="1" t="s">
        <v>53</v>
      </c>
      <c r="O641" s="1">
        <f>IF(IFERROR(VLOOKUP(car_price_prediction_[[#This Row],[Car ID]],A642:A3141,1,FALSE),0),1,0)</f>
        <v>0</v>
      </c>
    </row>
    <row r="642" spans="1:15" x14ac:dyDescent="0.25">
      <c r="A642">
        <v>641</v>
      </c>
      <c r="B642" s="1" t="s">
        <v>10</v>
      </c>
      <c r="C642" s="1">
        <f>car_price_prediction_[[#This Row],[Year2]]</f>
        <v>2009</v>
      </c>
      <c r="D642">
        <v>2009</v>
      </c>
      <c r="E642">
        <f>car_price_prediction_[[#This Row],[Engine Size]]/10</f>
        <v>2.4</v>
      </c>
      <c r="F642">
        <v>24</v>
      </c>
      <c r="G642" s="1" t="s">
        <v>21</v>
      </c>
      <c r="H642" s="1" t="s">
        <v>12</v>
      </c>
      <c r="I642" s="12">
        <f>car_price_prediction_[[#This Row],[Mileage]]/1000</f>
        <v>176.512</v>
      </c>
      <c r="J642" s="5">
        <v>176512</v>
      </c>
      <c r="K642" s="1" t="s">
        <v>13</v>
      </c>
      <c r="L642" s="5">
        <f>car_price_prediction_[[#This Row],[Price]]/100</f>
        <v>49651.92</v>
      </c>
      <c r="M642">
        <v>4965192</v>
      </c>
      <c r="N642" s="1" t="s">
        <v>14</v>
      </c>
      <c r="O642" s="1">
        <f>IF(IFERROR(VLOOKUP(car_price_prediction_[[#This Row],[Car ID]],A643:A3142,1,FALSE),0),1,0)</f>
        <v>0</v>
      </c>
    </row>
    <row r="643" spans="1:15" x14ac:dyDescent="0.25">
      <c r="A643">
        <v>642</v>
      </c>
      <c r="B643" s="1" t="s">
        <v>43</v>
      </c>
      <c r="C643" s="1">
        <f>car_price_prediction_[[#This Row],[Year2]]</f>
        <v>2014</v>
      </c>
      <c r="D643">
        <v>2014</v>
      </c>
      <c r="E643">
        <f>car_price_prediction_[[#This Row],[Engine Size]]/10</f>
        <v>5.8</v>
      </c>
      <c r="F643">
        <v>58</v>
      </c>
      <c r="G643" s="1" t="s">
        <v>21</v>
      </c>
      <c r="H643" s="1" t="s">
        <v>12</v>
      </c>
      <c r="I643" s="12">
        <f>car_price_prediction_[[#This Row],[Mileage]]/1000</f>
        <v>167.995</v>
      </c>
      <c r="J643" s="5">
        <v>167995</v>
      </c>
      <c r="K643" s="1" t="s">
        <v>25</v>
      </c>
      <c r="L643" s="5">
        <f>car_price_prediction_[[#This Row],[Price]]/100</f>
        <v>6865.07</v>
      </c>
      <c r="M643">
        <v>686507</v>
      </c>
      <c r="N643" s="1" t="s">
        <v>47</v>
      </c>
      <c r="O643" s="1">
        <f>IF(IFERROR(VLOOKUP(car_price_prediction_[[#This Row],[Car ID]],A644:A3143,1,FALSE),0),1,0)</f>
        <v>0</v>
      </c>
    </row>
    <row r="644" spans="1:15" x14ac:dyDescent="0.25">
      <c r="A644">
        <v>643</v>
      </c>
      <c r="B644" s="1" t="s">
        <v>30</v>
      </c>
      <c r="C644" s="1">
        <f>car_price_prediction_[[#This Row],[Year2]]</f>
        <v>2016</v>
      </c>
      <c r="D644">
        <v>2016</v>
      </c>
      <c r="E644">
        <f>car_price_prediction_[[#This Row],[Engine Size]]/10</f>
        <v>1.1000000000000001</v>
      </c>
      <c r="F644">
        <v>11</v>
      </c>
      <c r="G644" s="1" t="s">
        <v>21</v>
      </c>
      <c r="H644" s="1" t="s">
        <v>12</v>
      </c>
      <c r="I644" s="12">
        <f>car_price_prediction_[[#This Row],[Mileage]]/1000</f>
        <v>291.94600000000003</v>
      </c>
      <c r="J644" s="5">
        <v>291946</v>
      </c>
      <c r="K644" s="1" t="s">
        <v>13</v>
      </c>
      <c r="L644" s="5">
        <f>car_price_prediction_[[#This Row],[Price]]/100</f>
        <v>74688.039999999994</v>
      </c>
      <c r="M644">
        <v>7468804</v>
      </c>
      <c r="N644" s="1" t="s">
        <v>42</v>
      </c>
      <c r="O644" s="1">
        <f>IF(IFERROR(VLOOKUP(car_price_prediction_[[#This Row],[Car ID]],A645:A3144,1,FALSE),0),1,0)</f>
        <v>0</v>
      </c>
    </row>
    <row r="645" spans="1:15" x14ac:dyDescent="0.25">
      <c r="A645">
        <v>644</v>
      </c>
      <c r="B645" s="1" t="s">
        <v>19</v>
      </c>
      <c r="C645" s="1">
        <f>car_price_prediction_[[#This Row],[Year2]]</f>
        <v>2007</v>
      </c>
      <c r="D645">
        <v>2007</v>
      </c>
      <c r="E645">
        <f>car_price_prediction_[[#This Row],[Engine Size]]/10</f>
        <v>4.5999999999999996</v>
      </c>
      <c r="F645">
        <v>46</v>
      </c>
      <c r="G645" s="1" t="s">
        <v>21</v>
      </c>
      <c r="H645" s="1" t="s">
        <v>22</v>
      </c>
      <c r="I645" s="12">
        <f>car_price_prediction_[[#This Row],[Mileage]]/1000</f>
        <v>124.786</v>
      </c>
      <c r="J645" s="5">
        <v>124786</v>
      </c>
      <c r="K645" s="1" t="s">
        <v>25</v>
      </c>
      <c r="L645" s="5">
        <f>car_price_prediction_[[#This Row],[Price]]/100</f>
        <v>44681.71</v>
      </c>
      <c r="M645">
        <v>4468171</v>
      </c>
      <c r="N645" s="1" t="s">
        <v>20</v>
      </c>
      <c r="O645" s="1">
        <f>IF(IFERROR(VLOOKUP(car_price_prediction_[[#This Row],[Car ID]],A646:A3145,1,FALSE),0),1,0)</f>
        <v>0</v>
      </c>
    </row>
    <row r="646" spans="1:15" x14ac:dyDescent="0.25">
      <c r="A646">
        <v>645</v>
      </c>
      <c r="B646" s="1" t="s">
        <v>30</v>
      </c>
      <c r="C646" s="1">
        <f>car_price_prediction_[[#This Row],[Year2]]</f>
        <v>2017</v>
      </c>
      <c r="D646">
        <v>2017</v>
      </c>
      <c r="E646">
        <f>car_price_prediction_[[#This Row],[Engine Size]]/10</f>
        <v>4.5</v>
      </c>
      <c r="F646">
        <v>45</v>
      </c>
      <c r="G646" s="1" t="s">
        <v>29</v>
      </c>
      <c r="H646" s="1" t="s">
        <v>12</v>
      </c>
      <c r="I646" s="12">
        <f>car_price_prediction_[[#This Row],[Mileage]]/1000</f>
        <v>68.147000000000006</v>
      </c>
      <c r="J646" s="5">
        <v>68147</v>
      </c>
      <c r="K646" s="1" t="s">
        <v>17</v>
      </c>
      <c r="L646" s="5">
        <f>car_price_prediction_[[#This Row],[Price]]/100</f>
        <v>54909.08</v>
      </c>
      <c r="M646">
        <v>5490908</v>
      </c>
      <c r="N646" s="1" t="s">
        <v>45</v>
      </c>
      <c r="O646" s="1">
        <f>IF(IFERROR(VLOOKUP(car_price_prediction_[[#This Row],[Car ID]],A647:A3146,1,FALSE),0),1,0)</f>
        <v>0</v>
      </c>
    </row>
    <row r="647" spans="1:15" x14ac:dyDescent="0.25">
      <c r="A647">
        <v>646</v>
      </c>
      <c r="B647" s="1" t="s">
        <v>30</v>
      </c>
      <c r="C647" s="1">
        <f>car_price_prediction_[[#This Row],[Year2]]</f>
        <v>2022</v>
      </c>
      <c r="D647">
        <v>2022</v>
      </c>
      <c r="E647">
        <f>car_price_prediction_[[#This Row],[Engine Size]]/10</f>
        <v>4.0999999999999996</v>
      </c>
      <c r="F647">
        <v>41</v>
      </c>
      <c r="G647" s="1" t="s">
        <v>21</v>
      </c>
      <c r="H647" s="1" t="s">
        <v>12</v>
      </c>
      <c r="I647" s="12">
        <f>car_price_prediction_[[#This Row],[Mileage]]/1000</f>
        <v>22.074999999999999</v>
      </c>
      <c r="J647" s="5">
        <v>22075</v>
      </c>
      <c r="K647" s="1" t="s">
        <v>17</v>
      </c>
      <c r="L647" s="5">
        <f>car_price_prediction_[[#This Row],[Price]]/100</f>
        <v>15895.49</v>
      </c>
      <c r="M647">
        <v>1589549</v>
      </c>
      <c r="N647" s="1" t="s">
        <v>31</v>
      </c>
      <c r="O647" s="1">
        <f>IF(IFERROR(VLOOKUP(car_price_prediction_[[#This Row],[Car ID]],A648:A3147,1,FALSE),0),1,0)</f>
        <v>0</v>
      </c>
    </row>
    <row r="648" spans="1:15" x14ac:dyDescent="0.25">
      <c r="A648">
        <v>647</v>
      </c>
      <c r="B648" s="1" t="s">
        <v>30</v>
      </c>
      <c r="C648" s="1">
        <f>car_price_prediction_[[#This Row],[Year2]]</f>
        <v>2008</v>
      </c>
      <c r="D648">
        <v>2008</v>
      </c>
      <c r="E648">
        <f>car_price_prediction_[[#This Row],[Engine Size]]/10</f>
        <v>6</v>
      </c>
      <c r="F648">
        <v>60</v>
      </c>
      <c r="G648" s="1" t="s">
        <v>16</v>
      </c>
      <c r="H648" s="1" t="s">
        <v>12</v>
      </c>
      <c r="I648" s="12">
        <f>car_price_prediction_[[#This Row],[Mileage]]/1000</f>
        <v>205.78800000000001</v>
      </c>
      <c r="J648" s="5">
        <v>205788</v>
      </c>
      <c r="K648" s="1" t="s">
        <v>13</v>
      </c>
      <c r="L648" s="5">
        <f>car_price_prediction_[[#This Row],[Price]]/100</f>
        <v>99212.85</v>
      </c>
      <c r="M648">
        <v>9921285</v>
      </c>
      <c r="N648" s="1" t="s">
        <v>45</v>
      </c>
      <c r="O648" s="1">
        <f>IF(IFERROR(VLOOKUP(car_price_prediction_[[#This Row],[Car ID]],A649:A3148,1,FALSE),0),1,0)</f>
        <v>0</v>
      </c>
    </row>
    <row r="649" spans="1:15" x14ac:dyDescent="0.25">
      <c r="A649">
        <v>648</v>
      </c>
      <c r="B649" s="1" t="s">
        <v>36</v>
      </c>
      <c r="C649" s="1">
        <f>car_price_prediction_[[#This Row],[Year2]]</f>
        <v>2007</v>
      </c>
      <c r="D649">
        <v>2007</v>
      </c>
      <c r="E649">
        <f>car_price_prediction_[[#This Row],[Engine Size]]/10</f>
        <v>2.6</v>
      </c>
      <c r="F649">
        <v>26</v>
      </c>
      <c r="G649" s="1" t="s">
        <v>11</v>
      </c>
      <c r="H649" s="1" t="s">
        <v>12</v>
      </c>
      <c r="I649" s="12">
        <f>car_price_prediction_[[#This Row],[Mileage]]/1000</f>
        <v>9.3040000000000003</v>
      </c>
      <c r="J649" s="5">
        <v>9304</v>
      </c>
      <c r="K649" s="1" t="s">
        <v>17</v>
      </c>
      <c r="L649" s="5">
        <f>car_price_prediction_[[#This Row],[Price]]/100</f>
        <v>33734.44</v>
      </c>
      <c r="M649">
        <v>3373444</v>
      </c>
      <c r="N649" s="1" t="s">
        <v>37</v>
      </c>
      <c r="O649" s="1">
        <f>IF(IFERROR(VLOOKUP(car_price_prediction_[[#This Row],[Car ID]],A650:A3149,1,FALSE),0),1,0)</f>
        <v>0</v>
      </c>
    </row>
    <row r="650" spans="1:15" x14ac:dyDescent="0.25">
      <c r="A650">
        <v>649</v>
      </c>
      <c r="B650" s="1" t="s">
        <v>30</v>
      </c>
      <c r="C650" s="1">
        <f>car_price_prediction_[[#This Row],[Year2]]</f>
        <v>2013</v>
      </c>
      <c r="D650">
        <v>2013</v>
      </c>
      <c r="E650">
        <f>car_price_prediction_[[#This Row],[Engine Size]]/10</f>
        <v>2.7</v>
      </c>
      <c r="F650">
        <v>27</v>
      </c>
      <c r="G650" s="1" t="s">
        <v>29</v>
      </c>
      <c r="H650" s="1" t="s">
        <v>22</v>
      </c>
      <c r="I650" s="12">
        <f>car_price_prediction_[[#This Row],[Mileage]]/1000</f>
        <v>129.851</v>
      </c>
      <c r="J650" s="5">
        <v>129851</v>
      </c>
      <c r="K650" s="1" t="s">
        <v>25</v>
      </c>
      <c r="L650" s="5">
        <f>car_price_prediction_[[#This Row],[Price]]/100</f>
        <v>65324.02</v>
      </c>
      <c r="M650">
        <v>6532402</v>
      </c>
      <c r="N650" s="1" t="s">
        <v>31</v>
      </c>
      <c r="O650" s="1">
        <f>IF(IFERROR(VLOOKUP(car_price_prediction_[[#This Row],[Car ID]],A651:A3150,1,FALSE),0),1,0)</f>
        <v>0</v>
      </c>
    </row>
    <row r="651" spans="1:15" x14ac:dyDescent="0.25">
      <c r="A651">
        <v>650</v>
      </c>
      <c r="B651" s="1" t="s">
        <v>24</v>
      </c>
      <c r="C651" s="1">
        <f>car_price_prediction_[[#This Row],[Year2]]</f>
        <v>2017</v>
      </c>
      <c r="D651">
        <v>2017</v>
      </c>
      <c r="E651">
        <f>car_price_prediction_[[#This Row],[Engine Size]]/10</f>
        <v>1.4</v>
      </c>
      <c r="F651">
        <v>14</v>
      </c>
      <c r="G651" s="1" t="s">
        <v>29</v>
      </c>
      <c r="H651" s="1" t="s">
        <v>12</v>
      </c>
      <c r="I651" s="12">
        <f>car_price_prediction_[[#This Row],[Mileage]]/1000</f>
        <v>59.622</v>
      </c>
      <c r="J651" s="5">
        <v>59622</v>
      </c>
      <c r="K651" s="1" t="s">
        <v>25</v>
      </c>
      <c r="L651" s="5">
        <f>car_price_prediction_[[#This Row],[Price]]/100</f>
        <v>60217.45</v>
      </c>
      <c r="M651">
        <v>6021745</v>
      </c>
      <c r="N651" s="1" t="s">
        <v>34</v>
      </c>
      <c r="O651" s="1">
        <f>IF(IFERROR(VLOOKUP(car_price_prediction_[[#This Row],[Car ID]],A652:A3151,1,FALSE),0),1,0)</f>
        <v>0</v>
      </c>
    </row>
    <row r="652" spans="1:15" x14ac:dyDescent="0.25">
      <c r="A652">
        <v>651</v>
      </c>
      <c r="B652" s="1" t="s">
        <v>43</v>
      </c>
      <c r="C652" s="1">
        <f>car_price_prediction_[[#This Row],[Year2]]</f>
        <v>2021</v>
      </c>
      <c r="D652">
        <v>2021</v>
      </c>
      <c r="E652">
        <f>car_price_prediction_[[#This Row],[Engine Size]]/10</f>
        <v>3.2</v>
      </c>
      <c r="F652">
        <v>32</v>
      </c>
      <c r="G652" s="1" t="s">
        <v>21</v>
      </c>
      <c r="H652" s="1" t="s">
        <v>22</v>
      </c>
      <c r="I652" s="12">
        <f>car_price_prediction_[[#This Row],[Mileage]]/1000</f>
        <v>108.654</v>
      </c>
      <c r="J652" s="5">
        <v>108654</v>
      </c>
      <c r="K652" s="1" t="s">
        <v>13</v>
      </c>
      <c r="L652" s="5">
        <f>car_price_prediction_[[#This Row],[Price]]/100</f>
        <v>79583.759999999995</v>
      </c>
      <c r="M652">
        <v>7958376</v>
      </c>
      <c r="N652" s="1" t="s">
        <v>44</v>
      </c>
      <c r="O652" s="1">
        <f>IF(IFERROR(VLOOKUP(car_price_prediction_[[#This Row],[Car ID]],A653:A3152,1,FALSE),0),1,0)</f>
        <v>0</v>
      </c>
    </row>
    <row r="653" spans="1:15" x14ac:dyDescent="0.25">
      <c r="A653">
        <v>652</v>
      </c>
      <c r="B653" s="1" t="s">
        <v>10</v>
      </c>
      <c r="C653" s="1">
        <f>car_price_prediction_[[#This Row],[Year2]]</f>
        <v>2019</v>
      </c>
      <c r="D653">
        <v>2019</v>
      </c>
      <c r="E653">
        <f>car_price_prediction_[[#This Row],[Engine Size]]/10</f>
        <v>2.2999999999999998</v>
      </c>
      <c r="F653">
        <v>23</v>
      </c>
      <c r="G653" s="1" t="s">
        <v>11</v>
      </c>
      <c r="H653" s="1" t="s">
        <v>22</v>
      </c>
      <c r="I653" s="12">
        <f>car_price_prediction_[[#This Row],[Mileage]]/1000</f>
        <v>249.10900000000001</v>
      </c>
      <c r="J653" s="5">
        <v>249109</v>
      </c>
      <c r="K653" s="1" t="s">
        <v>25</v>
      </c>
      <c r="L653" s="5">
        <f>car_price_prediction_[[#This Row],[Price]]/100</f>
        <v>32914.51</v>
      </c>
      <c r="M653">
        <v>3291451</v>
      </c>
      <c r="N653" s="1" t="s">
        <v>49</v>
      </c>
      <c r="O653" s="1">
        <f>IF(IFERROR(VLOOKUP(car_price_prediction_[[#This Row],[Car ID]],A654:A3153,1,FALSE),0),1,0)</f>
        <v>0</v>
      </c>
    </row>
    <row r="654" spans="1:15" x14ac:dyDescent="0.25">
      <c r="A654">
        <v>653</v>
      </c>
      <c r="B654" s="1" t="s">
        <v>15</v>
      </c>
      <c r="C654" s="1">
        <f>car_price_prediction_[[#This Row],[Year2]]</f>
        <v>2019</v>
      </c>
      <c r="D654">
        <v>2019</v>
      </c>
      <c r="E654">
        <f>car_price_prediction_[[#This Row],[Engine Size]]/10</f>
        <v>2.7</v>
      </c>
      <c r="F654">
        <v>27</v>
      </c>
      <c r="G654" s="1" t="s">
        <v>16</v>
      </c>
      <c r="H654" s="1" t="s">
        <v>22</v>
      </c>
      <c r="I654" s="12">
        <f>car_price_prediction_[[#This Row],[Mileage]]/1000</f>
        <v>286.17200000000003</v>
      </c>
      <c r="J654" s="5">
        <v>286172</v>
      </c>
      <c r="K654" s="1" t="s">
        <v>13</v>
      </c>
      <c r="L654" s="5">
        <f>car_price_prediction_[[#This Row],[Price]]/100</f>
        <v>7681.31</v>
      </c>
      <c r="M654">
        <v>768131</v>
      </c>
      <c r="N654" s="1" t="s">
        <v>35</v>
      </c>
      <c r="O654" s="1">
        <f>IF(IFERROR(VLOOKUP(car_price_prediction_[[#This Row],[Car ID]],A655:A3154,1,FALSE),0),1,0)</f>
        <v>0</v>
      </c>
    </row>
    <row r="655" spans="1:15" x14ac:dyDescent="0.25">
      <c r="A655">
        <v>654</v>
      </c>
      <c r="B655" s="1" t="s">
        <v>30</v>
      </c>
      <c r="C655" s="1">
        <f>car_price_prediction_[[#This Row],[Year2]]</f>
        <v>2020</v>
      </c>
      <c r="D655">
        <v>2020</v>
      </c>
      <c r="E655">
        <f>car_price_prediction_[[#This Row],[Engine Size]]/10</f>
        <v>5.2</v>
      </c>
      <c r="F655">
        <v>52</v>
      </c>
      <c r="G655" s="1" t="s">
        <v>21</v>
      </c>
      <c r="H655" s="1" t="s">
        <v>12</v>
      </c>
      <c r="I655" s="12">
        <f>car_price_prediction_[[#This Row],[Mileage]]/1000</f>
        <v>39.328000000000003</v>
      </c>
      <c r="J655" s="5">
        <v>39328</v>
      </c>
      <c r="K655" s="1" t="s">
        <v>13</v>
      </c>
      <c r="L655" s="5">
        <f>car_price_prediction_[[#This Row],[Price]]/100</f>
        <v>41337.660000000003</v>
      </c>
      <c r="M655">
        <v>4133766</v>
      </c>
      <c r="N655" s="1" t="s">
        <v>42</v>
      </c>
      <c r="O655" s="1">
        <f>IF(IFERROR(VLOOKUP(car_price_prediction_[[#This Row],[Car ID]],A656:A3155,1,FALSE),0),1,0)</f>
        <v>0</v>
      </c>
    </row>
    <row r="656" spans="1:15" x14ac:dyDescent="0.25">
      <c r="A656">
        <v>655</v>
      </c>
      <c r="B656" s="1" t="s">
        <v>19</v>
      </c>
      <c r="C656" s="1">
        <f>car_price_prediction_[[#This Row],[Year2]]</f>
        <v>2011</v>
      </c>
      <c r="D656">
        <v>2011</v>
      </c>
      <c r="E656">
        <f>car_price_prediction_[[#This Row],[Engine Size]]/10</f>
        <v>5.7</v>
      </c>
      <c r="F656">
        <v>57</v>
      </c>
      <c r="G656" s="1" t="s">
        <v>11</v>
      </c>
      <c r="H656" s="1" t="s">
        <v>12</v>
      </c>
      <c r="I656" s="12">
        <f>car_price_prediction_[[#This Row],[Mileage]]/1000</f>
        <v>289.44499999999999</v>
      </c>
      <c r="J656" s="5">
        <v>289445</v>
      </c>
      <c r="K656" s="1" t="s">
        <v>25</v>
      </c>
      <c r="L656" s="5">
        <f>car_price_prediction_[[#This Row],[Price]]/100</f>
        <v>44060.29</v>
      </c>
      <c r="M656">
        <v>4406029</v>
      </c>
      <c r="N656" s="1" t="s">
        <v>28</v>
      </c>
      <c r="O656" s="1">
        <f>IF(IFERROR(VLOOKUP(car_price_prediction_[[#This Row],[Car ID]],A657:A3156,1,FALSE),0),1,0)</f>
        <v>0</v>
      </c>
    </row>
    <row r="657" spans="1:15" x14ac:dyDescent="0.25">
      <c r="A657">
        <v>656</v>
      </c>
      <c r="B657" s="1" t="s">
        <v>30</v>
      </c>
      <c r="C657" s="1">
        <f>car_price_prediction_[[#This Row],[Year2]]</f>
        <v>2018</v>
      </c>
      <c r="D657">
        <v>2018</v>
      </c>
      <c r="E657">
        <f>car_price_prediction_[[#This Row],[Engine Size]]/10</f>
        <v>1.9</v>
      </c>
      <c r="F657">
        <v>19</v>
      </c>
      <c r="G657" s="1" t="s">
        <v>21</v>
      </c>
      <c r="H657" s="1" t="s">
        <v>12</v>
      </c>
      <c r="I657" s="12">
        <f>car_price_prediction_[[#This Row],[Mileage]]/1000</f>
        <v>218.34800000000001</v>
      </c>
      <c r="J657" s="5">
        <v>218348</v>
      </c>
      <c r="K657" s="1" t="s">
        <v>25</v>
      </c>
      <c r="L657" s="5">
        <f>car_price_prediction_[[#This Row],[Price]]/100</f>
        <v>68907.69</v>
      </c>
      <c r="M657">
        <v>6890769</v>
      </c>
      <c r="N657" s="1" t="s">
        <v>45</v>
      </c>
      <c r="O657" s="1">
        <f>IF(IFERROR(VLOOKUP(car_price_prediction_[[#This Row],[Car ID]],A658:A3157,1,FALSE),0),1,0)</f>
        <v>0</v>
      </c>
    </row>
    <row r="658" spans="1:15" x14ac:dyDescent="0.25">
      <c r="A658">
        <v>657</v>
      </c>
      <c r="B658" s="1" t="s">
        <v>19</v>
      </c>
      <c r="C658" s="1">
        <f>car_price_prediction_[[#This Row],[Year2]]</f>
        <v>2013</v>
      </c>
      <c r="D658">
        <v>2013</v>
      </c>
      <c r="E658">
        <f>car_price_prediction_[[#This Row],[Engine Size]]/10</f>
        <v>2.9</v>
      </c>
      <c r="F658">
        <v>29</v>
      </c>
      <c r="G658" s="1" t="s">
        <v>21</v>
      </c>
      <c r="H658" s="1" t="s">
        <v>22</v>
      </c>
      <c r="I658" s="12">
        <f>car_price_prediction_[[#This Row],[Mileage]]/1000</f>
        <v>36.844999999999999</v>
      </c>
      <c r="J658" s="5">
        <v>36845</v>
      </c>
      <c r="K658" s="1" t="s">
        <v>25</v>
      </c>
      <c r="L658" s="5">
        <f>car_price_prediction_[[#This Row],[Price]]/100</f>
        <v>79507.149999999994</v>
      </c>
      <c r="M658">
        <v>7950715</v>
      </c>
      <c r="N658" s="1" t="s">
        <v>38</v>
      </c>
      <c r="O658" s="1">
        <f>IF(IFERROR(VLOOKUP(car_price_prediction_[[#This Row],[Car ID]],A659:A3158,1,FALSE),0),1,0)</f>
        <v>0</v>
      </c>
    </row>
    <row r="659" spans="1:15" x14ac:dyDescent="0.25">
      <c r="A659">
        <v>658</v>
      </c>
      <c r="B659" s="1" t="s">
        <v>24</v>
      </c>
      <c r="C659" s="1">
        <f>car_price_prediction_[[#This Row],[Year2]]</f>
        <v>2016</v>
      </c>
      <c r="D659">
        <v>2016</v>
      </c>
      <c r="E659">
        <f>car_price_prediction_[[#This Row],[Engine Size]]/10</f>
        <v>5.6</v>
      </c>
      <c r="F659">
        <v>56</v>
      </c>
      <c r="G659" s="1" t="s">
        <v>21</v>
      </c>
      <c r="H659" s="1" t="s">
        <v>22</v>
      </c>
      <c r="I659" s="12">
        <f>car_price_prediction_[[#This Row],[Mileage]]/1000</f>
        <v>76.394000000000005</v>
      </c>
      <c r="J659" s="5">
        <v>76394</v>
      </c>
      <c r="K659" s="1" t="s">
        <v>25</v>
      </c>
      <c r="L659" s="5">
        <f>car_price_prediction_[[#This Row],[Price]]/100</f>
        <v>68352.33</v>
      </c>
      <c r="M659">
        <v>6835233</v>
      </c>
      <c r="N659" s="1" t="s">
        <v>32</v>
      </c>
      <c r="O659" s="1">
        <f>IF(IFERROR(VLOOKUP(car_price_prediction_[[#This Row],[Car ID]],A660:A3159,1,FALSE),0),1,0)</f>
        <v>0</v>
      </c>
    </row>
    <row r="660" spans="1:15" x14ac:dyDescent="0.25">
      <c r="A660">
        <v>659</v>
      </c>
      <c r="B660" s="1" t="s">
        <v>19</v>
      </c>
      <c r="C660" s="1">
        <f>car_price_prediction_[[#This Row],[Year2]]</f>
        <v>2023</v>
      </c>
      <c r="D660">
        <v>2023</v>
      </c>
      <c r="E660">
        <f>car_price_prediction_[[#This Row],[Engine Size]]/10</f>
        <v>1.3</v>
      </c>
      <c r="F660">
        <v>13</v>
      </c>
      <c r="G660" s="1" t="s">
        <v>21</v>
      </c>
      <c r="H660" s="1" t="s">
        <v>22</v>
      </c>
      <c r="I660" s="12">
        <f>car_price_prediction_[[#This Row],[Mileage]]/1000</f>
        <v>175.23099999999999</v>
      </c>
      <c r="J660" s="5">
        <v>175231</v>
      </c>
      <c r="K660" s="1" t="s">
        <v>25</v>
      </c>
      <c r="L660" s="5">
        <f>car_price_prediction_[[#This Row],[Price]]/100</f>
        <v>90488.55</v>
      </c>
      <c r="M660">
        <v>9048855</v>
      </c>
      <c r="N660" s="1" t="s">
        <v>27</v>
      </c>
      <c r="O660" s="1">
        <f>IF(IFERROR(VLOOKUP(car_price_prediction_[[#This Row],[Car ID]],A661:A3160,1,FALSE),0),1,0)</f>
        <v>0</v>
      </c>
    </row>
    <row r="661" spans="1:15" x14ac:dyDescent="0.25">
      <c r="A661">
        <v>660</v>
      </c>
      <c r="B661" s="1" t="s">
        <v>15</v>
      </c>
      <c r="C661" s="1">
        <f>car_price_prediction_[[#This Row],[Year2]]</f>
        <v>2020</v>
      </c>
      <c r="D661">
        <v>2020</v>
      </c>
      <c r="E661">
        <f>car_price_prediction_[[#This Row],[Engine Size]]/10</f>
        <v>1.5</v>
      </c>
      <c r="F661">
        <v>15</v>
      </c>
      <c r="G661" s="1" t="s">
        <v>21</v>
      </c>
      <c r="H661" s="1" t="s">
        <v>22</v>
      </c>
      <c r="I661" s="12">
        <f>car_price_prediction_[[#This Row],[Mileage]]/1000</f>
        <v>80.721999999999994</v>
      </c>
      <c r="J661" s="5">
        <v>80722</v>
      </c>
      <c r="K661" s="1" t="s">
        <v>25</v>
      </c>
      <c r="L661" s="5">
        <f>car_price_prediction_[[#This Row],[Price]]/100</f>
        <v>32090.11</v>
      </c>
      <c r="M661">
        <v>3209011</v>
      </c>
      <c r="N661" s="1" t="s">
        <v>51</v>
      </c>
      <c r="O661" s="1">
        <f>IF(IFERROR(VLOOKUP(car_price_prediction_[[#This Row],[Car ID]],A662:A3161,1,FALSE),0),1,0)</f>
        <v>0</v>
      </c>
    </row>
    <row r="662" spans="1:15" x14ac:dyDescent="0.25">
      <c r="A662">
        <v>661</v>
      </c>
      <c r="B662" s="1" t="s">
        <v>43</v>
      </c>
      <c r="C662" s="1">
        <f>car_price_prediction_[[#This Row],[Year2]]</f>
        <v>2002</v>
      </c>
      <c r="D662">
        <v>2002</v>
      </c>
      <c r="E662">
        <f>car_price_prediction_[[#This Row],[Engine Size]]/10</f>
        <v>1.8</v>
      </c>
      <c r="F662">
        <v>18</v>
      </c>
      <c r="G662" s="1" t="s">
        <v>21</v>
      </c>
      <c r="H662" s="1" t="s">
        <v>12</v>
      </c>
      <c r="I662" s="12">
        <f>car_price_prediction_[[#This Row],[Mileage]]/1000</f>
        <v>287.37400000000002</v>
      </c>
      <c r="J662" s="5">
        <v>287374</v>
      </c>
      <c r="K662" s="1" t="s">
        <v>25</v>
      </c>
      <c r="L662" s="5">
        <f>car_price_prediction_[[#This Row],[Price]]/100</f>
        <v>90558.59</v>
      </c>
      <c r="M662">
        <v>9055859</v>
      </c>
      <c r="N662" s="1" t="s">
        <v>47</v>
      </c>
      <c r="O662" s="1">
        <f>IF(IFERROR(VLOOKUP(car_price_prediction_[[#This Row],[Car ID]],A663:A3162,1,FALSE),0),1,0)</f>
        <v>0</v>
      </c>
    </row>
    <row r="663" spans="1:15" x14ac:dyDescent="0.25">
      <c r="A663">
        <v>662</v>
      </c>
      <c r="B663" s="1" t="s">
        <v>19</v>
      </c>
      <c r="C663" s="1">
        <f>car_price_prediction_[[#This Row],[Year2]]</f>
        <v>2022</v>
      </c>
      <c r="D663">
        <v>2022</v>
      </c>
      <c r="E663">
        <f>car_price_prediction_[[#This Row],[Engine Size]]/10</f>
        <v>4</v>
      </c>
      <c r="F663">
        <v>40</v>
      </c>
      <c r="G663" s="1" t="s">
        <v>21</v>
      </c>
      <c r="H663" s="1" t="s">
        <v>12</v>
      </c>
      <c r="I663" s="12">
        <f>car_price_prediction_[[#This Row],[Mileage]]/1000</f>
        <v>92.554000000000002</v>
      </c>
      <c r="J663" s="5">
        <v>92554</v>
      </c>
      <c r="K663" s="1" t="s">
        <v>17</v>
      </c>
      <c r="L663" s="5">
        <f>car_price_prediction_[[#This Row],[Price]]/100</f>
        <v>17432.03</v>
      </c>
      <c r="M663">
        <v>1743203</v>
      </c>
      <c r="N663" s="1" t="s">
        <v>20</v>
      </c>
      <c r="O663" s="1">
        <f>IF(IFERROR(VLOOKUP(car_price_prediction_[[#This Row],[Car ID]],A664:A3163,1,FALSE),0),1,0)</f>
        <v>0</v>
      </c>
    </row>
    <row r="664" spans="1:15" x14ac:dyDescent="0.25">
      <c r="A664">
        <v>663</v>
      </c>
      <c r="B664" s="1" t="s">
        <v>19</v>
      </c>
      <c r="C664" s="1">
        <f>car_price_prediction_[[#This Row],[Year2]]</f>
        <v>2006</v>
      </c>
      <c r="D664">
        <v>2006</v>
      </c>
      <c r="E664">
        <f>car_price_prediction_[[#This Row],[Engine Size]]/10</f>
        <v>1.8</v>
      </c>
      <c r="F664">
        <v>18</v>
      </c>
      <c r="G664" s="1" t="s">
        <v>16</v>
      </c>
      <c r="H664" s="1" t="s">
        <v>12</v>
      </c>
      <c r="I664" s="12">
        <f>car_price_prediction_[[#This Row],[Mileage]]/1000</f>
        <v>49.262</v>
      </c>
      <c r="J664" s="5">
        <v>49262</v>
      </c>
      <c r="K664" s="1" t="s">
        <v>13</v>
      </c>
      <c r="L664" s="5">
        <f>car_price_prediction_[[#This Row],[Price]]/100</f>
        <v>67655.38</v>
      </c>
      <c r="M664">
        <v>6765538</v>
      </c>
      <c r="N664" s="1" t="s">
        <v>20</v>
      </c>
      <c r="O664" s="1">
        <f>IF(IFERROR(VLOOKUP(car_price_prediction_[[#This Row],[Car ID]],A665:A3164,1,FALSE),0),1,0)</f>
        <v>0</v>
      </c>
    </row>
    <row r="665" spans="1:15" x14ac:dyDescent="0.25">
      <c r="A665">
        <v>664</v>
      </c>
      <c r="B665" s="1" t="s">
        <v>43</v>
      </c>
      <c r="C665" s="1">
        <f>car_price_prediction_[[#This Row],[Year2]]</f>
        <v>2016</v>
      </c>
      <c r="D665">
        <v>2016</v>
      </c>
      <c r="E665">
        <f>car_price_prediction_[[#This Row],[Engine Size]]/10</f>
        <v>5.8</v>
      </c>
      <c r="F665">
        <v>58</v>
      </c>
      <c r="G665" s="1" t="s">
        <v>29</v>
      </c>
      <c r="H665" s="1" t="s">
        <v>22</v>
      </c>
      <c r="I665" s="12">
        <f>car_price_prediction_[[#This Row],[Mileage]]/1000</f>
        <v>41.722000000000001</v>
      </c>
      <c r="J665" s="5">
        <v>41722</v>
      </c>
      <c r="K665" s="1" t="s">
        <v>13</v>
      </c>
      <c r="L665" s="5">
        <f>car_price_prediction_[[#This Row],[Price]]/100</f>
        <v>57024.91</v>
      </c>
      <c r="M665">
        <v>5702491</v>
      </c>
      <c r="N665" s="1" t="s">
        <v>47</v>
      </c>
      <c r="O665" s="1">
        <f>IF(IFERROR(VLOOKUP(car_price_prediction_[[#This Row],[Car ID]],A666:A3165,1,FALSE),0),1,0)</f>
        <v>0</v>
      </c>
    </row>
    <row r="666" spans="1:15" x14ac:dyDescent="0.25">
      <c r="A666">
        <v>665</v>
      </c>
      <c r="B666" s="1" t="s">
        <v>15</v>
      </c>
      <c r="C666" s="1">
        <f>car_price_prediction_[[#This Row],[Year2]]</f>
        <v>2011</v>
      </c>
      <c r="D666">
        <v>2011</v>
      </c>
      <c r="E666">
        <f>car_price_prediction_[[#This Row],[Engine Size]]/10</f>
        <v>3.2</v>
      </c>
      <c r="F666">
        <v>32</v>
      </c>
      <c r="G666" s="1" t="s">
        <v>16</v>
      </c>
      <c r="H666" s="1" t="s">
        <v>22</v>
      </c>
      <c r="I666" s="12">
        <f>car_price_prediction_[[#This Row],[Mileage]]/1000</f>
        <v>171.23099999999999</v>
      </c>
      <c r="J666" s="5">
        <v>171231</v>
      </c>
      <c r="K666" s="1" t="s">
        <v>25</v>
      </c>
      <c r="L666" s="5">
        <f>car_price_prediction_[[#This Row],[Price]]/100</f>
        <v>51990.41</v>
      </c>
      <c r="M666">
        <v>5199041</v>
      </c>
      <c r="N666" s="1" t="s">
        <v>39</v>
      </c>
      <c r="O666" s="1">
        <f>IF(IFERROR(VLOOKUP(car_price_prediction_[[#This Row],[Car ID]],A667:A3166,1,FALSE),0),1,0)</f>
        <v>0</v>
      </c>
    </row>
    <row r="667" spans="1:15" x14ac:dyDescent="0.25">
      <c r="A667">
        <v>666</v>
      </c>
      <c r="B667" s="1" t="s">
        <v>30</v>
      </c>
      <c r="C667" s="1">
        <f>car_price_prediction_[[#This Row],[Year2]]</f>
        <v>2008</v>
      </c>
      <c r="D667">
        <v>2008</v>
      </c>
      <c r="E667">
        <f>car_price_prediction_[[#This Row],[Engine Size]]/10</f>
        <v>3.5</v>
      </c>
      <c r="F667">
        <v>35</v>
      </c>
      <c r="G667" s="1" t="s">
        <v>21</v>
      </c>
      <c r="H667" s="1" t="s">
        <v>12</v>
      </c>
      <c r="I667" s="12">
        <f>car_price_prediction_[[#This Row],[Mileage]]/1000</f>
        <v>240.74</v>
      </c>
      <c r="J667" s="5">
        <v>240740</v>
      </c>
      <c r="K667" s="1" t="s">
        <v>13</v>
      </c>
      <c r="L667" s="5">
        <f>car_price_prediction_[[#This Row],[Price]]/100</f>
        <v>34536.639999999999</v>
      </c>
      <c r="M667">
        <v>3453664</v>
      </c>
      <c r="N667" s="1" t="s">
        <v>31</v>
      </c>
      <c r="O667" s="1">
        <f>IF(IFERROR(VLOOKUP(car_price_prediction_[[#This Row],[Car ID]],A668:A3167,1,FALSE),0),1,0)</f>
        <v>0</v>
      </c>
    </row>
    <row r="668" spans="1:15" x14ac:dyDescent="0.25">
      <c r="A668">
        <v>667</v>
      </c>
      <c r="B668" s="1" t="s">
        <v>19</v>
      </c>
      <c r="C668" s="1">
        <f>car_price_prediction_[[#This Row],[Year2]]</f>
        <v>2014</v>
      </c>
      <c r="D668">
        <v>2014</v>
      </c>
      <c r="E668">
        <f>car_price_prediction_[[#This Row],[Engine Size]]/10</f>
        <v>2.2000000000000002</v>
      </c>
      <c r="F668">
        <v>22</v>
      </c>
      <c r="G668" s="1" t="s">
        <v>21</v>
      </c>
      <c r="H668" s="1" t="s">
        <v>12</v>
      </c>
      <c r="I668" s="12">
        <f>car_price_prediction_[[#This Row],[Mileage]]/1000</f>
        <v>87.052000000000007</v>
      </c>
      <c r="J668" s="5">
        <v>87052</v>
      </c>
      <c r="K668" s="1" t="s">
        <v>25</v>
      </c>
      <c r="L668" s="5">
        <f>car_price_prediction_[[#This Row],[Price]]/100</f>
        <v>52854.61</v>
      </c>
      <c r="M668">
        <v>5285461</v>
      </c>
      <c r="N668" s="1" t="s">
        <v>38</v>
      </c>
      <c r="O668" s="1">
        <f>IF(IFERROR(VLOOKUP(car_price_prediction_[[#This Row],[Car ID]],A669:A3168,1,FALSE),0),1,0)</f>
        <v>0</v>
      </c>
    </row>
    <row r="669" spans="1:15" x14ac:dyDescent="0.25">
      <c r="A669">
        <v>668</v>
      </c>
      <c r="B669" s="1" t="s">
        <v>43</v>
      </c>
      <c r="C669" s="1">
        <f>car_price_prediction_[[#This Row],[Year2]]</f>
        <v>2017</v>
      </c>
      <c r="D669">
        <v>2017</v>
      </c>
      <c r="E669">
        <f>car_price_prediction_[[#This Row],[Engine Size]]/10</f>
        <v>3.4</v>
      </c>
      <c r="F669">
        <v>34</v>
      </c>
      <c r="G669" s="1" t="s">
        <v>16</v>
      </c>
      <c r="H669" s="1" t="s">
        <v>22</v>
      </c>
      <c r="I669" s="12">
        <f>car_price_prediction_[[#This Row],[Mileage]]/1000</f>
        <v>100.80800000000001</v>
      </c>
      <c r="J669" s="5">
        <v>100808</v>
      </c>
      <c r="K669" s="1" t="s">
        <v>17</v>
      </c>
      <c r="L669" s="5">
        <f>car_price_prediction_[[#This Row],[Price]]/100</f>
        <v>20368.47</v>
      </c>
      <c r="M669">
        <v>2036847</v>
      </c>
      <c r="N669" s="1" t="s">
        <v>44</v>
      </c>
      <c r="O669" s="1">
        <f>IF(IFERROR(VLOOKUP(car_price_prediction_[[#This Row],[Car ID]],A670:A3169,1,FALSE),0),1,0)</f>
        <v>0</v>
      </c>
    </row>
    <row r="670" spans="1:15" x14ac:dyDescent="0.25">
      <c r="A670">
        <v>669</v>
      </c>
      <c r="B670" s="1" t="s">
        <v>24</v>
      </c>
      <c r="C670" s="1">
        <f>car_price_prediction_[[#This Row],[Year2]]</f>
        <v>2020</v>
      </c>
      <c r="D670">
        <v>2020</v>
      </c>
      <c r="E670">
        <f>car_price_prediction_[[#This Row],[Engine Size]]/10</f>
        <v>4.3</v>
      </c>
      <c r="F670">
        <v>43</v>
      </c>
      <c r="G670" s="1" t="s">
        <v>16</v>
      </c>
      <c r="H670" s="1" t="s">
        <v>12</v>
      </c>
      <c r="I670" s="12">
        <f>car_price_prediction_[[#This Row],[Mileage]]/1000</f>
        <v>255.416</v>
      </c>
      <c r="J670" s="5">
        <v>255416</v>
      </c>
      <c r="K670" s="1" t="s">
        <v>13</v>
      </c>
      <c r="L670" s="5">
        <f>car_price_prediction_[[#This Row],[Price]]/100</f>
        <v>40085.49</v>
      </c>
      <c r="M670">
        <v>4008549</v>
      </c>
      <c r="N670" s="1" t="s">
        <v>32</v>
      </c>
      <c r="O670" s="1">
        <f>IF(IFERROR(VLOOKUP(car_price_prediction_[[#This Row],[Car ID]],A671:A3170,1,FALSE),0),1,0)</f>
        <v>0</v>
      </c>
    </row>
    <row r="671" spans="1:15" x14ac:dyDescent="0.25">
      <c r="A671">
        <v>670</v>
      </c>
      <c r="B671" s="1" t="s">
        <v>43</v>
      </c>
      <c r="C671" s="1">
        <f>car_price_prediction_[[#This Row],[Year2]]</f>
        <v>2012</v>
      </c>
      <c r="D671">
        <v>2012</v>
      </c>
      <c r="E671">
        <f>car_price_prediction_[[#This Row],[Engine Size]]/10</f>
        <v>4.8</v>
      </c>
      <c r="F671">
        <v>48</v>
      </c>
      <c r="G671" s="1" t="s">
        <v>29</v>
      </c>
      <c r="H671" s="1" t="s">
        <v>12</v>
      </c>
      <c r="I671" s="12">
        <f>car_price_prediction_[[#This Row],[Mileage]]/1000</f>
        <v>262.12799999999999</v>
      </c>
      <c r="J671" s="5">
        <v>262128</v>
      </c>
      <c r="K671" s="1" t="s">
        <v>13</v>
      </c>
      <c r="L671" s="5">
        <f>car_price_prediction_[[#This Row],[Price]]/100</f>
        <v>14374.69</v>
      </c>
      <c r="M671">
        <v>1437469</v>
      </c>
      <c r="N671" s="1" t="s">
        <v>44</v>
      </c>
      <c r="O671" s="1">
        <f>IF(IFERROR(VLOOKUP(car_price_prediction_[[#This Row],[Car ID]],A672:A3171,1,FALSE),0),1,0)</f>
        <v>0</v>
      </c>
    </row>
    <row r="672" spans="1:15" x14ac:dyDescent="0.25">
      <c r="A672">
        <v>671</v>
      </c>
      <c r="B672" s="1" t="s">
        <v>24</v>
      </c>
      <c r="C672" s="1">
        <f>car_price_prediction_[[#This Row],[Year2]]</f>
        <v>2020</v>
      </c>
      <c r="D672">
        <v>2020</v>
      </c>
      <c r="E672">
        <f>car_price_prediction_[[#This Row],[Engine Size]]/10</f>
        <v>4.8</v>
      </c>
      <c r="F672">
        <v>48</v>
      </c>
      <c r="G672" s="1" t="s">
        <v>16</v>
      </c>
      <c r="H672" s="1" t="s">
        <v>22</v>
      </c>
      <c r="I672" s="12">
        <f>car_price_prediction_[[#This Row],[Mileage]]/1000</f>
        <v>221.28100000000001</v>
      </c>
      <c r="J672" s="5">
        <v>221281</v>
      </c>
      <c r="K672" s="1" t="s">
        <v>17</v>
      </c>
      <c r="L672" s="5">
        <f>car_price_prediction_[[#This Row],[Price]]/100</f>
        <v>59325.43</v>
      </c>
      <c r="M672">
        <v>5932543</v>
      </c>
      <c r="N672" s="1" t="s">
        <v>53</v>
      </c>
      <c r="O672" s="1">
        <f>IF(IFERROR(VLOOKUP(car_price_prediction_[[#This Row],[Car ID]],A673:A3172,1,FALSE),0),1,0)</f>
        <v>0</v>
      </c>
    </row>
    <row r="673" spans="1:15" x14ac:dyDescent="0.25">
      <c r="A673">
        <v>672</v>
      </c>
      <c r="B673" s="1" t="s">
        <v>15</v>
      </c>
      <c r="C673" s="1">
        <f>car_price_prediction_[[#This Row],[Year2]]</f>
        <v>2007</v>
      </c>
      <c r="D673">
        <v>2007</v>
      </c>
      <c r="E673">
        <f>car_price_prediction_[[#This Row],[Engine Size]]/10</f>
        <v>3.9</v>
      </c>
      <c r="F673">
        <v>39</v>
      </c>
      <c r="G673" s="1" t="s">
        <v>29</v>
      </c>
      <c r="H673" s="1" t="s">
        <v>22</v>
      </c>
      <c r="I673" s="12">
        <f>car_price_prediction_[[#This Row],[Mileage]]/1000</f>
        <v>246.05199999999999</v>
      </c>
      <c r="J673" s="5">
        <v>246052</v>
      </c>
      <c r="K673" s="1" t="s">
        <v>17</v>
      </c>
      <c r="L673" s="5">
        <f>car_price_prediction_[[#This Row],[Price]]/100</f>
        <v>14097.95</v>
      </c>
      <c r="M673">
        <v>1409795</v>
      </c>
      <c r="N673" s="1" t="s">
        <v>39</v>
      </c>
      <c r="O673" s="1">
        <f>IF(IFERROR(VLOOKUP(car_price_prediction_[[#This Row],[Car ID]],A674:A3173,1,FALSE),0),1,0)</f>
        <v>0</v>
      </c>
    </row>
    <row r="674" spans="1:15" x14ac:dyDescent="0.25">
      <c r="A674">
        <v>673</v>
      </c>
      <c r="B674" s="1" t="s">
        <v>30</v>
      </c>
      <c r="C674" s="1">
        <f>car_price_prediction_[[#This Row],[Year2]]</f>
        <v>2013</v>
      </c>
      <c r="D674">
        <v>2013</v>
      </c>
      <c r="E674">
        <f>car_price_prediction_[[#This Row],[Engine Size]]/10</f>
        <v>5.5</v>
      </c>
      <c r="F674">
        <v>55</v>
      </c>
      <c r="G674" s="1" t="s">
        <v>21</v>
      </c>
      <c r="H674" s="1" t="s">
        <v>22</v>
      </c>
      <c r="I674" s="12">
        <f>car_price_prediction_[[#This Row],[Mileage]]/1000</f>
        <v>104.697</v>
      </c>
      <c r="J674" s="5">
        <v>104697</v>
      </c>
      <c r="K674" s="1" t="s">
        <v>17</v>
      </c>
      <c r="L674" s="5">
        <f>car_price_prediction_[[#This Row],[Price]]/100</f>
        <v>20232.740000000002</v>
      </c>
      <c r="M674">
        <v>2023274</v>
      </c>
      <c r="N674" s="1" t="s">
        <v>48</v>
      </c>
      <c r="O674" s="1">
        <f>IF(IFERROR(VLOOKUP(car_price_prediction_[[#This Row],[Car ID]],A675:A3174,1,FALSE),0),1,0)</f>
        <v>0</v>
      </c>
    </row>
    <row r="675" spans="1:15" x14ac:dyDescent="0.25">
      <c r="A675">
        <v>674</v>
      </c>
      <c r="B675" s="1" t="s">
        <v>43</v>
      </c>
      <c r="C675" s="1">
        <f>car_price_prediction_[[#This Row],[Year2]]</f>
        <v>2007</v>
      </c>
      <c r="D675">
        <v>2007</v>
      </c>
      <c r="E675">
        <f>car_price_prediction_[[#This Row],[Engine Size]]/10</f>
        <v>5.0999999999999996</v>
      </c>
      <c r="F675">
        <v>51</v>
      </c>
      <c r="G675" s="1" t="s">
        <v>11</v>
      </c>
      <c r="H675" s="1" t="s">
        <v>12</v>
      </c>
      <c r="I675" s="12">
        <f>car_price_prediction_[[#This Row],[Mileage]]/1000</f>
        <v>231.572</v>
      </c>
      <c r="J675" s="5">
        <v>231572</v>
      </c>
      <c r="K675" s="1" t="s">
        <v>13</v>
      </c>
      <c r="L675" s="5">
        <f>car_price_prediction_[[#This Row],[Price]]/100</f>
        <v>13119.35</v>
      </c>
      <c r="M675">
        <v>1311935</v>
      </c>
      <c r="N675" s="1" t="s">
        <v>52</v>
      </c>
      <c r="O675" s="1">
        <f>IF(IFERROR(VLOOKUP(car_price_prediction_[[#This Row],[Car ID]],A676:A3175,1,FALSE),0),1,0)</f>
        <v>0</v>
      </c>
    </row>
    <row r="676" spans="1:15" x14ac:dyDescent="0.25">
      <c r="A676">
        <v>675</v>
      </c>
      <c r="B676" s="1" t="s">
        <v>10</v>
      </c>
      <c r="C676" s="1">
        <f>car_price_prediction_[[#This Row],[Year2]]</f>
        <v>2013</v>
      </c>
      <c r="D676">
        <v>2013</v>
      </c>
      <c r="E676">
        <f>car_price_prediction_[[#This Row],[Engine Size]]/10</f>
        <v>4.8</v>
      </c>
      <c r="F676">
        <v>48</v>
      </c>
      <c r="G676" s="1" t="s">
        <v>11</v>
      </c>
      <c r="H676" s="1" t="s">
        <v>22</v>
      </c>
      <c r="I676" s="12">
        <f>car_price_prediction_[[#This Row],[Mileage]]/1000</f>
        <v>232.84200000000001</v>
      </c>
      <c r="J676" s="5">
        <v>232842</v>
      </c>
      <c r="K676" s="1" t="s">
        <v>13</v>
      </c>
      <c r="L676" s="5">
        <f>car_price_prediction_[[#This Row],[Price]]/100</f>
        <v>41224.51</v>
      </c>
      <c r="M676">
        <v>4122451</v>
      </c>
      <c r="N676" s="1" t="s">
        <v>14</v>
      </c>
      <c r="O676" s="1">
        <f>IF(IFERROR(VLOOKUP(car_price_prediction_[[#This Row],[Car ID]],A677:A3176,1,FALSE),0),1,0)</f>
        <v>0</v>
      </c>
    </row>
    <row r="677" spans="1:15" x14ac:dyDescent="0.25">
      <c r="A677">
        <v>676</v>
      </c>
      <c r="B677" s="1" t="s">
        <v>10</v>
      </c>
      <c r="C677" s="1">
        <f>car_price_prediction_[[#This Row],[Year2]]</f>
        <v>2006</v>
      </c>
      <c r="D677">
        <v>2006</v>
      </c>
      <c r="E677">
        <f>car_price_prediction_[[#This Row],[Engine Size]]/10</f>
        <v>1.3</v>
      </c>
      <c r="F677">
        <v>13</v>
      </c>
      <c r="G677" s="1" t="s">
        <v>11</v>
      </c>
      <c r="H677" s="1" t="s">
        <v>12</v>
      </c>
      <c r="I677" s="12">
        <f>car_price_prediction_[[#This Row],[Mileage]]/1000</f>
        <v>96.299000000000007</v>
      </c>
      <c r="J677" s="5">
        <v>96299</v>
      </c>
      <c r="K677" s="1" t="s">
        <v>17</v>
      </c>
      <c r="L677" s="5">
        <f>car_price_prediction_[[#This Row],[Price]]/100</f>
        <v>84986.05</v>
      </c>
      <c r="M677">
        <v>8498605</v>
      </c>
      <c r="N677" s="1" t="s">
        <v>23</v>
      </c>
      <c r="O677" s="1">
        <f>IF(IFERROR(VLOOKUP(car_price_prediction_[[#This Row],[Car ID]],A678:A3177,1,FALSE),0),1,0)</f>
        <v>0</v>
      </c>
    </row>
    <row r="678" spans="1:15" x14ac:dyDescent="0.25">
      <c r="A678">
        <v>677</v>
      </c>
      <c r="B678" s="1" t="s">
        <v>36</v>
      </c>
      <c r="C678" s="1">
        <f>car_price_prediction_[[#This Row],[Year2]]</f>
        <v>2022</v>
      </c>
      <c r="D678">
        <v>2022</v>
      </c>
      <c r="E678">
        <f>car_price_prediction_[[#This Row],[Engine Size]]/10</f>
        <v>1</v>
      </c>
      <c r="F678">
        <v>10</v>
      </c>
      <c r="G678" s="1" t="s">
        <v>11</v>
      </c>
      <c r="H678" s="1" t="s">
        <v>12</v>
      </c>
      <c r="I678" s="12">
        <f>car_price_prediction_[[#This Row],[Mileage]]/1000</f>
        <v>165.74600000000001</v>
      </c>
      <c r="J678" s="5">
        <v>165746</v>
      </c>
      <c r="K678" s="1" t="s">
        <v>17</v>
      </c>
      <c r="L678" s="5">
        <f>car_price_prediction_[[#This Row],[Price]]/100</f>
        <v>91155.16</v>
      </c>
      <c r="M678">
        <v>9115516</v>
      </c>
      <c r="N678" s="1" t="s">
        <v>46</v>
      </c>
      <c r="O678" s="1">
        <f>IF(IFERROR(VLOOKUP(car_price_prediction_[[#This Row],[Car ID]],A679:A3178,1,FALSE),0),1,0)</f>
        <v>0</v>
      </c>
    </row>
    <row r="679" spans="1:15" x14ac:dyDescent="0.25">
      <c r="A679">
        <v>678</v>
      </c>
      <c r="B679" s="1" t="s">
        <v>19</v>
      </c>
      <c r="C679" s="1">
        <f>car_price_prediction_[[#This Row],[Year2]]</f>
        <v>2011</v>
      </c>
      <c r="D679">
        <v>2011</v>
      </c>
      <c r="E679">
        <f>car_price_prediction_[[#This Row],[Engine Size]]/10</f>
        <v>2.1</v>
      </c>
      <c r="F679">
        <v>21</v>
      </c>
      <c r="G679" s="1" t="s">
        <v>21</v>
      </c>
      <c r="H679" s="1" t="s">
        <v>22</v>
      </c>
      <c r="I679" s="12">
        <f>car_price_prediction_[[#This Row],[Mileage]]/1000</f>
        <v>149.17699999999999</v>
      </c>
      <c r="J679" s="5">
        <v>149177</v>
      </c>
      <c r="K679" s="1" t="s">
        <v>17</v>
      </c>
      <c r="L679" s="5">
        <f>car_price_prediction_[[#This Row],[Price]]/100</f>
        <v>1182.95</v>
      </c>
      <c r="M679">
        <v>118295</v>
      </c>
      <c r="N679" s="1" t="s">
        <v>38</v>
      </c>
      <c r="O679" s="1">
        <f>IF(IFERROR(VLOOKUP(car_price_prediction_[[#This Row],[Car ID]],A680:A3179,1,FALSE),0),1,0)</f>
        <v>0</v>
      </c>
    </row>
    <row r="680" spans="1:15" x14ac:dyDescent="0.25">
      <c r="A680">
        <v>679</v>
      </c>
      <c r="B680" s="1" t="s">
        <v>15</v>
      </c>
      <c r="C680" s="1">
        <f>car_price_prediction_[[#This Row],[Year2]]</f>
        <v>2010</v>
      </c>
      <c r="D680">
        <v>2010</v>
      </c>
      <c r="E680">
        <f>car_price_prediction_[[#This Row],[Engine Size]]/10</f>
        <v>4.3</v>
      </c>
      <c r="F680">
        <v>43</v>
      </c>
      <c r="G680" s="1" t="s">
        <v>11</v>
      </c>
      <c r="H680" s="1" t="s">
        <v>12</v>
      </c>
      <c r="I680" s="12">
        <f>car_price_prediction_[[#This Row],[Mileage]]/1000</f>
        <v>160.81100000000001</v>
      </c>
      <c r="J680" s="5">
        <v>160811</v>
      </c>
      <c r="K680" s="1" t="s">
        <v>17</v>
      </c>
      <c r="L680" s="5">
        <f>car_price_prediction_[[#This Row],[Price]]/100</f>
        <v>65282.26</v>
      </c>
      <c r="M680">
        <v>6528226</v>
      </c>
      <c r="N680" s="1" t="s">
        <v>39</v>
      </c>
      <c r="O680" s="1">
        <f>IF(IFERROR(VLOOKUP(car_price_prediction_[[#This Row],[Car ID]],A681:A3180,1,FALSE),0),1,0)</f>
        <v>0</v>
      </c>
    </row>
    <row r="681" spans="1:15" x14ac:dyDescent="0.25">
      <c r="A681">
        <v>680</v>
      </c>
      <c r="B681" s="1" t="s">
        <v>43</v>
      </c>
      <c r="C681" s="1">
        <f>car_price_prediction_[[#This Row],[Year2]]</f>
        <v>2021</v>
      </c>
      <c r="D681">
        <v>2021</v>
      </c>
      <c r="E681">
        <f>car_price_prediction_[[#This Row],[Engine Size]]/10</f>
        <v>3.1</v>
      </c>
      <c r="F681">
        <v>31</v>
      </c>
      <c r="G681" s="1" t="s">
        <v>16</v>
      </c>
      <c r="H681" s="1" t="s">
        <v>22</v>
      </c>
      <c r="I681" s="12">
        <f>car_price_prediction_[[#This Row],[Mileage]]/1000</f>
        <v>163.041</v>
      </c>
      <c r="J681" s="5">
        <v>163041</v>
      </c>
      <c r="K681" s="1" t="s">
        <v>17</v>
      </c>
      <c r="L681" s="5">
        <f>car_price_prediction_[[#This Row],[Price]]/100</f>
        <v>70016.62</v>
      </c>
      <c r="M681">
        <v>7001662</v>
      </c>
      <c r="N681" s="1" t="s">
        <v>50</v>
      </c>
      <c r="O681" s="1">
        <f>IF(IFERROR(VLOOKUP(car_price_prediction_[[#This Row],[Car ID]],A682:A3181,1,FALSE),0),1,0)</f>
        <v>0</v>
      </c>
    </row>
    <row r="682" spans="1:15" x14ac:dyDescent="0.25">
      <c r="A682">
        <v>681</v>
      </c>
      <c r="B682" s="1" t="s">
        <v>10</v>
      </c>
      <c r="C682" s="1">
        <f>car_price_prediction_[[#This Row],[Year2]]</f>
        <v>2021</v>
      </c>
      <c r="D682">
        <v>2021</v>
      </c>
      <c r="E682">
        <f>car_price_prediction_[[#This Row],[Engine Size]]/10</f>
        <v>3</v>
      </c>
      <c r="F682">
        <v>30</v>
      </c>
      <c r="G682" s="1" t="s">
        <v>16</v>
      </c>
      <c r="H682" s="1" t="s">
        <v>22</v>
      </c>
      <c r="I682" s="12">
        <f>car_price_prediction_[[#This Row],[Mileage]]/1000</f>
        <v>14.497</v>
      </c>
      <c r="J682" s="5">
        <v>14497</v>
      </c>
      <c r="K682" s="1" t="s">
        <v>25</v>
      </c>
      <c r="L682" s="5">
        <f>car_price_prediction_[[#This Row],[Price]]/100</f>
        <v>55708.14</v>
      </c>
      <c r="M682">
        <v>5570814</v>
      </c>
      <c r="N682" s="1" t="s">
        <v>14</v>
      </c>
      <c r="O682" s="1">
        <f>IF(IFERROR(VLOOKUP(car_price_prediction_[[#This Row],[Car ID]],A683:A3182,1,FALSE),0),1,0)</f>
        <v>0</v>
      </c>
    </row>
    <row r="683" spans="1:15" x14ac:dyDescent="0.25">
      <c r="A683">
        <v>682</v>
      </c>
      <c r="B683" s="1" t="s">
        <v>19</v>
      </c>
      <c r="C683" s="1">
        <f>car_price_prediction_[[#This Row],[Year2]]</f>
        <v>2010</v>
      </c>
      <c r="D683">
        <v>2010</v>
      </c>
      <c r="E683">
        <f>car_price_prediction_[[#This Row],[Engine Size]]/10</f>
        <v>5.4</v>
      </c>
      <c r="F683">
        <v>54</v>
      </c>
      <c r="G683" s="1" t="s">
        <v>11</v>
      </c>
      <c r="H683" s="1" t="s">
        <v>12</v>
      </c>
      <c r="I683" s="12">
        <f>car_price_prediction_[[#This Row],[Mileage]]/1000</f>
        <v>254.20400000000001</v>
      </c>
      <c r="J683" s="5">
        <v>254204</v>
      </c>
      <c r="K683" s="1" t="s">
        <v>17</v>
      </c>
      <c r="L683" s="5">
        <f>car_price_prediction_[[#This Row],[Price]]/100</f>
        <v>68363.56</v>
      </c>
      <c r="M683">
        <v>6836356</v>
      </c>
      <c r="N683" s="1" t="s">
        <v>28</v>
      </c>
      <c r="O683" s="1">
        <f>IF(IFERROR(VLOOKUP(car_price_prediction_[[#This Row],[Car ID]],A684:A3183,1,FALSE),0),1,0)</f>
        <v>0</v>
      </c>
    </row>
    <row r="684" spans="1:15" x14ac:dyDescent="0.25">
      <c r="A684">
        <v>683</v>
      </c>
      <c r="B684" s="1" t="s">
        <v>10</v>
      </c>
      <c r="C684" s="1">
        <f>car_price_prediction_[[#This Row],[Year2]]</f>
        <v>2021</v>
      </c>
      <c r="D684">
        <v>2021</v>
      </c>
      <c r="E684">
        <f>car_price_prediction_[[#This Row],[Engine Size]]/10</f>
        <v>5.5</v>
      </c>
      <c r="F684">
        <v>55</v>
      </c>
      <c r="G684" s="1" t="s">
        <v>16</v>
      </c>
      <c r="H684" s="1" t="s">
        <v>12</v>
      </c>
      <c r="I684" s="12">
        <f>car_price_prediction_[[#This Row],[Mileage]]/1000</f>
        <v>257.471</v>
      </c>
      <c r="J684" s="5">
        <v>257471</v>
      </c>
      <c r="K684" s="1" t="s">
        <v>25</v>
      </c>
      <c r="L684" s="5">
        <f>car_price_prediction_[[#This Row],[Price]]/100</f>
        <v>27200.62</v>
      </c>
      <c r="M684">
        <v>2720062</v>
      </c>
      <c r="N684" s="1" t="s">
        <v>23</v>
      </c>
      <c r="O684" s="1">
        <f>IF(IFERROR(VLOOKUP(car_price_prediction_[[#This Row],[Car ID]],A685:A3184,1,FALSE),0),1,0)</f>
        <v>0</v>
      </c>
    </row>
    <row r="685" spans="1:15" x14ac:dyDescent="0.25">
      <c r="A685">
        <v>684</v>
      </c>
      <c r="B685" s="1" t="s">
        <v>43</v>
      </c>
      <c r="C685" s="1">
        <f>car_price_prediction_[[#This Row],[Year2]]</f>
        <v>2012</v>
      </c>
      <c r="D685">
        <v>2012</v>
      </c>
      <c r="E685">
        <f>car_price_prediction_[[#This Row],[Engine Size]]/10</f>
        <v>5.5</v>
      </c>
      <c r="F685">
        <v>55</v>
      </c>
      <c r="G685" s="1" t="s">
        <v>29</v>
      </c>
      <c r="H685" s="1" t="s">
        <v>22</v>
      </c>
      <c r="I685" s="12">
        <f>car_price_prediction_[[#This Row],[Mileage]]/1000</f>
        <v>92.019000000000005</v>
      </c>
      <c r="J685" s="5">
        <v>92019</v>
      </c>
      <c r="K685" s="1" t="s">
        <v>13</v>
      </c>
      <c r="L685" s="5">
        <f>car_price_prediction_[[#This Row],[Price]]/100</f>
        <v>5151.62</v>
      </c>
      <c r="M685">
        <v>515162</v>
      </c>
      <c r="N685" s="1" t="s">
        <v>52</v>
      </c>
      <c r="O685" s="1">
        <f>IF(IFERROR(VLOOKUP(car_price_prediction_[[#This Row],[Car ID]],A686:A3185,1,FALSE),0),1,0)</f>
        <v>0</v>
      </c>
    </row>
    <row r="686" spans="1:15" x14ac:dyDescent="0.25">
      <c r="A686">
        <v>685</v>
      </c>
      <c r="B686" s="1" t="s">
        <v>24</v>
      </c>
      <c r="C686" s="1">
        <f>car_price_prediction_[[#This Row],[Year2]]</f>
        <v>2017</v>
      </c>
      <c r="D686">
        <v>2017</v>
      </c>
      <c r="E686">
        <f>car_price_prediction_[[#This Row],[Engine Size]]/10</f>
        <v>2.6</v>
      </c>
      <c r="F686">
        <v>26</v>
      </c>
      <c r="G686" s="1" t="s">
        <v>21</v>
      </c>
      <c r="H686" s="1" t="s">
        <v>22</v>
      </c>
      <c r="I686" s="12">
        <f>car_price_prediction_[[#This Row],[Mileage]]/1000</f>
        <v>190.32599999999999</v>
      </c>
      <c r="J686" s="5">
        <v>190326</v>
      </c>
      <c r="K686" s="1" t="s">
        <v>13</v>
      </c>
      <c r="L686" s="5">
        <f>car_price_prediction_[[#This Row],[Price]]/100</f>
        <v>42133.21</v>
      </c>
      <c r="M686">
        <v>4213321</v>
      </c>
      <c r="N686" s="1" t="s">
        <v>32</v>
      </c>
      <c r="O686" s="1">
        <f>IF(IFERROR(VLOOKUP(car_price_prediction_[[#This Row],[Car ID]],A687:A3186,1,FALSE),0),1,0)</f>
        <v>0</v>
      </c>
    </row>
    <row r="687" spans="1:15" x14ac:dyDescent="0.25">
      <c r="A687">
        <v>686</v>
      </c>
      <c r="B687" s="1" t="s">
        <v>43</v>
      </c>
      <c r="C687" s="1">
        <f>car_price_prediction_[[#This Row],[Year2]]</f>
        <v>2001</v>
      </c>
      <c r="D687">
        <v>2001</v>
      </c>
      <c r="E687">
        <f>car_price_prediction_[[#This Row],[Engine Size]]/10</f>
        <v>4.5</v>
      </c>
      <c r="F687">
        <v>45</v>
      </c>
      <c r="G687" s="1" t="s">
        <v>11</v>
      </c>
      <c r="H687" s="1" t="s">
        <v>22</v>
      </c>
      <c r="I687" s="12">
        <f>car_price_prediction_[[#This Row],[Mileage]]/1000</f>
        <v>109.017</v>
      </c>
      <c r="J687" s="5">
        <v>109017</v>
      </c>
      <c r="K687" s="1" t="s">
        <v>25</v>
      </c>
      <c r="L687" s="5">
        <f>car_price_prediction_[[#This Row],[Price]]/100</f>
        <v>13522.26</v>
      </c>
      <c r="M687">
        <v>1352226</v>
      </c>
      <c r="N687" s="1" t="s">
        <v>50</v>
      </c>
      <c r="O687" s="1">
        <f>IF(IFERROR(VLOOKUP(car_price_prediction_[[#This Row],[Car ID]],A688:A3187,1,FALSE),0),1,0)</f>
        <v>0</v>
      </c>
    </row>
    <row r="688" spans="1:15" x14ac:dyDescent="0.25">
      <c r="A688">
        <v>687</v>
      </c>
      <c r="B688" s="1" t="s">
        <v>36</v>
      </c>
      <c r="C688" s="1">
        <f>car_price_prediction_[[#This Row],[Year2]]</f>
        <v>2020</v>
      </c>
      <c r="D688">
        <v>2020</v>
      </c>
      <c r="E688">
        <f>car_price_prediction_[[#This Row],[Engine Size]]/10</f>
        <v>2.4</v>
      </c>
      <c r="F688">
        <v>24</v>
      </c>
      <c r="G688" s="1" t="s">
        <v>11</v>
      </c>
      <c r="H688" s="1" t="s">
        <v>22</v>
      </c>
      <c r="I688" s="12">
        <f>car_price_prediction_[[#This Row],[Mileage]]/1000</f>
        <v>218.22</v>
      </c>
      <c r="J688" s="5">
        <v>218220</v>
      </c>
      <c r="K688" s="1" t="s">
        <v>17</v>
      </c>
      <c r="L688" s="5">
        <f>car_price_prediction_[[#This Row],[Price]]/100</f>
        <v>64427.86</v>
      </c>
      <c r="M688">
        <v>6442786</v>
      </c>
      <c r="N688" s="1" t="s">
        <v>40</v>
      </c>
      <c r="O688" s="1">
        <f>IF(IFERROR(VLOOKUP(car_price_prediction_[[#This Row],[Car ID]],A689:A3188,1,FALSE),0),1,0)</f>
        <v>0</v>
      </c>
    </row>
    <row r="689" spans="1:15" x14ac:dyDescent="0.25">
      <c r="A689">
        <v>688</v>
      </c>
      <c r="B689" s="1" t="s">
        <v>43</v>
      </c>
      <c r="C689" s="1">
        <f>car_price_prediction_[[#This Row],[Year2]]</f>
        <v>2014</v>
      </c>
      <c r="D689">
        <v>2014</v>
      </c>
      <c r="E689">
        <f>car_price_prediction_[[#This Row],[Engine Size]]/10</f>
        <v>2</v>
      </c>
      <c r="F689">
        <v>20</v>
      </c>
      <c r="G689" s="1" t="s">
        <v>21</v>
      </c>
      <c r="H689" s="1" t="s">
        <v>22</v>
      </c>
      <c r="I689" s="12">
        <f>car_price_prediction_[[#This Row],[Mileage]]/1000</f>
        <v>105.15300000000001</v>
      </c>
      <c r="J689" s="5">
        <v>105153</v>
      </c>
      <c r="K689" s="1" t="s">
        <v>13</v>
      </c>
      <c r="L689" s="5">
        <f>car_price_prediction_[[#This Row],[Price]]/100</f>
        <v>52045.440000000002</v>
      </c>
      <c r="M689">
        <v>5204544</v>
      </c>
      <c r="N689" s="1" t="s">
        <v>47</v>
      </c>
      <c r="O689" s="1">
        <f>IF(IFERROR(VLOOKUP(car_price_prediction_[[#This Row],[Car ID]],A690:A3189,1,FALSE),0),1,0)</f>
        <v>0</v>
      </c>
    </row>
    <row r="690" spans="1:15" x14ac:dyDescent="0.25">
      <c r="A690">
        <v>689</v>
      </c>
      <c r="B690" s="1" t="s">
        <v>43</v>
      </c>
      <c r="C690" s="1">
        <f>car_price_prediction_[[#This Row],[Year2]]</f>
        <v>2019</v>
      </c>
      <c r="D690">
        <v>2019</v>
      </c>
      <c r="E690">
        <f>car_price_prediction_[[#This Row],[Engine Size]]/10</f>
        <v>1.9</v>
      </c>
      <c r="F690">
        <v>19</v>
      </c>
      <c r="G690" s="1" t="s">
        <v>16</v>
      </c>
      <c r="H690" s="1" t="s">
        <v>22</v>
      </c>
      <c r="I690" s="12">
        <f>car_price_prediction_[[#This Row],[Mileage]]/1000</f>
        <v>33.826000000000001</v>
      </c>
      <c r="J690" s="5">
        <v>33826</v>
      </c>
      <c r="K690" s="1" t="s">
        <v>17</v>
      </c>
      <c r="L690" s="5">
        <f>car_price_prediction_[[#This Row],[Price]]/100</f>
        <v>31141.53</v>
      </c>
      <c r="M690">
        <v>3114153</v>
      </c>
      <c r="N690" s="1" t="s">
        <v>52</v>
      </c>
      <c r="O690" s="1">
        <f>IF(IFERROR(VLOOKUP(car_price_prediction_[[#This Row],[Car ID]],A691:A3190,1,FALSE),0),1,0)</f>
        <v>0</v>
      </c>
    </row>
    <row r="691" spans="1:15" x14ac:dyDescent="0.25">
      <c r="A691">
        <v>690</v>
      </c>
      <c r="B691" s="1" t="s">
        <v>36</v>
      </c>
      <c r="C691" s="1">
        <f>car_price_prediction_[[#This Row],[Year2]]</f>
        <v>2017</v>
      </c>
      <c r="D691">
        <v>2017</v>
      </c>
      <c r="E691">
        <f>car_price_prediction_[[#This Row],[Engine Size]]/10</f>
        <v>2.7</v>
      </c>
      <c r="F691">
        <v>27</v>
      </c>
      <c r="G691" s="1" t="s">
        <v>21</v>
      </c>
      <c r="H691" s="1" t="s">
        <v>12</v>
      </c>
      <c r="I691" s="12">
        <f>car_price_prediction_[[#This Row],[Mileage]]/1000</f>
        <v>110.03400000000001</v>
      </c>
      <c r="J691" s="5">
        <v>110034</v>
      </c>
      <c r="K691" s="1" t="s">
        <v>17</v>
      </c>
      <c r="L691" s="5">
        <f>car_price_prediction_[[#This Row],[Price]]/100</f>
        <v>5000.01</v>
      </c>
      <c r="M691">
        <v>500001</v>
      </c>
      <c r="N691" s="1" t="s">
        <v>40</v>
      </c>
      <c r="O691" s="1">
        <f>IF(IFERROR(VLOOKUP(car_price_prediction_[[#This Row],[Car ID]],A692:A3191,1,FALSE),0),1,0)</f>
        <v>0</v>
      </c>
    </row>
    <row r="692" spans="1:15" x14ac:dyDescent="0.25">
      <c r="A692">
        <v>691</v>
      </c>
      <c r="B692" s="1" t="s">
        <v>15</v>
      </c>
      <c r="C692" s="1">
        <f>car_price_prediction_[[#This Row],[Year2]]</f>
        <v>2014</v>
      </c>
      <c r="D692">
        <v>2014</v>
      </c>
      <c r="E692">
        <f>car_price_prediction_[[#This Row],[Engine Size]]/10</f>
        <v>3.1</v>
      </c>
      <c r="F692">
        <v>31</v>
      </c>
      <c r="G692" s="1" t="s">
        <v>21</v>
      </c>
      <c r="H692" s="1" t="s">
        <v>12</v>
      </c>
      <c r="I692" s="12">
        <f>car_price_prediction_[[#This Row],[Mileage]]/1000</f>
        <v>84.242000000000004</v>
      </c>
      <c r="J692" s="5">
        <v>84242</v>
      </c>
      <c r="K692" s="1" t="s">
        <v>25</v>
      </c>
      <c r="L692" s="5">
        <f>car_price_prediction_[[#This Row],[Price]]/100</f>
        <v>78653.31</v>
      </c>
      <c r="M692">
        <v>7865331</v>
      </c>
      <c r="N692" s="1" t="s">
        <v>18</v>
      </c>
      <c r="O692" s="1">
        <f>IF(IFERROR(VLOOKUP(car_price_prediction_[[#This Row],[Car ID]],A693:A3192,1,FALSE),0),1,0)</f>
        <v>0</v>
      </c>
    </row>
    <row r="693" spans="1:15" x14ac:dyDescent="0.25">
      <c r="A693">
        <v>692</v>
      </c>
      <c r="B693" s="1" t="s">
        <v>43</v>
      </c>
      <c r="C693" s="1">
        <f>car_price_prediction_[[#This Row],[Year2]]</f>
        <v>2018</v>
      </c>
      <c r="D693">
        <v>2018</v>
      </c>
      <c r="E693">
        <f>car_price_prediction_[[#This Row],[Engine Size]]/10</f>
        <v>5.2</v>
      </c>
      <c r="F693">
        <v>52</v>
      </c>
      <c r="G693" s="1" t="s">
        <v>16</v>
      </c>
      <c r="H693" s="1" t="s">
        <v>12</v>
      </c>
      <c r="I693" s="12">
        <f>car_price_prediction_[[#This Row],[Mileage]]/1000</f>
        <v>50.1</v>
      </c>
      <c r="J693" s="5">
        <v>50100</v>
      </c>
      <c r="K693" s="1" t="s">
        <v>13</v>
      </c>
      <c r="L693" s="5">
        <f>car_price_prediction_[[#This Row],[Price]]/100</f>
        <v>81157.490000000005</v>
      </c>
      <c r="M693">
        <v>8115749</v>
      </c>
      <c r="N693" s="1" t="s">
        <v>52</v>
      </c>
      <c r="O693" s="1">
        <f>IF(IFERROR(VLOOKUP(car_price_prediction_[[#This Row],[Car ID]],A694:A3193,1,FALSE),0),1,0)</f>
        <v>0</v>
      </c>
    </row>
    <row r="694" spans="1:15" x14ac:dyDescent="0.25">
      <c r="A694">
        <v>693</v>
      </c>
      <c r="B694" s="1" t="s">
        <v>36</v>
      </c>
      <c r="C694" s="1">
        <f>car_price_prediction_[[#This Row],[Year2]]</f>
        <v>2022</v>
      </c>
      <c r="D694">
        <v>2022</v>
      </c>
      <c r="E694">
        <f>car_price_prediction_[[#This Row],[Engine Size]]/10</f>
        <v>1.6</v>
      </c>
      <c r="F694">
        <v>16</v>
      </c>
      <c r="G694" s="1" t="s">
        <v>21</v>
      </c>
      <c r="H694" s="1" t="s">
        <v>12</v>
      </c>
      <c r="I694" s="12">
        <f>car_price_prediction_[[#This Row],[Mileage]]/1000</f>
        <v>221.17099999999999</v>
      </c>
      <c r="J694" s="5">
        <v>221171</v>
      </c>
      <c r="K694" s="1" t="s">
        <v>13</v>
      </c>
      <c r="L694" s="5">
        <f>car_price_prediction_[[#This Row],[Price]]/100</f>
        <v>66704.98</v>
      </c>
      <c r="M694">
        <v>6670498</v>
      </c>
      <c r="N694" s="1" t="s">
        <v>46</v>
      </c>
      <c r="O694" s="1">
        <f>IF(IFERROR(VLOOKUP(car_price_prediction_[[#This Row],[Car ID]],A695:A3194,1,FALSE),0),1,0)</f>
        <v>0</v>
      </c>
    </row>
    <row r="695" spans="1:15" x14ac:dyDescent="0.25">
      <c r="A695">
        <v>694</v>
      </c>
      <c r="B695" s="1" t="s">
        <v>19</v>
      </c>
      <c r="C695" s="1">
        <f>car_price_prediction_[[#This Row],[Year2]]</f>
        <v>2023</v>
      </c>
      <c r="D695">
        <v>2023</v>
      </c>
      <c r="E695">
        <f>car_price_prediction_[[#This Row],[Engine Size]]/10</f>
        <v>4.7</v>
      </c>
      <c r="F695">
        <v>47</v>
      </c>
      <c r="G695" s="1" t="s">
        <v>16</v>
      </c>
      <c r="H695" s="1" t="s">
        <v>22</v>
      </c>
      <c r="I695" s="12">
        <f>car_price_prediction_[[#This Row],[Mileage]]/1000</f>
        <v>12.808999999999999</v>
      </c>
      <c r="J695" s="5">
        <v>12809</v>
      </c>
      <c r="K695" s="1" t="s">
        <v>25</v>
      </c>
      <c r="L695" s="5">
        <f>car_price_prediction_[[#This Row],[Price]]/100</f>
        <v>49436.04</v>
      </c>
      <c r="M695">
        <v>4943604</v>
      </c>
      <c r="N695" s="1" t="s">
        <v>28</v>
      </c>
      <c r="O695" s="1">
        <f>IF(IFERROR(VLOOKUP(car_price_prediction_[[#This Row],[Car ID]],A696:A3195,1,FALSE),0),1,0)</f>
        <v>0</v>
      </c>
    </row>
    <row r="696" spans="1:15" x14ac:dyDescent="0.25">
      <c r="A696">
        <v>695</v>
      </c>
      <c r="B696" s="1" t="s">
        <v>24</v>
      </c>
      <c r="C696" s="1">
        <f>car_price_prediction_[[#This Row],[Year2]]</f>
        <v>2011</v>
      </c>
      <c r="D696">
        <v>2011</v>
      </c>
      <c r="E696">
        <f>car_price_prediction_[[#This Row],[Engine Size]]/10</f>
        <v>3.7</v>
      </c>
      <c r="F696">
        <v>37</v>
      </c>
      <c r="G696" s="1" t="s">
        <v>16</v>
      </c>
      <c r="H696" s="1" t="s">
        <v>12</v>
      </c>
      <c r="I696" s="12">
        <f>car_price_prediction_[[#This Row],[Mileage]]/1000</f>
        <v>64.45</v>
      </c>
      <c r="J696" s="5">
        <v>64450</v>
      </c>
      <c r="K696" s="1" t="s">
        <v>17</v>
      </c>
      <c r="L696" s="5">
        <f>car_price_prediction_[[#This Row],[Price]]/100</f>
        <v>59696.22</v>
      </c>
      <c r="M696">
        <v>5969622</v>
      </c>
      <c r="N696" s="1" t="s">
        <v>32</v>
      </c>
      <c r="O696" s="1">
        <f>IF(IFERROR(VLOOKUP(car_price_prediction_[[#This Row],[Car ID]],A697:A3196,1,FALSE),0),1,0)</f>
        <v>0</v>
      </c>
    </row>
    <row r="697" spans="1:15" x14ac:dyDescent="0.25">
      <c r="A697">
        <v>696</v>
      </c>
      <c r="B697" s="1" t="s">
        <v>24</v>
      </c>
      <c r="C697" s="1">
        <f>car_price_prediction_[[#This Row],[Year2]]</f>
        <v>2012</v>
      </c>
      <c r="D697">
        <v>2012</v>
      </c>
      <c r="E697">
        <f>car_price_prediction_[[#This Row],[Engine Size]]/10</f>
        <v>2.4</v>
      </c>
      <c r="F697">
        <v>24</v>
      </c>
      <c r="G697" s="1" t="s">
        <v>21</v>
      </c>
      <c r="H697" s="1" t="s">
        <v>12</v>
      </c>
      <c r="I697" s="12">
        <f>car_price_prediction_[[#This Row],[Mileage]]/1000</f>
        <v>111.126</v>
      </c>
      <c r="J697" s="5">
        <v>111126</v>
      </c>
      <c r="K697" s="1" t="s">
        <v>17</v>
      </c>
      <c r="L697" s="5">
        <f>car_price_prediction_[[#This Row],[Price]]/100</f>
        <v>41576.46</v>
      </c>
      <c r="M697">
        <v>4157646</v>
      </c>
      <c r="N697" s="1" t="s">
        <v>53</v>
      </c>
      <c r="O697" s="1">
        <f>IF(IFERROR(VLOOKUP(car_price_prediction_[[#This Row],[Car ID]],A698:A3197,1,FALSE),0),1,0)</f>
        <v>0</v>
      </c>
    </row>
    <row r="698" spans="1:15" x14ac:dyDescent="0.25">
      <c r="A698">
        <v>697</v>
      </c>
      <c r="B698" s="1" t="s">
        <v>43</v>
      </c>
      <c r="C698" s="1">
        <f>car_price_prediction_[[#This Row],[Year2]]</f>
        <v>2021</v>
      </c>
      <c r="D698">
        <v>2021</v>
      </c>
      <c r="E698">
        <f>car_price_prediction_[[#This Row],[Engine Size]]/10</f>
        <v>3.5</v>
      </c>
      <c r="F698">
        <v>35</v>
      </c>
      <c r="G698" s="1" t="s">
        <v>29</v>
      </c>
      <c r="H698" s="1" t="s">
        <v>22</v>
      </c>
      <c r="I698" s="12">
        <f>car_price_prediction_[[#This Row],[Mileage]]/1000</f>
        <v>264.23700000000002</v>
      </c>
      <c r="J698" s="5">
        <v>264237</v>
      </c>
      <c r="K698" s="1" t="s">
        <v>13</v>
      </c>
      <c r="L698" s="5">
        <f>car_price_prediction_[[#This Row],[Price]]/100</f>
        <v>17022.849999999999</v>
      </c>
      <c r="M698">
        <v>1702285</v>
      </c>
      <c r="N698" s="1" t="s">
        <v>52</v>
      </c>
      <c r="O698" s="1">
        <f>IF(IFERROR(VLOOKUP(car_price_prediction_[[#This Row],[Car ID]],A699:A3198,1,FALSE),0),1,0)</f>
        <v>0</v>
      </c>
    </row>
    <row r="699" spans="1:15" x14ac:dyDescent="0.25">
      <c r="A699">
        <v>698</v>
      </c>
      <c r="B699" s="1" t="s">
        <v>15</v>
      </c>
      <c r="C699" s="1">
        <f>car_price_prediction_[[#This Row],[Year2]]</f>
        <v>2010</v>
      </c>
      <c r="D699">
        <v>2010</v>
      </c>
      <c r="E699">
        <f>car_price_prediction_[[#This Row],[Engine Size]]/10</f>
        <v>2.5</v>
      </c>
      <c r="F699">
        <v>25</v>
      </c>
      <c r="G699" s="1" t="s">
        <v>16</v>
      </c>
      <c r="H699" s="1" t="s">
        <v>12</v>
      </c>
      <c r="I699" s="12">
        <f>car_price_prediction_[[#This Row],[Mileage]]/1000</f>
        <v>44.497999999999998</v>
      </c>
      <c r="J699" s="5">
        <v>44498</v>
      </c>
      <c r="K699" s="1" t="s">
        <v>25</v>
      </c>
      <c r="L699" s="5">
        <f>car_price_prediction_[[#This Row],[Price]]/100</f>
        <v>41633.96</v>
      </c>
      <c r="M699">
        <v>4163396</v>
      </c>
      <c r="N699" s="1" t="s">
        <v>39</v>
      </c>
      <c r="O699" s="1">
        <f>IF(IFERROR(VLOOKUP(car_price_prediction_[[#This Row],[Car ID]],A700:A3199,1,FALSE),0),1,0)</f>
        <v>0</v>
      </c>
    </row>
    <row r="700" spans="1:15" x14ac:dyDescent="0.25">
      <c r="A700">
        <v>699</v>
      </c>
      <c r="B700" s="1" t="s">
        <v>15</v>
      </c>
      <c r="C700" s="1">
        <f>car_price_prediction_[[#This Row],[Year2]]</f>
        <v>2004</v>
      </c>
      <c r="D700">
        <v>2004</v>
      </c>
      <c r="E700">
        <f>car_price_prediction_[[#This Row],[Engine Size]]/10</f>
        <v>4</v>
      </c>
      <c r="F700">
        <v>40</v>
      </c>
      <c r="G700" s="1" t="s">
        <v>21</v>
      </c>
      <c r="H700" s="1" t="s">
        <v>22</v>
      </c>
      <c r="I700" s="12">
        <f>car_price_prediction_[[#This Row],[Mileage]]/1000</f>
        <v>116.251</v>
      </c>
      <c r="J700" s="5">
        <v>116251</v>
      </c>
      <c r="K700" s="1" t="s">
        <v>25</v>
      </c>
      <c r="L700" s="5">
        <f>car_price_prediction_[[#This Row],[Price]]/100</f>
        <v>55381.61</v>
      </c>
      <c r="M700">
        <v>5538161</v>
      </c>
      <c r="N700" s="1" t="s">
        <v>35</v>
      </c>
      <c r="O700" s="1">
        <f>IF(IFERROR(VLOOKUP(car_price_prediction_[[#This Row],[Car ID]],A701:A3200,1,FALSE),0),1,0)</f>
        <v>0</v>
      </c>
    </row>
    <row r="701" spans="1:15" x14ac:dyDescent="0.25">
      <c r="A701">
        <v>700</v>
      </c>
      <c r="B701" s="1" t="s">
        <v>19</v>
      </c>
      <c r="C701" s="1">
        <f>car_price_prediction_[[#This Row],[Year2]]</f>
        <v>2000</v>
      </c>
      <c r="D701">
        <v>2000</v>
      </c>
      <c r="E701">
        <f>car_price_prediction_[[#This Row],[Engine Size]]/10</f>
        <v>3.2</v>
      </c>
      <c r="F701">
        <v>32</v>
      </c>
      <c r="G701" s="1" t="s">
        <v>16</v>
      </c>
      <c r="H701" s="1" t="s">
        <v>22</v>
      </c>
      <c r="I701" s="12">
        <f>car_price_prediction_[[#This Row],[Mileage]]/1000</f>
        <v>40.984999999999999</v>
      </c>
      <c r="J701" s="5">
        <v>40985</v>
      </c>
      <c r="K701" s="1" t="s">
        <v>17</v>
      </c>
      <c r="L701" s="5">
        <f>car_price_prediction_[[#This Row],[Price]]/100</f>
        <v>61889.23</v>
      </c>
      <c r="M701">
        <v>6188923</v>
      </c>
      <c r="N701" s="1" t="s">
        <v>27</v>
      </c>
      <c r="O701" s="1">
        <f>IF(IFERROR(VLOOKUP(car_price_prediction_[[#This Row],[Car ID]],A702:A3201,1,FALSE),0),1,0)</f>
        <v>0</v>
      </c>
    </row>
    <row r="702" spans="1:15" x14ac:dyDescent="0.25">
      <c r="A702">
        <v>701</v>
      </c>
      <c r="B702" s="1" t="s">
        <v>43</v>
      </c>
      <c r="C702" s="1">
        <f>car_price_prediction_[[#This Row],[Year2]]</f>
        <v>2023</v>
      </c>
      <c r="D702">
        <v>2023</v>
      </c>
      <c r="E702">
        <f>car_price_prediction_[[#This Row],[Engine Size]]/10</f>
        <v>1.8</v>
      </c>
      <c r="F702">
        <v>18</v>
      </c>
      <c r="G702" s="1" t="s">
        <v>29</v>
      </c>
      <c r="H702" s="1" t="s">
        <v>22</v>
      </c>
      <c r="I702" s="12">
        <f>car_price_prediction_[[#This Row],[Mileage]]/1000</f>
        <v>294.15300000000002</v>
      </c>
      <c r="J702" s="5">
        <v>294153</v>
      </c>
      <c r="K702" s="1" t="s">
        <v>17</v>
      </c>
      <c r="L702" s="5">
        <f>car_price_prediction_[[#This Row],[Price]]/100</f>
        <v>93901.09</v>
      </c>
      <c r="M702">
        <v>9390109</v>
      </c>
      <c r="N702" s="1" t="s">
        <v>47</v>
      </c>
      <c r="O702" s="1">
        <f>IF(IFERROR(VLOOKUP(car_price_prediction_[[#This Row],[Car ID]],A703:A3202,1,FALSE),0),1,0)</f>
        <v>0</v>
      </c>
    </row>
    <row r="703" spans="1:15" x14ac:dyDescent="0.25">
      <c r="A703">
        <v>702</v>
      </c>
      <c r="B703" s="1" t="s">
        <v>24</v>
      </c>
      <c r="C703" s="1">
        <f>car_price_prediction_[[#This Row],[Year2]]</f>
        <v>2002</v>
      </c>
      <c r="D703">
        <v>2002</v>
      </c>
      <c r="E703">
        <f>car_price_prediction_[[#This Row],[Engine Size]]/10</f>
        <v>1.6</v>
      </c>
      <c r="F703">
        <v>16</v>
      </c>
      <c r="G703" s="1" t="s">
        <v>29</v>
      </c>
      <c r="H703" s="1" t="s">
        <v>22</v>
      </c>
      <c r="I703" s="12">
        <f>car_price_prediction_[[#This Row],[Mileage]]/1000</f>
        <v>17.718</v>
      </c>
      <c r="J703" s="5">
        <v>17718</v>
      </c>
      <c r="K703" s="1" t="s">
        <v>25</v>
      </c>
      <c r="L703" s="5">
        <f>car_price_prediction_[[#This Row],[Price]]/100</f>
        <v>78846.679999999993</v>
      </c>
      <c r="M703">
        <v>7884668</v>
      </c>
      <c r="N703" s="1" t="s">
        <v>34</v>
      </c>
      <c r="O703" s="1">
        <f>IF(IFERROR(VLOOKUP(car_price_prediction_[[#This Row],[Car ID]],A704:A3203,1,FALSE),0),1,0)</f>
        <v>0</v>
      </c>
    </row>
    <row r="704" spans="1:15" x14ac:dyDescent="0.25">
      <c r="A704">
        <v>703</v>
      </c>
      <c r="B704" s="1" t="s">
        <v>15</v>
      </c>
      <c r="C704" s="1">
        <f>car_price_prediction_[[#This Row],[Year2]]</f>
        <v>2021</v>
      </c>
      <c r="D704">
        <v>2021</v>
      </c>
      <c r="E704">
        <f>car_price_prediction_[[#This Row],[Engine Size]]/10</f>
        <v>3.7</v>
      </c>
      <c r="F704">
        <v>37</v>
      </c>
      <c r="G704" s="1" t="s">
        <v>11</v>
      </c>
      <c r="H704" s="1" t="s">
        <v>22</v>
      </c>
      <c r="I704" s="12">
        <f>car_price_prediction_[[#This Row],[Mileage]]/1000</f>
        <v>278.84899999999999</v>
      </c>
      <c r="J704" s="5">
        <v>278849</v>
      </c>
      <c r="K704" s="1" t="s">
        <v>13</v>
      </c>
      <c r="L704" s="5">
        <f>car_price_prediction_[[#This Row],[Price]]/100</f>
        <v>19439.29</v>
      </c>
      <c r="M704">
        <v>1943929</v>
      </c>
      <c r="N704" s="1" t="s">
        <v>35</v>
      </c>
      <c r="O704" s="1">
        <f>IF(IFERROR(VLOOKUP(car_price_prediction_[[#This Row],[Car ID]],A705:A3204,1,FALSE),0),1,0)</f>
        <v>0</v>
      </c>
    </row>
    <row r="705" spans="1:15" x14ac:dyDescent="0.25">
      <c r="A705">
        <v>704</v>
      </c>
      <c r="B705" s="1" t="s">
        <v>43</v>
      </c>
      <c r="C705" s="1">
        <f>car_price_prediction_[[#This Row],[Year2]]</f>
        <v>2018</v>
      </c>
      <c r="D705">
        <v>2018</v>
      </c>
      <c r="E705">
        <f>car_price_prediction_[[#This Row],[Engine Size]]/10</f>
        <v>5.5</v>
      </c>
      <c r="F705">
        <v>55</v>
      </c>
      <c r="G705" s="1" t="s">
        <v>16</v>
      </c>
      <c r="H705" s="1" t="s">
        <v>12</v>
      </c>
      <c r="I705" s="12">
        <f>car_price_prediction_[[#This Row],[Mileage]]/1000</f>
        <v>62.597999999999999</v>
      </c>
      <c r="J705" s="5">
        <v>62598</v>
      </c>
      <c r="K705" s="1" t="s">
        <v>17</v>
      </c>
      <c r="L705" s="5">
        <f>car_price_prediction_[[#This Row],[Price]]/100</f>
        <v>21547.31</v>
      </c>
      <c r="M705">
        <v>2154731</v>
      </c>
      <c r="N705" s="1" t="s">
        <v>50</v>
      </c>
      <c r="O705" s="1">
        <f>IF(IFERROR(VLOOKUP(car_price_prediction_[[#This Row],[Car ID]],A706:A3205,1,FALSE),0),1,0)</f>
        <v>0</v>
      </c>
    </row>
    <row r="706" spans="1:15" x14ac:dyDescent="0.25">
      <c r="A706">
        <v>705</v>
      </c>
      <c r="B706" s="1" t="s">
        <v>10</v>
      </c>
      <c r="C706" s="1">
        <f>car_price_prediction_[[#This Row],[Year2]]</f>
        <v>2022</v>
      </c>
      <c r="D706">
        <v>2022</v>
      </c>
      <c r="E706">
        <f>car_price_prediction_[[#This Row],[Engine Size]]/10</f>
        <v>2.7</v>
      </c>
      <c r="F706">
        <v>27</v>
      </c>
      <c r="G706" s="1" t="s">
        <v>16</v>
      </c>
      <c r="H706" s="1" t="s">
        <v>12</v>
      </c>
      <c r="I706" s="12">
        <f>car_price_prediction_[[#This Row],[Mileage]]/1000</f>
        <v>274.38299999999998</v>
      </c>
      <c r="J706" s="5">
        <v>274383</v>
      </c>
      <c r="K706" s="1" t="s">
        <v>25</v>
      </c>
      <c r="L706" s="5">
        <f>car_price_prediction_[[#This Row],[Price]]/100</f>
        <v>1454.7</v>
      </c>
      <c r="M706">
        <v>145470</v>
      </c>
      <c r="N706" s="1" t="s">
        <v>33</v>
      </c>
      <c r="O706" s="1">
        <f>IF(IFERROR(VLOOKUP(car_price_prediction_[[#This Row],[Car ID]],A707:A3206,1,FALSE),0),1,0)</f>
        <v>0</v>
      </c>
    </row>
    <row r="707" spans="1:15" x14ac:dyDescent="0.25">
      <c r="A707">
        <v>706</v>
      </c>
      <c r="B707" s="1" t="s">
        <v>15</v>
      </c>
      <c r="C707" s="1">
        <f>car_price_prediction_[[#This Row],[Year2]]</f>
        <v>2006</v>
      </c>
      <c r="D707">
        <v>2006</v>
      </c>
      <c r="E707">
        <f>car_price_prediction_[[#This Row],[Engine Size]]/10</f>
        <v>4.7</v>
      </c>
      <c r="F707">
        <v>47</v>
      </c>
      <c r="G707" s="1" t="s">
        <v>21</v>
      </c>
      <c r="H707" s="1" t="s">
        <v>12</v>
      </c>
      <c r="I707" s="12">
        <f>car_price_prediction_[[#This Row],[Mileage]]/1000</f>
        <v>46.664999999999999</v>
      </c>
      <c r="J707" s="5">
        <v>46665</v>
      </c>
      <c r="K707" s="1" t="s">
        <v>25</v>
      </c>
      <c r="L707" s="5">
        <f>car_price_prediction_[[#This Row],[Price]]/100</f>
        <v>75127.259999999995</v>
      </c>
      <c r="M707">
        <v>7512726</v>
      </c>
      <c r="N707" s="1" t="s">
        <v>51</v>
      </c>
      <c r="O707" s="1">
        <f>IF(IFERROR(VLOOKUP(car_price_prediction_[[#This Row],[Car ID]],A708:A3207,1,FALSE),0),1,0)</f>
        <v>0</v>
      </c>
    </row>
    <row r="708" spans="1:15" x14ac:dyDescent="0.25">
      <c r="A708">
        <v>707</v>
      </c>
      <c r="B708" s="1" t="s">
        <v>36</v>
      </c>
      <c r="C708" s="1">
        <f>car_price_prediction_[[#This Row],[Year2]]</f>
        <v>2011</v>
      </c>
      <c r="D708">
        <v>2011</v>
      </c>
      <c r="E708">
        <f>car_price_prediction_[[#This Row],[Engine Size]]/10</f>
        <v>4.3</v>
      </c>
      <c r="F708">
        <v>43</v>
      </c>
      <c r="G708" s="1" t="s">
        <v>16</v>
      </c>
      <c r="H708" s="1" t="s">
        <v>22</v>
      </c>
      <c r="I708" s="12">
        <f>car_price_prediction_[[#This Row],[Mileage]]/1000</f>
        <v>294.41800000000001</v>
      </c>
      <c r="J708" s="5">
        <v>294418</v>
      </c>
      <c r="K708" s="1" t="s">
        <v>25</v>
      </c>
      <c r="L708" s="5">
        <f>car_price_prediction_[[#This Row],[Price]]/100</f>
        <v>72081.62</v>
      </c>
      <c r="M708">
        <v>7208162</v>
      </c>
      <c r="N708" s="1" t="s">
        <v>40</v>
      </c>
      <c r="O708" s="1">
        <f>IF(IFERROR(VLOOKUP(car_price_prediction_[[#This Row],[Car ID]],A709:A3208,1,FALSE),0),1,0)</f>
        <v>0</v>
      </c>
    </row>
    <row r="709" spans="1:15" x14ac:dyDescent="0.25">
      <c r="A709">
        <v>708</v>
      </c>
      <c r="B709" s="1" t="s">
        <v>10</v>
      </c>
      <c r="C709" s="1">
        <f>car_price_prediction_[[#This Row],[Year2]]</f>
        <v>2014</v>
      </c>
      <c r="D709">
        <v>2014</v>
      </c>
      <c r="E709">
        <f>car_price_prediction_[[#This Row],[Engine Size]]/10</f>
        <v>5.7</v>
      </c>
      <c r="F709">
        <v>57</v>
      </c>
      <c r="G709" s="1" t="s">
        <v>11</v>
      </c>
      <c r="H709" s="1" t="s">
        <v>12</v>
      </c>
      <c r="I709" s="12">
        <f>car_price_prediction_[[#This Row],[Mileage]]/1000</f>
        <v>146.07499999999999</v>
      </c>
      <c r="J709" s="5">
        <v>146075</v>
      </c>
      <c r="K709" s="1" t="s">
        <v>13</v>
      </c>
      <c r="L709" s="5">
        <f>car_price_prediction_[[#This Row],[Price]]/100</f>
        <v>98704.48</v>
      </c>
      <c r="M709">
        <v>9870448</v>
      </c>
      <c r="N709" s="1" t="s">
        <v>33</v>
      </c>
      <c r="O709" s="1">
        <f>IF(IFERROR(VLOOKUP(car_price_prediction_[[#This Row],[Car ID]],A710:A3209,1,FALSE),0),1,0)</f>
        <v>0</v>
      </c>
    </row>
    <row r="710" spans="1:15" x14ac:dyDescent="0.25">
      <c r="A710">
        <v>709</v>
      </c>
      <c r="B710" s="1" t="s">
        <v>15</v>
      </c>
      <c r="C710" s="1">
        <f>car_price_prediction_[[#This Row],[Year2]]</f>
        <v>2004</v>
      </c>
      <c r="D710">
        <v>2004</v>
      </c>
      <c r="E710">
        <f>car_price_prediction_[[#This Row],[Engine Size]]/10</f>
        <v>5.0999999999999996</v>
      </c>
      <c r="F710">
        <v>51</v>
      </c>
      <c r="G710" s="1" t="s">
        <v>29</v>
      </c>
      <c r="H710" s="1" t="s">
        <v>12</v>
      </c>
      <c r="I710" s="12">
        <f>car_price_prediction_[[#This Row],[Mileage]]/1000</f>
        <v>161.93799999999999</v>
      </c>
      <c r="J710" s="5">
        <v>161938</v>
      </c>
      <c r="K710" s="1" t="s">
        <v>17</v>
      </c>
      <c r="L710" s="5">
        <f>car_price_prediction_[[#This Row],[Price]]/100</f>
        <v>54592.22</v>
      </c>
      <c r="M710">
        <v>5459222</v>
      </c>
      <c r="N710" s="1" t="s">
        <v>39</v>
      </c>
      <c r="O710" s="1">
        <f>IF(IFERROR(VLOOKUP(car_price_prediction_[[#This Row],[Car ID]],A711:A3210,1,FALSE),0),1,0)</f>
        <v>0</v>
      </c>
    </row>
    <row r="711" spans="1:15" x14ac:dyDescent="0.25">
      <c r="A711">
        <v>710</v>
      </c>
      <c r="B711" s="1" t="s">
        <v>24</v>
      </c>
      <c r="C711" s="1">
        <f>car_price_prediction_[[#This Row],[Year2]]</f>
        <v>2014</v>
      </c>
      <c r="D711">
        <v>2014</v>
      </c>
      <c r="E711">
        <f>car_price_prediction_[[#This Row],[Engine Size]]/10</f>
        <v>3.8</v>
      </c>
      <c r="F711">
        <v>38</v>
      </c>
      <c r="G711" s="1" t="s">
        <v>29</v>
      </c>
      <c r="H711" s="1" t="s">
        <v>12</v>
      </c>
      <c r="I711" s="12">
        <f>car_price_prediction_[[#This Row],[Mileage]]/1000</f>
        <v>153.06</v>
      </c>
      <c r="J711" s="5">
        <v>153060</v>
      </c>
      <c r="K711" s="1" t="s">
        <v>17</v>
      </c>
      <c r="L711" s="5">
        <f>car_price_prediction_[[#This Row],[Price]]/100</f>
        <v>83509.42</v>
      </c>
      <c r="M711">
        <v>8350942</v>
      </c>
      <c r="N711" s="1" t="s">
        <v>53</v>
      </c>
      <c r="O711" s="1">
        <f>IF(IFERROR(VLOOKUP(car_price_prediction_[[#This Row],[Car ID]],A712:A3211,1,FALSE),0),1,0)</f>
        <v>0</v>
      </c>
    </row>
    <row r="712" spans="1:15" x14ac:dyDescent="0.25">
      <c r="A712">
        <v>711</v>
      </c>
      <c r="B712" s="1" t="s">
        <v>30</v>
      </c>
      <c r="C712" s="1">
        <f>car_price_prediction_[[#This Row],[Year2]]</f>
        <v>2007</v>
      </c>
      <c r="D712">
        <v>2007</v>
      </c>
      <c r="E712">
        <f>car_price_prediction_[[#This Row],[Engine Size]]/10</f>
        <v>4.3</v>
      </c>
      <c r="F712">
        <v>43</v>
      </c>
      <c r="G712" s="1" t="s">
        <v>11</v>
      </c>
      <c r="H712" s="1" t="s">
        <v>12</v>
      </c>
      <c r="I712" s="12">
        <f>car_price_prediction_[[#This Row],[Mileage]]/1000</f>
        <v>221.51599999999999</v>
      </c>
      <c r="J712" s="5">
        <v>221516</v>
      </c>
      <c r="K712" s="1" t="s">
        <v>17</v>
      </c>
      <c r="L712" s="5">
        <f>car_price_prediction_[[#This Row],[Price]]/100</f>
        <v>59761.79</v>
      </c>
      <c r="M712">
        <v>5976179</v>
      </c>
      <c r="N712" s="1" t="s">
        <v>42</v>
      </c>
      <c r="O712" s="1">
        <f>IF(IFERROR(VLOOKUP(car_price_prediction_[[#This Row],[Car ID]],A713:A3212,1,FALSE),0),1,0)</f>
        <v>0</v>
      </c>
    </row>
    <row r="713" spans="1:15" x14ac:dyDescent="0.25">
      <c r="A713">
        <v>712</v>
      </c>
      <c r="B713" s="1" t="s">
        <v>10</v>
      </c>
      <c r="C713" s="1">
        <f>car_price_prediction_[[#This Row],[Year2]]</f>
        <v>2009</v>
      </c>
      <c r="D713">
        <v>2009</v>
      </c>
      <c r="E713">
        <f>car_price_prediction_[[#This Row],[Engine Size]]/10</f>
        <v>5.5</v>
      </c>
      <c r="F713">
        <v>55</v>
      </c>
      <c r="G713" s="1" t="s">
        <v>16</v>
      </c>
      <c r="H713" s="1" t="s">
        <v>22</v>
      </c>
      <c r="I713" s="12">
        <f>car_price_prediction_[[#This Row],[Mileage]]/1000</f>
        <v>136.74600000000001</v>
      </c>
      <c r="J713" s="5">
        <v>136746</v>
      </c>
      <c r="K713" s="1" t="s">
        <v>13</v>
      </c>
      <c r="L713" s="5">
        <f>car_price_prediction_[[#This Row],[Price]]/100</f>
        <v>88038.24</v>
      </c>
      <c r="M713">
        <v>8803824</v>
      </c>
      <c r="N713" s="1" t="s">
        <v>23</v>
      </c>
      <c r="O713" s="1">
        <f>IF(IFERROR(VLOOKUP(car_price_prediction_[[#This Row],[Car ID]],A714:A3213,1,FALSE),0),1,0)</f>
        <v>0</v>
      </c>
    </row>
    <row r="714" spans="1:15" x14ac:dyDescent="0.25">
      <c r="A714">
        <v>713</v>
      </c>
      <c r="B714" s="1" t="s">
        <v>19</v>
      </c>
      <c r="C714" s="1">
        <f>car_price_prediction_[[#This Row],[Year2]]</f>
        <v>2015</v>
      </c>
      <c r="D714">
        <v>2015</v>
      </c>
      <c r="E714">
        <f>car_price_prediction_[[#This Row],[Engine Size]]/10</f>
        <v>3</v>
      </c>
      <c r="F714">
        <v>30</v>
      </c>
      <c r="G714" s="1" t="s">
        <v>16</v>
      </c>
      <c r="H714" s="1" t="s">
        <v>12</v>
      </c>
      <c r="I714" s="12">
        <f>car_price_prediction_[[#This Row],[Mileage]]/1000</f>
        <v>201.61</v>
      </c>
      <c r="J714" s="5">
        <v>201610</v>
      </c>
      <c r="K714" s="1" t="s">
        <v>17</v>
      </c>
      <c r="L714" s="5">
        <f>car_price_prediction_[[#This Row],[Price]]/100</f>
        <v>7349.7</v>
      </c>
      <c r="M714">
        <v>734970</v>
      </c>
      <c r="N714" s="1" t="s">
        <v>20</v>
      </c>
      <c r="O714" s="1">
        <f>IF(IFERROR(VLOOKUP(car_price_prediction_[[#This Row],[Car ID]],A715:A3214,1,FALSE),0),1,0)</f>
        <v>0</v>
      </c>
    </row>
    <row r="715" spans="1:15" x14ac:dyDescent="0.25">
      <c r="A715">
        <v>714</v>
      </c>
      <c r="B715" s="1" t="s">
        <v>19</v>
      </c>
      <c r="C715" s="1">
        <f>car_price_prediction_[[#This Row],[Year2]]</f>
        <v>2007</v>
      </c>
      <c r="D715">
        <v>2007</v>
      </c>
      <c r="E715">
        <f>car_price_prediction_[[#This Row],[Engine Size]]/10</f>
        <v>2.6</v>
      </c>
      <c r="F715">
        <v>26</v>
      </c>
      <c r="G715" s="1" t="s">
        <v>11</v>
      </c>
      <c r="H715" s="1" t="s">
        <v>22</v>
      </c>
      <c r="I715" s="12">
        <f>car_price_prediction_[[#This Row],[Mileage]]/1000</f>
        <v>66.445999999999998</v>
      </c>
      <c r="J715" s="5">
        <v>66446</v>
      </c>
      <c r="K715" s="1" t="s">
        <v>17</v>
      </c>
      <c r="L715" s="5">
        <f>car_price_prediction_[[#This Row],[Price]]/100</f>
        <v>66073.98</v>
      </c>
      <c r="M715">
        <v>6607398</v>
      </c>
      <c r="N715" s="1" t="s">
        <v>38</v>
      </c>
      <c r="O715" s="1">
        <f>IF(IFERROR(VLOOKUP(car_price_prediction_[[#This Row],[Car ID]],A716:A3215,1,FALSE),0),1,0)</f>
        <v>0</v>
      </c>
    </row>
    <row r="716" spans="1:15" x14ac:dyDescent="0.25">
      <c r="A716">
        <v>715</v>
      </c>
      <c r="B716" s="1" t="s">
        <v>24</v>
      </c>
      <c r="C716" s="1">
        <f>car_price_prediction_[[#This Row],[Year2]]</f>
        <v>2000</v>
      </c>
      <c r="D716">
        <v>2000</v>
      </c>
      <c r="E716">
        <f>car_price_prediction_[[#This Row],[Engine Size]]/10</f>
        <v>1.1000000000000001</v>
      </c>
      <c r="F716">
        <v>11</v>
      </c>
      <c r="G716" s="1" t="s">
        <v>21</v>
      </c>
      <c r="H716" s="1" t="s">
        <v>22</v>
      </c>
      <c r="I716" s="12">
        <f>car_price_prediction_[[#This Row],[Mileage]]/1000</f>
        <v>29.071999999999999</v>
      </c>
      <c r="J716" s="5">
        <v>29072</v>
      </c>
      <c r="K716" s="1" t="s">
        <v>17</v>
      </c>
      <c r="L716" s="5">
        <f>car_price_prediction_[[#This Row],[Price]]/100</f>
        <v>58686.65</v>
      </c>
      <c r="M716">
        <v>5868665</v>
      </c>
      <c r="N716" s="1" t="s">
        <v>26</v>
      </c>
      <c r="O716" s="1">
        <f>IF(IFERROR(VLOOKUP(car_price_prediction_[[#This Row],[Car ID]],A717:A3216,1,FALSE),0),1,0)</f>
        <v>0</v>
      </c>
    </row>
    <row r="717" spans="1:15" x14ac:dyDescent="0.25">
      <c r="A717">
        <v>716</v>
      </c>
      <c r="B717" s="1" t="s">
        <v>15</v>
      </c>
      <c r="C717" s="1">
        <f>car_price_prediction_[[#This Row],[Year2]]</f>
        <v>2011</v>
      </c>
      <c r="D717">
        <v>2011</v>
      </c>
      <c r="E717">
        <f>car_price_prediction_[[#This Row],[Engine Size]]/10</f>
        <v>5.0999999999999996</v>
      </c>
      <c r="F717">
        <v>51</v>
      </c>
      <c r="G717" s="1" t="s">
        <v>29</v>
      </c>
      <c r="H717" s="1" t="s">
        <v>12</v>
      </c>
      <c r="I717" s="12">
        <f>car_price_prediction_[[#This Row],[Mileage]]/1000</f>
        <v>33.716999999999999</v>
      </c>
      <c r="J717" s="5">
        <v>33717</v>
      </c>
      <c r="K717" s="1" t="s">
        <v>17</v>
      </c>
      <c r="L717" s="5">
        <f>car_price_prediction_[[#This Row],[Price]]/100</f>
        <v>7368.22</v>
      </c>
      <c r="M717">
        <v>736822</v>
      </c>
      <c r="N717" s="1" t="s">
        <v>51</v>
      </c>
      <c r="O717" s="1">
        <f>IF(IFERROR(VLOOKUP(car_price_prediction_[[#This Row],[Car ID]],A718:A3217,1,FALSE),0),1,0)</f>
        <v>0</v>
      </c>
    </row>
    <row r="718" spans="1:15" x14ac:dyDescent="0.25">
      <c r="A718">
        <v>717</v>
      </c>
      <c r="B718" s="1" t="s">
        <v>43</v>
      </c>
      <c r="C718" s="1">
        <f>car_price_prediction_[[#This Row],[Year2]]</f>
        <v>2004</v>
      </c>
      <c r="D718">
        <v>2004</v>
      </c>
      <c r="E718">
        <f>car_price_prediction_[[#This Row],[Engine Size]]/10</f>
        <v>5</v>
      </c>
      <c r="F718">
        <v>50</v>
      </c>
      <c r="G718" s="1" t="s">
        <v>11</v>
      </c>
      <c r="H718" s="1" t="s">
        <v>22</v>
      </c>
      <c r="I718" s="12">
        <f>car_price_prediction_[[#This Row],[Mileage]]/1000</f>
        <v>218.417</v>
      </c>
      <c r="J718" s="5">
        <v>218417</v>
      </c>
      <c r="K718" s="1" t="s">
        <v>13</v>
      </c>
      <c r="L718" s="5">
        <f>car_price_prediction_[[#This Row],[Price]]/100</f>
        <v>44867.12</v>
      </c>
      <c r="M718">
        <v>4486712</v>
      </c>
      <c r="N718" s="1" t="s">
        <v>50</v>
      </c>
      <c r="O718" s="1">
        <f>IF(IFERROR(VLOOKUP(car_price_prediction_[[#This Row],[Car ID]],A719:A3218,1,FALSE),0),1,0)</f>
        <v>0</v>
      </c>
    </row>
    <row r="719" spans="1:15" x14ac:dyDescent="0.25">
      <c r="A719">
        <v>718</v>
      </c>
      <c r="B719" s="1" t="s">
        <v>15</v>
      </c>
      <c r="C719" s="1">
        <f>car_price_prediction_[[#This Row],[Year2]]</f>
        <v>2002</v>
      </c>
      <c r="D719">
        <v>2002</v>
      </c>
      <c r="E719">
        <f>car_price_prediction_[[#This Row],[Engine Size]]/10</f>
        <v>1.5</v>
      </c>
      <c r="F719">
        <v>15</v>
      </c>
      <c r="G719" s="1" t="s">
        <v>11</v>
      </c>
      <c r="H719" s="1" t="s">
        <v>22</v>
      </c>
      <c r="I719" s="12">
        <f>car_price_prediction_[[#This Row],[Mileage]]/1000</f>
        <v>157.72300000000001</v>
      </c>
      <c r="J719" s="5">
        <v>157723</v>
      </c>
      <c r="K719" s="1" t="s">
        <v>25</v>
      </c>
      <c r="L719" s="5">
        <f>car_price_prediction_[[#This Row],[Price]]/100</f>
        <v>14174.78</v>
      </c>
      <c r="M719">
        <v>1417478</v>
      </c>
      <c r="N719" s="1" t="s">
        <v>35</v>
      </c>
      <c r="O719" s="1">
        <f>IF(IFERROR(VLOOKUP(car_price_prediction_[[#This Row],[Car ID]],A720:A3219,1,FALSE),0),1,0)</f>
        <v>0</v>
      </c>
    </row>
    <row r="720" spans="1:15" x14ac:dyDescent="0.25">
      <c r="A720">
        <v>719</v>
      </c>
      <c r="B720" s="1" t="s">
        <v>24</v>
      </c>
      <c r="C720" s="1">
        <f>car_price_prediction_[[#This Row],[Year2]]</f>
        <v>2000</v>
      </c>
      <c r="D720">
        <v>2000</v>
      </c>
      <c r="E720">
        <f>car_price_prediction_[[#This Row],[Engine Size]]/10</f>
        <v>3.9</v>
      </c>
      <c r="F720">
        <v>39</v>
      </c>
      <c r="G720" s="1" t="s">
        <v>16</v>
      </c>
      <c r="H720" s="1" t="s">
        <v>22</v>
      </c>
      <c r="I720" s="12">
        <f>car_price_prediction_[[#This Row],[Mileage]]/1000</f>
        <v>109.52500000000001</v>
      </c>
      <c r="J720" s="5">
        <v>109525</v>
      </c>
      <c r="K720" s="1" t="s">
        <v>25</v>
      </c>
      <c r="L720" s="5">
        <f>car_price_prediction_[[#This Row],[Price]]/100</f>
        <v>8798.68</v>
      </c>
      <c r="M720">
        <v>879868</v>
      </c>
      <c r="N720" s="1" t="s">
        <v>53</v>
      </c>
      <c r="O720" s="1">
        <f>IF(IFERROR(VLOOKUP(car_price_prediction_[[#This Row],[Car ID]],A721:A3220,1,FALSE),0),1,0)</f>
        <v>0</v>
      </c>
    </row>
    <row r="721" spans="1:15" x14ac:dyDescent="0.25">
      <c r="A721">
        <v>720</v>
      </c>
      <c r="B721" s="1" t="s">
        <v>19</v>
      </c>
      <c r="C721" s="1">
        <f>car_price_prediction_[[#This Row],[Year2]]</f>
        <v>2003</v>
      </c>
      <c r="D721">
        <v>2003</v>
      </c>
      <c r="E721">
        <f>car_price_prediction_[[#This Row],[Engine Size]]/10</f>
        <v>3.3</v>
      </c>
      <c r="F721">
        <v>33</v>
      </c>
      <c r="G721" s="1" t="s">
        <v>29</v>
      </c>
      <c r="H721" s="1" t="s">
        <v>22</v>
      </c>
      <c r="I721" s="12">
        <f>car_price_prediction_[[#This Row],[Mileage]]/1000</f>
        <v>213.09200000000001</v>
      </c>
      <c r="J721" s="5">
        <v>213092</v>
      </c>
      <c r="K721" s="1" t="s">
        <v>17</v>
      </c>
      <c r="L721" s="5">
        <f>car_price_prediction_[[#This Row],[Price]]/100</f>
        <v>50507.25</v>
      </c>
      <c r="M721">
        <v>5050725</v>
      </c>
      <c r="N721" s="1" t="s">
        <v>27</v>
      </c>
      <c r="O721" s="1">
        <f>IF(IFERROR(VLOOKUP(car_price_prediction_[[#This Row],[Car ID]],A722:A3221,1,FALSE),0),1,0)</f>
        <v>0</v>
      </c>
    </row>
    <row r="722" spans="1:15" x14ac:dyDescent="0.25">
      <c r="A722">
        <v>721</v>
      </c>
      <c r="B722" s="1" t="s">
        <v>15</v>
      </c>
      <c r="C722" s="1">
        <f>car_price_prediction_[[#This Row],[Year2]]</f>
        <v>2007</v>
      </c>
      <c r="D722">
        <v>2007</v>
      </c>
      <c r="E722">
        <f>car_price_prediction_[[#This Row],[Engine Size]]/10</f>
        <v>1.6</v>
      </c>
      <c r="F722">
        <v>16</v>
      </c>
      <c r="G722" s="1" t="s">
        <v>16</v>
      </c>
      <c r="H722" s="1" t="s">
        <v>22</v>
      </c>
      <c r="I722" s="12">
        <f>car_price_prediction_[[#This Row],[Mileage]]/1000</f>
        <v>4.6459999999999999</v>
      </c>
      <c r="J722" s="5">
        <v>4646</v>
      </c>
      <c r="K722" s="1" t="s">
        <v>17</v>
      </c>
      <c r="L722" s="5">
        <f>car_price_prediction_[[#This Row],[Price]]/100</f>
        <v>6193.27</v>
      </c>
      <c r="M722">
        <v>619327</v>
      </c>
      <c r="N722" s="1" t="s">
        <v>51</v>
      </c>
      <c r="O722" s="1">
        <f>IF(IFERROR(VLOOKUP(car_price_prediction_[[#This Row],[Car ID]],A723:A3222,1,FALSE),0),1,0)</f>
        <v>0</v>
      </c>
    </row>
    <row r="723" spans="1:15" x14ac:dyDescent="0.25">
      <c r="A723">
        <v>722</v>
      </c>
      <c r="B723" s="1" t="s">
        <v>19</v>
      </c>
      <c r="C723" s="1">
        <f>car_price_prediction_[[#This Row],[Year2]]</f>
        <v>2002</v>
      </c>
      <c r="D723">
        <v>2002</v>
      </c>
      <c r="E723">
        <f>car_price_prediction_[[#This Row],[Engine Size]]/10</f>
        <v>5.9</v>
      </c>
      <c r="F723">
        <v>59</v>
      </c>
      <c r="G723" s="1" t="s">
        <v>11</v>
      </c>
      <c r="H723" s="1" t="s">
        <v>22</v>
      </c>
      <c r="I723" s="12">
        <f>car_price_prediction_[[#This Row],[Mileage]]/1000</f>
        <v>175.40299999999999</v>
      </c>
      <c r="J723" s="5">
        <v>175403</v>
      </c>
      <c r="K723" s="1" t="s">
        <v>17</v>
      </c>
      <c r="L723" s="5">
        <f>car_price_prediction_[[#This Row],[Price]]/100</f>
        <v>12490.66</v>
      </c>
      <c r="M723">
        <v>1249066</v>
      </c>
      <c r="N723" s="1" t="s">
        <v>38</v>
      </c>
      <c r="O723" s="1">
        <f>IF(IFERROR(VLOOKUP(car_price_prediction_[[#This Row],[Car ID]],A724:A3223,1,FALSE),0),1,0)</f>
        <v>0</v>
      </c>
    </row>
    <row r="724" spans="1:15" x14ac:dyDescent="0.25">
      <c r="A724">
        <v>723</v>
      </c>
      <c r="B724" s="1" t="s">
        <v>10</v>
      </c>
      <c r="C724" s="1">
        <f>car_price_prediction_[[#This Row],[Year2]]</f>
        <v>2009</v>
      </c>
      <c r="D724">
        <v>2009</v>
      </c>
      <c r="E724">
        <f>car_price_prediction_[[#This Row],[Engine Size]]/10</f>
        <v>2.1</v>
      </c>
      <c r="F724">
        <v>21</v>
      </c>
      <c r="G724" s="1" t="s">
        <v>21</v>
      </c>
      <c r="H724" s="1" t="s">
        <v>22</v>
      </c>
      <c r="I724" s="12">
        <f>car_price_prediction_[[#This Row],[Mileage]]/1000</f>
        <v>284.32900000000001</v>
      </c>
      <c r="J724" s="5">
        <v>284329</v>
      </c>
      <c r="K724" s="1" t="s">
        <v>13</v>
      </c>
      <c r="L724" s="5">
        <f>car_price_prediction_[[#This Row],[Price]]/100</f>
        <v>32255.84</v>
      </c>
      <c r="M724">
        <v>3225584</v>
      </c>
      <c r="N724" s="1" t="s">
        <v>49</v>
      </c>
      <c r="O724" s="1">
        <f>IF(IFERROR(VLOOKUP(car_price_prediction_[[#This Row],[Car ID]],A725:A3224,1,FALSE),0),1,0)</f>
        <v>0</v>
      </c>
    </row>
    <row r="725" spans="1:15" x14ac:dyDescent="0.25">
      <c r="A725">
        <v>724</v>
      </c>
      <c r="B725" s="1" t="s">
        <v>43</v>
      </c>
      <c r="C725" s="1">
        <f>car_price_prediction_[[#This Row],[Year2]]</f>
        <v>2001</v>
      </c>
      <c r="D725">
        <v>2001</v>
      </c>
      <c r="E725">
        <f>car_price_prediction_[[#This Row],[Engine Size]]/10</f>
        <v>1.3</v>
      </c>
      <c r="F725">
        <v>13</v>
      </c>
      <c r="G725" s="1" t="s">
        <v>29</v>
      </c>
      <c r="H725" s="1" t="s">
        <v>12</v>
      </c>
      <c r="I725" s="12">
        <f>car_price_prediction_[[#This Row],[Mileage]]/1000</f>
        <v>229.72800000000001</v>
      </c>
      <c r="J725" s="5">
        <v>229728</v>
      </c>
      <c r="K725" s="1" t="s">
        <v>17</v>
      </c>
      <c r="L725" s="5">
        <f>car_price_prediction_[[#This Row],[Price]]/100</f>
        <v>35593.06</v>
      </c>
      <c r="M725">
        <v>3559306</v>
      </c>
      <c r="N725" s="1" t="s">
        <v>47</v>
      </c>
      <c r="O725" s="1">
        <f>IF(IFERROR(VLOOKUP(car_price_prediction_[[#This Row],[Car ID]],A726:A3225,1,FALSE),0),1,0)</f>
        <v>0</v>
      </c>
    </row>
    <row r="726" spans="1:15" x14ac:dyDescent="0.25">
      <c r="A726">
        <v>725</v>
      </c>
      <c r="B726" s="1" t="s">
        <v>10</v>
      </c>
      <c r="C726" s="1">
        <f>car_price_prediction_[[#This Row],[Year2]]</f>
        <v>2010</v>
      </c>
      <c r="D726">
        <v>2010</v>
      </c>
      <c r="E726">
        <f>car_price_prediction_[[#This Row],[Engine Size]]/10</f>
        <v>4</v>
      </c>
      <c r="F726">
        <v>40</v>
      </c>
      <c r="G726" s="1" t="s">
        <v>11</v>
      </c>
      <c r="H726" s="1" t="s">
        <v>12</v>
      </c>
      <c r="I726" s="12">
        <f>car_price_prediction_[[#This Row],[Mileage]]/1000</f>
        <v>52.106999999999999</v>
      </c>
      <c r="J726" s="5">
        <v>52107</v>
      </c>
      <c r="K726" s="1" t="s">
        <v>13</v>
      </c>
      <c r="L726" s="5">
        <f>car_price_prediction_[[#This Row],[Price]]/100</f>
        <v>58465.58</v>
      </c>
      <c r="M726">
        <v>5846558</v>
      </c>
      <c r="N726" s="1" t="s">
        <v>23</v>
      </c>
      <c r="O726" s="1">
        <f>IF(IFERROR(VLOOKUP(car_price_prediction_[[#This Row],[Car ID]],A727:A3226,1,FALSE),0),1,0)</f>
        <v>0</v>
      </c>
    </row>
    <row r="727" spans="1:15" x14ac:dyDescent="0.25">
      <c r="A727">
        <v>726</v>
      </c>
      <c r="B727" s="1" t="s">
        <v>19</v>
      </c>
      <c r="C727" s="1">
        <f>car_price_prediction_[[#This Row],[Year2]]</f>
        <v>2009</v>
      </c>
      <c r="D727">
        <v>2009</v>
      </c>
      <c r="E727">
        <f>car_price_prediction_[[#This Row],[Engine Size]]/10</f>
        <v>4.7</v>
      </c>
      <c r="F727">
        <v>47</v>
      </c>
      <c r="G727" s="1" t="s">
        <v>11</v>
      </c>
      <c r="H727" s="1" t="s">
        <v>22</v>
      </c>
      <c r="I727" s="12">
        <f>car_price_prediction_[[#This Row],[Mileage]]/1000</f>
        <v>244.86500000000001</v>
      </c>
      <c r="J727" s="5">
        <v>244865</v>
      </c>
      <c r="K727" s="1" t="s">
        <v>17</v>
      </c>
      <c r="L727" s="5">
        <f>car_price_prediction_[[#This Row],[Price]]/100</f>
        <v>31455.83</v>
      </c>
      <c r="M727">
        <v>3145583</v>
      </c>
      <c r="N727" s="1" t="s">
        <v>28</v>
      </c>
      <c r="O727" s="1">
        <f>IF(IFERROR(VLOOKUP(car_price_prediction_[[#This Row],[Car ID]],A728:A3227,1,FALSE),0),1,0)</f>
        <v>0</v>
      </c>
    </row>
    <row r="728" spans="1:15" x14ac:dyDescent="0.25">
      <c r="A728">
        <v>727</v>
      </c>
      <c r="B728" s="1" t="s">
        <v>19</v>
      </c>
      <c r="C728" s="1">
        <f>car_price_prediction_[[#This Row],[Year2]]</f>
        <v>2020</v>
      </c>
      <c r="D728">
        <v>2020</v>
      </c>
      <c r="E728">
        <f>car_price_prediction_[[#This Row],[Engine Size]]/10</f>
        <v>1.2</v>
      </c>
      <c r="F728">
        <v>12</v>
      </c>
      <c r="G728" s="1" t="s">
        <v>21</v>
      </c>
      <c r="H728" s="1" t="s">
        <v>22</v>
      </c>
      <c r="I728" s="12">
        <f>car_price_prediction_[[#This Row],[Mileage]]/1000</f>
        <v>279.70699999999999</v>
      </c>
      <c r="J728" s="5">
        <v>279707</v>
      </c>
      <c r="K728" s="1" t="s">
        <v>17</v>
      </c>
      <c r="L728" s="5">
        <f>car_price_prediction_[[#This Row],[Price]]/100</f>
        <v>14086.62</v>
      </c>
      <c r="M728">
        <v>1408662</v>
      </c>
      <c r="N728" s="1" t="s">
        <v>38</v>
      </c>
      <c r="O728" s="1">
        <f>IF(IFERROR(VLOOKUP(car_price_prediction_[[#This Row],[Car ID]],A729:A3228,1,FALSE),0),1,0)</f>
        <v>0</v>
      </c>
    </row>
    <row r="729" spans="1:15" x14ac:dyDescent="0.25">
      <c r="A729">
        <v>728</v>
      </c>
      <c r="B729" s="1" t="s">
        <v>30</v>
      </c>
      <c r="C729" s="1">
        <f>car_price_prediction_[[#This Row],[Year2]]</f>
        <v>2013</v>
      </c>
      <c r="D729">
        <v>2013</v>
      </c>
      <c r="E729">
        <f>car_price_prediction_[[#This Row],[Engine Size]]/10</f>
        <v>4.3</v>
      </c>
      <c r="F729">
        <v>43</v>
      </c>
      <c r="G729" s="1" t="s">
        <v>11</v>
      </c>
      <c r="H729" s="1" t="s">
        <v>12</v>
      </c>
      <c r="I729" s="12">
        <f>car_price_prediction_[[#This Row],[Mileage]]/1000</f>
        <v>70.728999999999999</v>
      </c>
      <c r="J729" s="5">
        <v>70729</v>
      </c>
      <c r="K729" s="1" t="s">
        <v>25</v>
      </c>
      <c r="L729" s="5">
        <f>car_price_prediction_[[#This Row],[Price]]/100</f>
        <v>20661.39</v>
      </c>
      <c r="M729">
        <v>2066139</v>
      </c>
      <c r="N729" s="1" t="s">
        <v>45</v>
      </c>
      <c r="O729" s="1">
        <f>IF(IFERROR(VLOOKUP(car_price_prediction_[[#This Row],[Car ID]],A730:A3229,1,FALSE),0),1,0)</f>
        <v>0</v>
      </c>
    </row>
    <row r="730" spans="1:15" x14ac:dyDescent="0.25">
      <c r="A730">
        <v>729</v>
      </c>
      <c r="B730" s="1" t="s">
        <v>30</v>
      </c>
      <c r="C730" s="1">
        <f>car_price_prediction_[[#This Row],[Year2]]</f>
        <v>2006</v>
      </c>
      <c r="D730">
        <v>2006</v>
      </c>
      <c r="E730">
        <f>car_price_prediction_[[#This Row],[Engine Size]]/10</f>
        <v>3.7</v>
      </c>
      <c r="F730">
        <v>37</v>
      </c>
      <c r="G730" s="1" t="s">
        <v>11</v>
      </c>
      <c r="H730" s="1" t="s">
        <v>12</v>
      </c>
      <c r="I730" s="12">
        <f>car_price_prediction_[[#This Row],[Mileage]]/1000</f>
        <v>277.84500000000003</v>
      </c>
      <c r="J730" s="5">
        <v>277845</v>
      </c>
      <c r="K730" s="1" t="s">
        <v>17</v>
      </c>
      <c r="L730" s="5">
        <f>car_price_prediction_[[#This Row],[Price]]/100</f>
        <v>21525.040000000001</v>
      </c>
      <c r="M730">
        <v>2152504</v>
      </c>
      <c r="N730" s="1" t="s">
        <v>31</v>
      </c>
      <c r="O730" s="1">
        <f>IF(IFERROR(VLOOKUP(car_price_prediction_[[#This Row],[Car ID]],A731:A3230,1,FALSE),0),1,0)</f>
        <v>0</v>
      </c>
    </row>
    <row r="731" spans="1:15" x14ac:dyDescent="0.25">
      <c r="A731">
        <v>730</v>
      </c>
      <c r="B731" s="1" t="s">
        <v>10</v>
      </c>
      <c r="C731" s="1">
        <f>car_price_prediction_[[#This Row],[Year2]]</f>
        <v>2001</v>
      </c>
      <c r="D731">
        <v>2001</v>
      </c>
      <c r="E731">
        <f>car_price_prediction_[[#This Row],[Engine Size]]/10</f>
        <v>1.5</v>
      </c>
      <c r="F731">
        <v>15</v>
      </c>
      <c r="G731" s="1" t="s">
        <v>29</v>
      </c>
      <c r="H731" s="1" t="s">
        <v>12</v>
      </c>
      <c r="I731" s="12">
        <f>car_price_prediction_[[#This Row],[Mileage]]/1000</f>
        <v>200.14400000000001</v>
      </c>
      <c r="J731" s="5">
        <v>200144</v>
      </c>
      <c r="K731" s="1" t="s">
        <v>13</v>
      </c>
      <c r="L731" s="5">
        <f>car_price_prediction_[[#This Row],[Price]]/100</f>
        <v>85056.02</v>
      </c>
      <c r="M731">
        <v>8505602</v>
      </c>
      <c r="N731" s="1" t="s">
        <v>49</v>
      </c>
      <c r="O731" s="1">
        <f>IF(IFERROR(VLOOKUP(car_price_prediction_[[#This Row],[Car ID]],A732:A3231,1,FALSE),0),1,0)</f>
        <v>0</v>
      </c>
    </row>
    <row r="732" spans="1:15" x14ac:dyDescent="0.25">
      <c r="A732">
        <v>731</v>
      </c>
      <c r="B732" s="1" t="s">
        <v>36</v>
      </c>
      <c r="C732" s="1">
        <f>car_price_prediction_[[#This Row],[Year2]]</f>
        <v>2008</v>
      </c>
      <c r="D732">
        <v>2008</v>
      </c>
      <c r="E732">
        <f>car_price_prediction_[[#This Row],[Engine Size]]/10</f>
        <v>1.9</v>
      </c>
      <c r="F732">
        <v>19</v>
      </c>
      <c r="G732" s="1" t="s">
        <v>29</v>
      </c>
      <c r="H732" s="1" t="s">
        <v>12</v>
      </c>
      <c r="I732" s="12">
        <f>car_price_prediction_[[#This Row],[Mileage]]/1000</f>
        <v>215.494</v>
      </c>
      <c r="J732" s="5">
        <v>215494</v>
      </c>
      <c r="K732" s="1" t="s">
        <v>25</v>
      </c>
      <c r="L732" s="5">
        <f>car_price_prediction_[[#This Row],[Price]]/100</f>
        <v>32010.37</v>
      </c>
      <c r="M732">
        <v>3201037</v>
      </c>
      <c r="N732" s="1" t="s">
        <v>46</v>
      </c>
      <c r="O732" s="1">
        <f>IF(IFERROR(VLOOKUP(car_price_prediction_[[#This Row],[Car ID]],A733:A3232,1,FALSE),0),1,0)</f>
        <v>0</v>
      </c>
    </row>
    <row r="733" spans="1:15" x14ac:dyDescent="0.25">
      <c r="A733">
        <v>732</v>
      </c>
      <c r="B733" s="1" t="s">
        <v>10</v>
      </c>
      <c r="C733" s="1">
        <f>car_price_prediction_[[#This Row],[Year2]]</f>
        <v>2015</v>
      </c>
      <c r="D733">
        <v>2015</v>
      </c>
      <c r="E733">
        <f>car_price_prediction_[[#This Row],[Engine Size]]/10</f>
        <v>3.8</v>
      </c>
      <c r="F733">
        <v>38</v>
      </c>
      <c r="G733" s="1" t="s">
        <v>29</v>
      </c>
      <c r="H733" s="1" t="s">
        <v>22</v>
      </c>
      <c r="I733" s="12">
        <f>car_price_prediction_[[#This Row],[Mileage]]/1000</f>
        <v>252.61500000000001</v>
      </c>
      <c r="J733" s="5">
        <v>252615</v>
      </c>
      <c r="K733" s="1" t="s">
        <v>13</v>
      </c>
      <c r="L733" s="5">
        <f>car_price_prediction_[[#This Row],[Price]]/100</f>
        <v>72895.710000000006</v>
      </c>
      <c r="M733">
        <v>7289571</v>
      </c>
      <c r="N733" s="1" t="s">
        <v>14</v>
      </c>
      <c r="O733" s="1">
        <f>IF(IFERROR(VLOOKUP(car_price_prediction_[[#This Row],[Car ID]],A734:A3233,1,FALSE),0),1,0)</f>
        <v>0</v>
      </c>
    </row>
    <row r="734" spans="1:15" x14ac:dyDescent="0.25">
      <c r="A734">
        <v>733</v>
      </c>
      <c r="B734" s="1" t="s">
        <v>30</v>
      </c>
      <c r="C734" s="1">
        <f>car_price_prediction_[[#This Row],[Year2]]</f>
        <v>2012</v>
      </c>
      <c r="D734">
        <v>2012</v>
      </c>
      <c r="E734">
        <f>car_price_prediction_[[#This Row],[Engine Size]]/10</f>
        <v>2.5</v>
      </c>
      <c r="F734">
        <v>25</v>
      </c>
      <c r="G734" s="1" t="s">
        <v>16</v>
      </c>
      <c r="H734" s="1" t="s">
        <v>22</v>
      </c>
      <c r="I734" s="12">
        <f>car_price_prediction_[[#This Row],[Mileage]]/1000</f>
        <v>128.33099999999999</v>
      </c>
      <c r="J734" s="5">
        <v>128331</v>
      </c>
      <c r="K734" s="1" t="s">
        <v>25</v>
      </c>
      <c r="L734" s="5">
        <f>car_price_prediction_[[#This Row],[Price]]/100</f>
        <v>58944.68</v>
      </c>
      <c r="M734">
        <v>5894468</v>
      </c>
      <c r="N734" s="1" t="s">
        <v>48</v>
      </c>
      <c r="O734" s="1">
        <f>IF(IFERROR(VLOOKUP(car_price_prediction_[[#This Row],[Car ID]],A735:A3234,1,FALSE),0),1,0)</f>
        <v>0</v>
      </c>
    </row>
    <row r="735" spans="1:15" x14ac:dyDescent="0.25">
      <c r="A735">
        <v>734</v>
      </c>
      <c r="B735" s="1" t="s">
        <v>19</v>
      </c>
      <c r="C735" s="1">
        <f>car_price_prediction_[[#This Row],[Year2]]</f>
        <v>2008</v>
      </c>
      <c r="D735">
        <v>2008</v>
      </c>
      <c r="E735">
        <f>car_price_prediction_[[#This Row],[Engine Size]]/10</f>
        <v>5.7</v>
      </c>
      <c r="F735">
        <v>57</v>
      </c>
      <c r="G735" s="1" t="s">
        <v>21</v>
      </c>
      <c r="H735" s="1" t="s">
        <v>12</v>
      </c>
      <c r="I735" s="12">
        <f>car_price_prediction_[[#This Row],[Mileage]]/1000</f>
        <v>160.482</v>
      </c>
      <c r="J735" s="5">
        <v>160482</v>
      </c>
      <c r="K735" s="1" t="s">
        <v>13</v>
      </c>
      <c r="L735" s="5">
        <f>car_price_prediction_[[#This Row],[Price]]/100</f>
        <v>97818.68</v>
      </c>
      <c r="M735">
        <v>9781868</v>
      </c>
      <c r="N735" s="1" t="s">
        <v>20</v>
      </c>
      <c r="O735" s="1">
        <f>IF(IFERROR(VLOOKUP(car_price_prediction_[[#This Row],[Car ID]],A736:A3235,1,FALSE),0),1,0)</f>
        <v>0</v>
      </c>
    </row>
    <row r="736" spans="1:15" x14ac:dyDescent="0.25">
      <c r="A736">
        <v>735</v>
      </c>
      <c r="B736" s="1" t="s">
        <v>24</v>
      </c>
      <c r="C736" s="1">
        <f>car_price_prediction_[[#This Row],[Year2]]</f>
        <v>2019</v>
      </c>
      <c r="D736">
        <v>2019</v>
      </c>
      <c r="E736">
        <f>car_price_prediction_[[#This Row],[Engine Size]]/10</f>
        <v>5.0999999999999996</v>
      </c>
      <c r="F736">
        <v>51</v>
      </c>
      <c r="G736" s="1" t="s">
        <v>29</v>
      </c>
      <c r="H736" s="1" t="s">
        <v>12</v>
      </c>
      <c r="I736" s="12">
        <f>car_price_prediction_[[#This Row],[Mileage]]/1000</f>
        <v>99.28</v>
      </c>
      <c r="J736" s="5">
        <v>99280</v>
      </c>
      <c r="K736" s="1" t="s">
        <v>25</v>
      </c>
      <c r="L736" s="5">
        <f>car_price_prediction_[[#This Row],[Price]]/100</f>
        <v>30918.15</v>
      </c>
      <c r="M736">
        <v>3091815</v>
      </c>
      <c r="N736" s="1" t="s">
        <v>34</v>
      </c>
      <c r="O736" s="1">
        <f>IF(IFERROR(VLOOKUP(car_price_prediction_[[#This Row],[Car ID]],A737:A3236,1,FALSE),0),1,0)</f>
        <v>0</v>
      </c>
    </row>
    <row r="737" spans="1:15" x14ac:dyDescent="0.25">
      <c r="A737">
        <v>736</v>
      </c>
      <c r="B737" s="1" t="s">
        <v>10</v>
      </c>
      <c r="C737" s="1">
        <f>car_price_prediction_[[#This Row],[Year2]]</f>
        <v>2003</v>
      </c>
      <c r="D737">
        <v>2003</v>
      </c>
      <c r="E737">
        <f>car_price_prediction_[[#This Row],[Engine Size]]/10</f>
        <v>5.9</v>
      </c>
      <c r="F737">
        <v>59</v>
      </c>
      <c r="G737" s="1" t="s">
        <v>16</v>
      </c>
      <c r="H737" s="1" t="s">
        <v>12</v>
      </c>
      <c r="I737" s="12">
        <f>car_price_prediction_[[#This Row],[Mileage]]/1000</f>
        <v>189.78700000000001</v>
      </c>
      <c r="J737" s="5">
        <v>189787</v>
      </c>
      <c r="K737" s="1" t="s">
        <v>13</v>
      </c>
      <c r="L737" s="5">
        <f>car_price_prediction_[[#This Row],[Price]]/100</f>
        <v>20045.439999999999</v>
      </c>
      <c r="M737">
        <v>2004544</v>
      </c>
      <c r="N737" s="1" t="s">
        <v>49</v>
      </c>
      <c r="O737" s="1">
        <f>IF(IFERROR(VLOOKUP(car_price_prediction_[[#This Row],[Car ID]],A738:A3237,1,FALSE),0),1,0)</f>
        <v>0</v>
      </c>
    </row>
    <row r="738" spans="1:15" x14ac:dyDescent="0.25">
      <c r="A738">
        <v>737</v>
      </c>
      <c r="B738" s="1" t="s">
        <v>19</v>
      </c>
      <c r="C738" s="1">
        <f>car_price_prediction_[[#This Row],[Year2]]</f>
        <v>2021</v>
      </c>
      <c r="D738">
        <v>2021</v>
      </c>
      <c r="E738">
        <f>car_price_prediction_[[#This Row],[Engine Size]]/10</f>
        <v>2.2999999999999998</v>
      </c>
      <c r="F738">
        <v>23</v>
      </c>
      <c r="G738" s="1" t="s">
        <v>16</v>
      </c>
      <c r="H738" s="1" t="s">
        <v>12</v>
      </c>
      <c r="I738" s="12">
        <f>car_price_prediction_[[#This Row],[Mileage]]/1000</f>
        <v>38.664999999999999</v>
      </c>
      <c r="J738" s="5">
        <v>38665</v>
      </c>
      <c r="K738" s="1" t="s">
        <v>13</v>
      </c>
      <c r="L738" s="5">
        <f>car_price_prediction_[[#This Row],[Price]]/100</f>
        <v>9943.59</v>
      </c>
      <c r="M738">
        <v>994359</v>
      </c>
      <c r="N738" s="1" t="s">
        <v>38</v>
      </c>
      <c r="O738" s="1">
        <f>IF(IFERROR(VLOOKUP(car_price_prediction_[[#This Row],[Car ID]],A739:A3238,1,FALSE),0),1,0)</f>
        <v>0</v>
      </c>
    </row>
    <row r="739" spans="1:15" x14ac:dyDescent="0.25">
      <c r="A739">
        <v>738</v>
      </c>
      <c r="B739" s="1" t="s">
        <v>24</v>
      </c>
      <c r="C739" s="1">
        <f>car_price_prediction_[[#This Row],[Year2]]</f>
        <v>2009</v>
      </c>
      <c r="D739">
        <v>2009</v>
      </c>
      <c r="E739">
        <f>car_price_prediction_[[#This Row],[Engine Size]]/10</f>
        <v>5.8</v>
      </c>
      <c r="F739">
        <v>58</v>
      </c>
      <c r="G739" s="1" t="s">
        <v>21</v>
      </c>
      <c r="H739" s="1" t="s">
        <v>22</v>
      </c>
      <c r="I739" s="12">
        <f>car_price_prediction_[[#This Row],[Mileage]]/1000</f>
        <v>278.101</v>
      </c>
      <c r="J739" s="5">
        <v>278101</v>
      </c>
      <c r="K739" s="1" t="s">
        <v>17</v>
      </c>
      <c r="L739" s="5">
        <f>car_price_prediction_[[#This Row],[Price]]/100</f>
        <v>27891.17</v>
      </c>
      <c r="M739">
        <v>2789117</v>
      </c>
      <c r="N739" s="1" t="s">
        <v>32</v>
      </c>
      <c r="O739" s="1">
        <f>IF(IFERROR(VLOOKUP(car_price_prediction_[[#This Row],[Car ID]],A740:A3239,1,FALSE),0),1,0)</f>
        <v>0</v>
      </c>
    </row>
    <row r="740" spans="1:15" x14ac:dyDescent="0.25">
      <c r="A740">
        <v>739</v>
      </c>
      <c r="B740" s="1" t="s">
        <v>24</v>
      </c>
      <c r="C740" s="1">
        <f>car_price_prediction_[[#This Row],[Year2]]</f>
        <v>2021</v>
      </c>
      <c r="D740">
        <v>2021</v>
      </c>
      <c r="E740">
        <f>car_price_prediction_[[#This Row],[Engine Size]]/10</f>
        <v>3.2</v>
      </c>
      <c r="F740">
        <v>32</v>
      </c>
      <c r="G740" s="1" t="s">
        <v>21</v>
      </c>
      <c r="H740" s="1" t="s">
        <v>12</v>
      </c>
      <c r="I740" s="12">
        <f>car_price_prediction_[[#This Row],[Mileage]]/1000</f>
        <v>259.28500000000003</v>
      </c>
      <c r="J740" s="5">
        <v>259285</v>
      </c>
      <c r="K740" s="1" t="s">
        <v>25</v>
      </c>
      <c r="L740" s="5">
        <f>car_price_prediction_[[#This Row],[Price]]/100</f>
        <v>69986.73</v>
      </c>
      <c r="M740">
        <v>6998673</v>
      </c>
      <c r="N740" s="1" t="s">
        <v>53</v>
      </c>
      <c r="O740" s="1">
        <f>IF(IFERROR(VLOOKUP(car_price_prediction_[[#This Row],[Car ID]],A741:A3240,1,FALSE),0),1,0)</f>
        <v>0</v>
      </c>
    </row>
    <row r="741" spans="1:15" x14ac:dyDescent="0.25">
      <c r="A741">
        <v>740</v>
      </c>
      <c r="B741" s="1" t="s">
        <v>30</v>
      </c>
      <c r="C741" s="1">
        <f>car_price_prediction_[[#This Row],[Year2]]</f>
        <v>2011</v>
      </c>
      <c r="D741">
        <v>2011</v>
      </c>
      <c r="E741">
        <f>car_price_prediction_[[#This Row],[Engine Size]]/10</f>
        <v>2.7</v>
      </c>
      <c r="F741">
        <v>27</v>
      </c>
      <c r="G741" s="1" t="s">
        <v>11</v>
      </c>
      <c r="H741" s="1" t="s">
        <v>12</v>
      </c>
      <c r="I741" s="12">
        <f>car_price_prediction_[[#This Row],[Mileage]]/1000</f>
        <v>163.947</v>
      </c>
      <c r="J741" s="5">
        <v>163947</v>
      </c>
      <c r="K741" s="1" t="s">
        <v>25</v>
      </c>
      <c r="L741" s="5">
        <f>car_price_prediction_[[#This Row],[Price]]/100</f>
        <v>13099.53</v>
      </c>
      <c r="M741">
        <v>1309953</v>
      </c>
      <c r="N741" s="1" t="s">
        <v>42</v>
      </c>
      <c r="O741" s="1">
        <f>IF(IFERROR(VLOOKUP(car_price_prediction_[[#This Row],[Car ID]],A742:A3241,1,FALSE),0),1,0)</f>
        <v>0</v>
      </c>
    </row>
    <row r="742" spans="1:15" x14ac:dyDescent="0.25">
      <c r="A742">
        <v>741</v>
      </c>
      <c r="B742" s="1" t="s">
        <v>10</v>
      </c>
      <c r="C742" s="1">
        <f>car_price_prediction_[[#This Row],[Year2]]</f>
        <v>2016</v>
      </c>
      <c r="D742">
        <v>2016</v>
      </c>
      <c r="E742">
        <f>car_price_prediction_[[#This Row],[Engine Size]]/10</f>
        <v>1.3</v>
      </c>
      <c r="F742">
        <v>13</v>
      </c>
      <c r="G742" s="1" t="s">
        <v>16</v>
      </c>
      <c r="H742" s="1" t="s">
        <v>12</v>
      </c>
      <c r="I742" s="12">
        <f>car_price_prediction_[[#This Row],[Mileage]]/1000</f>
        <v>113.828</v>
      </c>
      <c r="J742" s="5">
        <v>113828</v>
      </c>
      <c r="K742" s="1" t="s">
        <v>17</v>
      </c>
      <c r="L742" s="5">
        <f>car_price_prediction_[[#This Row],[Price]]/100</f>
        <v>28246.68</v>
      </c>
      <c r="M742">
        <v>2824668</v>
      </c>
      <c r="N742" s="1" t="s">
        <v>33</v>
      </c>
      <c r="O742" s="1">
        <f>IF(IFERROR(VLOOKUP(car_price_prediction_[[#This Row],[Car ID]],A743:A3242,1,FALSE),0),1,0)</f>
        <v>0</v>
      </c>
    </row>
    <row r="743" spans="1:15" x14ac:dyDescent="0.25">
      <c r="A743">
        <v>742</v>
      </c>
      <c r="B743" s="1" t="s">
        <v>15</v>
      </c>
      <c r="C743" s="1">
        <f>car_price_prediction_[[#This Row],[Year2]]</f>
        <v>2013</v>
      </c>
      <c r="D743">
        <v>2013</v>
      </c>
      <c r="E743">
        <f>car_price_prediction_[[#This Row],[Engine Size]]/10</f>
        <v>1.3</v>
      </c>
      <c r="F743">
        <v>13</v>
      </c>
      <c r="G743" s="1" t="s">
        <v>29</v>
      </c>
      <c r="H743" s="1" t="s">
        <v>22</v>
      </c>
      <c r="I743" s="12">
        <f>car_price_prediction_[[#This Row],[Mileage]]/1000</f>
        <v>132.69800000000001</v>
      </c>
      <c r="J743" s="5">
        <v>132698</v>
      </c>
      <c r="K743" s="1" t="s">
        <v>13</v>
      </c>
      <c r="L743" s="5">
        <f>car_price_prediction_[[#This Row],[Price]]/100</f>
        <v>86254.29</v>
      </c>
      <c r="M743">
        <v>8625429</v>
      </c>
      <c r="N743" s="1" t="s">
        <v>51</v>
      </c>
      <c r="O743" s="1">
        <f>IF(IFERROR(VLOOKUP(car_price_prediction_[[#This Row],[Car ID]],A744:A3243,1,FALSE),0),1,0)</f>
        <v>0</v>
      </c>
    </row>
    <row r="744" spans="1:15" x14ac:dyDescent="0.25">
      <c r="A744">
        <v>743</v>
      </c>
      <c r="B744" s="1" t="s">
        <v>43</v>
      </c>
      <c r="C744" s="1">
        <f>car_price_prediction_[[#This Row],[Year2]]</f>
        <v>2013</v>
      </c>
      <c r="D744">
        <v>2013</v>
      </c>
      <c r="E744">
        <f>car_price_prediction_[[#This Row],[Engine Size]]/10</f>
        <v>4.5</v>
      </c>
      <c r="F744">
        <v>45</v>
      </c>
      <c r="G744" s="1" t="s">
        <v>21</v>
      </c>
      <c r="H744" s="1" t="s">
        <v>22</v>
      </c>
      <c r="I744" s="12">
        <f>car_price_prediction_[[#This Row],[Mileage]]/1000</f>
        <v>90.814999999999998</v>
      </c>
      <c r="J744" s="5">
        <v>90815</v>
      </c>
      <c r="K744" s="1" t="s">
        <v>13</v>
      </c>
      <c r="L744" s="5">
        <f>car_price_prediction_[[#This Row],[Price]]/100</f>
        <v>60380.53</v>
      </c>
      <c r="M744">
        <v>6038053</v>
      </c>
      <c r="N744" s="1" t="s">
        <v>52</v>
      </c>
      <c r="O744" s="1">
        <f>IF(IFERROR(VLOOKUP(car_price_prediction_[[#This Row],[Car ID]],A745:A3244,1,FALSE),0),1,0)</f>
        <v>0</v>
      </c>
    </row>
    <row r="745" spans="1:15" x14ac:dyDescent="0.25">
      <c r="A745">
        <v>744</v>
      </c>
      <c r="B745" s="1" t="s">
        <v>30</v>
      </c>
      <c r="C745" s="1">
        <f>car_price_prediction_[[#This Row],[Year2]]</f>
        <v>2001</v>
      </c>
      <c r="D745">
        <v>2001</v>
      </c>
      <c r="E745">
        <f>car_price_prediction_[[#This Row],[Engine Size]]/10</f>
        <v>3.3</v>
      </c>
      <c r="F745">
        <v>33</v>
      </c>
      <c r="G745" s="1" t="s">
        <v>16</v>
      </c>
      <c r="H745" s="1" t="s">
        <v>22</v>
      </c>
      <c r="I745" s="12">
        <f>car_price_prediction_[[#This Row],[Mileage]]/1000</f>
        <v>194.89400000000001</v>
      </c>
      <c r="J745" s="5">
        <v>194894</v>
      </c>
      <c r="K745" s="1" t="s">
        <v>25</v>
      </c>
      <c r="L745" s="5">
        <f>car_price_prediction_[[#This Row],[Price]]/100</f>
        <v>11604.55</v>
      </c>
      <c r="M745">
        <v>1160455</v>
      </c>
      <c r="N745" s="1" t="s">
        <v>48</v>
      </c>
      <c r="O745" s="1">
        <f>IF(IFERROR(VLOOKUP(car_price_prediction_[[#This Row],[Car ID]],A746:A3245,1,FALSE),0),1,0)</f>
        <v>0</v>
      </c>
    </row>
    <row r="746" spans="1:15" x14ac:dyDescent="0.25">
      <c r="A746">
        <v>745</v>
      </c>
      <c r="B746" s="1" t="s">
        <v>30</v>
      </c>
      <c r="C746" s="1">
        <f>car_price_prediction_[[#This Row],[Year2]]</f>
        <v>2020</v>
      </c>
      <c r="D746">
        <v>2020</v>
      </c>
      <c r="E746">
        <f>car_price_prediction_[[#This Row],[Engine Size]]/10</f>
        <v>2.1</v>
      </c>
      <c r="F746">
        <v>21</v>
      </c>
      <c r="G746" s="1" t="s">
        <v>29</v>
      </c>
      <c r="H746" s="1" t="s">
        <v>12</v>
      </c>
      <c r="I746" s="12">
        <f>car_price_prediction_[[#This Row],[Mileage]]/1000</f>
        <v>203.48500000000001</v>
      </c>
      <c r="J746" s="5">
        <v>203485</v>
      </c>
      <c r="K746" s="1" t="s">
        <v>13</v>
      </c>
      <c r="L746" s="5">
        <f>car_price_prediction_[[#This Row],[Price]]/100</f>
        <v>952.99</v>
      </c>
      <c r="M746">
        <v>95299</v>
      </c>
      <c r="N746" s="1" t="s">
        <v>31</v>
      </c>
      <c r="O746" s="1">
        <f>IF(IFERROR(VLOOKUP(car_price_prediction_[[#This Row],[Car ID]],A747:A3246,1,FALSE),0),1,0)</f>
        <v>0</v>
      </c>
    </row>
    <row r="747" spans="1:15" x14ac:dyDescent="0.25">
      <c r="A747">
        <v>746</v>
      </c>
      <c r="B747" s="1" t="s">
        <v>15</v>
      </c>
      <c r="C747" s="1">
        <f>car_price_prediction_[[#This Row],[Year2]]</f>
        <v>2019</v>
      </c>
      <c r="D747">
        <v>2019</v>
      </c>
      <c r="E747">
        <f>car_price_prediction_[[#This Row],[Engine Size]]/10</f>
        <v>4.0999999999999996</v>
      </c>
      <c r="F747">
        <v>41</v>
      </c>
      <c r="G747" s="1" t="s">
        <v>16</v>
      </c>
      <c r="H747" s="1" t="s">
        <v>12</v>
      </c>
      <c r="I747" s="12">
        <f>car_price_prediction_[[#This Row],[Mileage]]/1000</f>
        <v>164.714</v>
      </c>
      <c r="J747" s="5">
        <v>164714</v>
      </c>
      <c r="K747" s="1" t="s">
        <v>25</v>
      </c>
      <c r="L747" s="5">
        <f>car_price_prediction_[[#This Row],[Price]]/100</f>
        <v>10806.67</v>
      </c>
      <c r="M747">
        <v>1080667</v>
      </c>
      <c r="N747" s="1" t="s">
        <v>39</v>
      </c>
      <c r="O747" s="1">
        <f>IF(IFERROR(VLOOKUP(car_price_prediction_[[#This Row],[Car ID]],A748:A3247,1,FALSE),0),1,0)</f>
        <v>0</v>
      </c>
    </row>
    <row r="748" spans="1:15" x14ac:dyDescent="0.25">
      <c r="A748">
        <v>747</v>
      </c>
      <c r="B748" s="1" t="s">
        <v>43</v>
      </c>
      <c r="C748" s="1">
        <f>car_price_prediction_[[#This Row],[Year2]]</f>
        <v>2010</v>
      </c>
      <c r="D748">
        <v>2010</v>
      </c>
      <c r="E748">
        <f>car_price_prediction_[[#This Row],[Engine Size]]/10</f>
        <v>2.2999999999999998</v>
      </c>
      <c r="F748">
        <v>23</v>
      </c>
      <c r="G748" s="1" t="s">
        <v>21</v>
      </c>
      <c r="H748" s="1" t="s">
        <v>12</v>
      </c>
      <c r="I748" s="12">
        <f>car_price_prediction_[[#This Row],[Mileage]]/1000</f>
        <v>32.356000000000002</v>
      </c>
      <c r="J748" s="5">
        <v>32356</v>
      </c>
      <c r="K748" s="1" t="s">
        <v>25</v>
      </c>
      <c r="L748" s="5">
        <f>car_price_prediction_[[#This Row],[Price]]/100</f>
        <v>94478.13</v>
      </c>
      <c r="M748">
        <v>9447813</v>
      </c>
      <c r="N748" s="1" t="s">
        <v>50</v>
      </c>
      <c r="O748" s="1">
        <f>IF(IFERROR(VLOOKUP(car_price_prediction_[[#This Row],[Car ID]],A749:A3248,1,FALSE),0),1,0)</f>
        <v>0</v>
      </c>
    </row>
    <row r="749" spans="1:15" x14ac:dyDescent="0.25">
      <c r="A749">
        <v>748</v>
      </c>
      <c r="B749" s="1" t="s">
        <v>19</v>
      </c>
      <c r="C749" s="1">
        <f>car_price_prediction_[[#This Row],[Year2]]</f>
        <v>2015</v>
      </c>
      <c r="D749">
        <v>2015</v>
      </c>
      <c r="E749">
        <f>car_price_prediction_[[#This Row],[Engine Size]]/10</f>
        <v>3.9</v>
      </c>
      <c r="F749">
        <v>39</v>
      </c>
      <c r="G749" s="1" t="s">
        <v>11</v>
      </c>
      <c r="H749" s="1" t="s">
        <v>22</v>
      </c>
      <c r="I749" s="12">
        <f>car_price_prediction_[[#This Row],[Mileage]]/1000</f>
        <v>265.95299999999997</v>
      </c>
      <c r="J749" s="5">
        <v>265953</v>
      </c>
      <c r="K749" s="1" t="s">
        <v>13</v>
      </c>
      <c r="L749" s="5">
        <f>car_price_prediction_[[#This Row],[Price]]/100</f>
        <v>85737.79</v>
      </c>
      <c r="M749">
        <v>8573779</v>
      </c>
      <c r="N749" s="1" t="s">
        <v>28</v>
      </c>
      <c r="O749" s="1">
        <f>IF(IFERROR(VLOOKUP(car_price_prediction_[[#This Row],[Car ID]],A750:A3249,1,FALSE),0),1,0)</f>
        <v>0</v>
      </c>
    </row>
    <row r="750" spans="1:15" x14ac:dyDescent="0.25">
      <c r="A750">
        <v>749</v>
      </c>
      <c r="B750" s="1" t="s">
        <v>36</v>
      </c>
      <c r="C750" s="1">
        <f>car_price_prediction_[[#This Row],[Year2]]</f>
        <v>2018</v>
      </c>
      <c r="D750">
        <v>2018</v>
      </c>
      <c r="E750">
        <f>car_price_prediction_[[#This Row],[Engine Size]]/10</f>
        <v>2.8</v>
      </c>
      <c r="F750">
        <v>28</v>
      </c>
      <c r="G750" s="1" t="s">
        <v>16</v>
      </c>
      <c r="H750" s="1" t="s">
        <v>22</v>
      </c>
      <c r="I750" s="12">
        <f>car_price_prediction_[[#This Row],[Mileage]]/1000</f>
        <v>297.01900000000001</v>
      </c>
      <c r="J750" s="5">
        <v>297019</v>
      </c>
      <c r="K750" s="1" t="s">
        <v>13</v>
      </c>
      <c r="L750" s="5">
        <f>car_price_prediction_[[#This Row],[Price]]/100</f>
        <v>8526.93</v>
      </c>
      <c r="M750">
        <v>852693</v>
      </c>
      <c r="N750" s="1" t="s">
        <v>40</v>
      </c>
      <c r="O750" s="1">
        <f>IF(IFERROR(VLOOKUP(car_price_prediction_[[#This Row],[Car ID]],A751:A3250,1,FALSE),0),1,0)</f>
        <v>0</v>
      </c>
    </row>
    <row r="751" spans="1:15" x14ac:dyDescent="0.25">
      <c r="A751">
        <v>750</v>
      </c>
      <c r="B751" s="1" t="s">
        <v>10</v>
      </c>
      <c r="C751" s="1">
        <f>car_price_prediction_[[#This Row],[Year2]]</f>
        <v>2022</v>
      </c>
      <c r="D751">
        <v>2022</v>
      </c>
      <c r="E751">
        <f>car_price_prediction_[[#This Row],[Engine Size]]/10</f>
        <v>5.0999999999999996</v>
      </c>
      <c r="F751">
        <v>51</v>
      </c>
      <c r="G751" s="1" t="s">
        <v>29</v>
      </c>
      <c r="H751" s="1" t="s">
        <v>12</v>
      </c>
      <c r="I751" s="12">
        <f>car_price_prediction_[[#This Row],[Mileage]]/1000</f>
        <v>241.12100000000001</v>
      </c>
      <c r="J751" s="5">
        <v>241121</v>
      </c>
      <c r="K751" s="1" t="s">
        <v>13</v>
      </c>
      <c r="L751" s="5">
        <f>car_price_prediction_[[#This Row],[Price]]/100</f>
        <v>92800.59</v>
      </c>
      <c r="M751">
        <v>9280059</v>
      </c>
      <c r="N751" s="1" t="s">
        <v>33</v>
      </c>
      <c r="O751" s="1">
        <f>IF(IFERROR(VLOOKUP(car_price_prediction_[[#This Row],[Car ID]],A752:A3251,1,FALSE),0),1,0)</f>
        <v>0</v>
      </c>
    </row>
    <row r="752" spans="1:15" x14ac:dyDescent="0.25">
      <c r="A752">
        <v>751</v>
      </c>
      <c r="B752" s="1" t="s">
        <v>36</v>
      </c>
      <c r="C752" s="1">
        <f>car_price_prediction_[[#This Row],[Year2]]</f>
        <v>2005</v>
      </c>
      <c r="D752">
        <v>2005</v>
      </c>
      <c r="E752">
        <f>car_price_prediction_[[#This Row],[Engine Size]]/10</f>
        <v>5.0999999999999996</v>
      </c>
      <c r="F752">
        <v>51</v>
      </c>
      <c r="G752" s="1" t="s">
        <v>21</v>
      </c>
      <c r="H752" s="1" t="s">
        <v>12</v>
      </c>
      <c r="I752" s="12">
        <f>car_price_prediction_[[#This Row],[Mileage]]/1000</f>
        <v>271.60899999999998</v>
      </c>
      <c r="J752" s="5">
        <v>271609</v>
      </c>
      <c r="K752" s="1" t="s">
        <v>17</v>
      </c>
      <c r="L752" s="5">
        <f>car_price_prediction_[[#This Row],[Price]]/100</f>
        <v>52999.26</v>
      </c>
      <c r="M752">
        <v>5299926</v>
      </c>
      <c r="N752" s="1" t="s">
        <v>40</v>
      </c>
      <c r="O752" s="1">
        <f>IF(IFERROR(VLOOKUP(car_price_prediction_[[#This Row],[Car ID]],A753:A3252,1,FALSE),0),1,0)</f>
        <v>0</v>
      </c>
    </row>
    <row r="753" spans="1:15" x14ac:dyDescent="0.25">
      <c r="A753">
        <v>752</v>
      </c>
      <c r="B753" s="1" t="s">
        <v>19</v>
      </c>
      <c r="C753" s="1">
        <f>car_price_prediction_[[#This Row],[Year2]]</f>
        <v>2023</v>
      </c>
      <c r="D753">
        <v>2023</v>
      </c>
      <c r="E753">
        <f>car_price_prediction_[[#This Row],[Engine Size]]/10</f>
        <v>3.4</v>
      </c>
      <c r="F753">
        <v>34</v>
      </c>
      <c r="G753" s="1" t="s">
        <v>11</v>
      </c>
      <c r="H753" s="1" t="s">
        <v>22</v>
      </c>
      <c r="I753" s="12">
        <f>car_price_prediction_[[#This Row],[Mileage]]/1000</f>
        <v>197.167</v>
      </c>
      <c r="J753" s="5">
        <v>197167</v>
      </c>
      <c r="K753" s="1" t="s">
        <v>25</v>
      </c>
      <c r="L753" s="5">
        <f>car_price_prediction_[[#This Row],[Price]]/100</f>
        <v>28497.74</v>
      </c>
      <c r="M753">
        <v>2849774</v>
      </c>
      <c r="N753" s="1" t="s">
        <v>27</v>
      </c>
      <c r="O753" s="1">
        <f>IF(IFERROR(VLOOKUP(car_price_prediction_[[#This Row],[Car ID]],A754:A3253,1,FALSE),0),1,0)</f>
        <v>0</v>
      </c>
    </row>
    <row r="754" spans="1:15" x14ac:dyDescent="0.25">
      <c r="A754">
        <v>753</v>
      </c>
      <c r="B754" s="1" t="s">
        <v>30</v>
      </c>
      <c r="C754" s="1">
        <f>car_price_prediction_[[#This Row],[Year2]]</f>
        <v>2018</v>
      </c>
      <c r="D754">
        <v>2018</v>
      </c>
      <c r="E754">
        <f>car_price_prediction_[[#This Row],[Engine Size]]/10</f>
        <v>2.8</v>
      </c>
      <c r="F754">
        <v>28</v>
      </c>
      <c r="G754" s="1" t="s">
        <v>29</v>
      </c>
      <c r="H754" s="1" t="s">
        <v>12</v>
      </c>
      <c r="I754" s="12">
        <f>car_price_prediction_[[#This Row],[Mileage]]/1000</f>
        <v>196.322</v>
      </c>
      <c r="J754" s="5">
        <v>196322</v>
      </c>
      <c r="K754" s="1" t="s">
        <v>13</v>
      </c>
      <c r="L754" s="5">
        <f>car_price_prediction_[[#This Row],[Price]]/100</f>
        <v>43128.06</v>
      </c>
      <c r="M754">
        <v>4312806</v>
      </c>
      <c r="N754" s="1" t="s">
        <v>48</v>
      </c>
      <c r="O754" s="1">
        <f>IF(IFERROR(VLOOKUP(car_price_prediction_[[#This Row],[Car ID]],A755:A3254,1,FALSE),0),1,0)</f>
        <v>0</v>
      </c>
    </row>
    <row r="755" spans="1:15" x14ac:dyDescent="0.25">
      <c r="A755">
        <v>754</v>
      </c>
      <c r="B755" s="1" t="s">
        <v>43</v>
      </c>
      <c r="C755" s="1">
        <f>car_price_prediction_[[#This Row],[Year2]]</f>
        <v>2004</v>
      </c>
      <c r="D755">
        <v>2004</v>
      </c>
      <c r="E755">
        <f>car_price_prediction_[[#This Row],[Engine Size]]/10</f>
        <v>2.8</v>
      </c>
      <c r="F755">
        <v>28</v>
      </c>
      <c r="G755" s="1" t="s">
        <v>29</v>
      </c>
      <c r="H755" s="1" t="s">
        <v>12</v>
      </c>
      <c r="I755" s="12">
        <f>car_price_prediction_[[#This Row],[Mileage]]/1000</f>
        <v>15.25</v>
      </c>
      <c r="J755" s="5">
        <v>15250</v>
      </c>
      <c r="K755" s="1" t="s">
        <v>17</v>
      </c>
      <c r="L755" s="5">
        <f>car_price_prediction_[[#This Row],[Price]]/100</f>
        <v>73292.09</v>
      </c>
      <c r="M755">
        <v>7329209</v>
      </c>
      <c r="N755" s="1" t="s">
        <v>50</v>
      </c>
      <c r="O755" s="1">
        <f>IF(IFERROR(VLOOKUP(car_price_prediction_[[#This Row],[Car ID]],A756:A3255,1,FALSE),0),1,0)</f>
        <v>0</v>
      </c>
    </row>
    <row r="756" spans="1:15" x14ac:dyDescent="0.25">
      <c r="A756">
        <v>755</v>
      </c>
      <c r="B756" s="1" t="s">
        <v>30</v>
      </c>
      <c r="C756" s="1">
        <f>car_price_prediction_[[#This Row],[Year2]]</f>
        <v>2003</v>
      </c>
      <c r="D756">
        <v>2003</v>
      </c>
      <c r="E756">
        <f>car_price_prediction_[[#This Row],[Engine Size]]/10</f>
        <v>5</v>
      </c>
      <c r="F756">
        <v>50</v>
      </c>
      <c r="G756" s="1" t="s">
        <v>29</v>
      </c>
      <c r="H756" s="1" t="s">
        <v>12</v>
      </c>
      <c r="I756" s="12">
        <f>car_price_prediction_[[#This Row],[Mileage]]/1000</f>
        <v>46.023000000000003</v>
      </c>
      <c r="J756" s="5">
        <v>46023</v>
      </c>
      <c r="K756" s="1" t="s">
        <v>13</v>
      </c>
      <c r="L756" s="5">
        <f>car_price_prediction_[[#This Row],[Price]]/100</f>
        <v>88223.12</v>
      </c>
      <c r="M756">
        <v>8822312</v>
      </c>
      <c r="N756" s="1" t="s">
        <v>45</v>
      </c>
      <c r="O756" s="1">
        <f>IF(IFERROR(VLOOKUP(car_price_prediction_[[#This Row],[Car ID]],A757:A3256,1,FALSE),0),1,0)</f>
        <v>0</v>
      </c>
    </row>
    <row r="757" spans="1:15" x14ac:dyDescent="0.25">
      <c r="A757">
        <v>756</v>
      </c>
      <c r="B757" s="1" t="s">
        <v>24</v>
      </c>
      <c r="C757" s="1">
        <f>car_price_prediction_[[#This Row],[Year2]]</f>
        <v>2014</v>
      </c>
      <c r="D757">
        <v>2014</v>
      </c>
      <c r="E757">
        <f>car_price_prediction_[[#This Row],[Engine Size]]/10</f>
        <v>2.6</v>
      </c>
      <c r="F757">
        <v>26</v>
      </c>
      <c r="G757" s="1" t="s">
        <v>16</v>
      </c>
      <c r="H757" s="1" t="s">
        <v>22</v>
      </c>
      <c r="I757" s="12">
        <f>car_price_prediction_[[#This Row],[Mileage]]/1000</f>
        <v>101.35</v>
      </c>
      <c r="J757" s="5">
        <v>101350</v>
      </c>
      <c r="K757" s="1" t="s">
        <v>25</v>
      </c>
      <c r="L757" s="5">
        <f>car_price_prediction_[[#This Row],[Price]]/100</f>
        <v>46333.64</v>
      </c>
      <c r="M757">
        <v>4633364</v>
      </c>
      <c r="N757" s="1" t="s">
        <v>34</v>
      </c>
      <c r="O757" s="1">
        <f>IF(IFERROR(VLOOKUP(car_price_prediction_[[#This Row],[Car ID]],A758:A3257,1,FALSE),0),1,0)</f>
        <v>0</v>
      </c>
    </row>
    <row r="758" spans="1:15" x14ac:dyDescent="0.25">
      <c r="A758">
        <v>757</v>
      </c>
      <c r="B758" s="1" t="s">
        <v>30</v>
      </c>
      <c r="C758" s="1">
        <f>car_price_prediction_[[#This Row],[Year2]]</f>
        <v>2003</v>
      </c>
      <c r="D758">
        <v>2003</v>
      </c>
      <c r="E758">
        <f>car_price_prediction_[[#This Row],[Engine Size]]/10</f>
        <v>2</v>
      </c>
      <c r="F758">
        <v>20</v>
      </c>
      <c r="G758" s="1" t="s">
        <v>21</v>
      </c>
      <c r="H758" s="1" t="s">
        <v>12</v>
      </c>
      <c r="I758" s="12">
        <f>car_price_prediction_[[#This Row],[Mileage]]/1000</f>
        <v>177.696</v>
      </c>
      <c r="J758" s="5">
        <v>177696</v>
      </c>
      <c r="K758" s="1" t="s">
        <v>17</v>
      </c>
      <c r="L758" s="5">
        <f>car_price_prediction_[[#This Row],[Price]]/100</f>
        <v>55861.19</v>
      </c>
      <c r="M758">
        <v>5586119</v>
      </c>
      <c r="N758" s="1" t="s">
        <v>48</v>
      </c>
      <c r="O758" s="1">
        <f>IF(IFERROR(VLOOKUP(car_price_prediction_[[#This Row],[Car ID]],A759:A3258,1,FALSE),0),1,0)</f>
        <v>0</v>
      </c>
    </row>
    <row r="759" spans="1:15" x14ac:dyDescent="0.25">
      <c r="A759">
        <v>758</v>
      </c>
      <c r="B759" s="1" t="s">
        <v>30</v>
      </c>
      <c r="C759" s="1">
        <f>car_price_prediction_[[#This Row],[Year2]]</f>
        <v>2019</v>
      </c>
      <c r="D759">
        <v>2019</v>
      </c>
      <c r="E759">
        <f>car_price_prediction_[[#This Row],[Engine Size]]/10</f>
        <v>1.4</v>
      </c>
      <c r="F759">
        <v>14</v>
      </c>
      <c r="G759" s="1" t="s">
        <v>29</v>
      </c>
      <c r="H759" s="1" t="s">
        <v>12</v>
      </c>
      <c r="I759" s="12">
        <f>car_price_prediction_[[#This Row],[Mileage]]/1000</f>
        <v>16.427</v>
      </c>
      <c r="J759" s="5">
        <v>16427</v>
      </c>
      <c r="K759" s="1" t="s">
        <v>25</v>
      </c>
      <c r="L759" s="5">
        <f>car_price_prediction_[[#This Row],[Price]]/100</f>
        <v>93519.38</v>
      </c>
      <c r="M759">
        <v>9351938</v>
      </c>
      <c r="N759" s="1" t="s">
        <v>45</v>
      </c>
      <c r="O759" s="1">
        <f>IF(IFERROR(VLOOKUP(car_price_prediction_[[#This Row],[Car ID]],A760:A3259,1,FALSE),0),1,0)</f>
        <v>0</v>
      </c>
    </row>
    <row r="760" spans="1:15" x14ac:dyDescent="0.25">
      <c r="A760">
        <v>759</v>
      </c>
      <c r="B760" s="1" t="s">
        <v>19</v>
      </c>
      <c r="C760" s="1">
        <f>car_price_prediction_[[#This Row],[Year2]]</f>
        <v>2009</v>
      </c>
      <c r="D760">
        <v>2009</v>
      </c>
      <c r="E760">
        <f>car_price_prediction_[[#This Row],[Engine Size]]/10</f>
        <v>3.3</v>
      </c>
      <c r="F760">
        <v>33</v>
      </c>
      <c r="G760" s="1" t="s">
        <v>16</v>
      </c>
      <c r="H760" s="1" t="s">
        <v>12</v>
      </c>
      <c r="I760" s="12">
        <f>car_price_prediction_[[#This Row],[Mileage]]/1000</f>
        <v>210.084</v>
      </c>
      <c r="J760" s="5">
        <v>210084</v>
      </c>
      <c r="K760" s="1" t="s">
        <v>13</v>
      </c>
      <c r="L760" s="5">
        <f>car_price_prediction_[[#This Row],[Price]]/100</f>
        <v>15212.37</v>
      </c>
      <c r="M760">
        <v>1521237</v>
      </c>
      <c r="N760" s="1" t="s">
        <v>38</v>
      </c>
      <c r="O760" s="1">
        <f>IF(IFERROR(VLOOKUP(car_price_prediction_[[#This Row],[Car ID]],A761:A3260,1,FALSE),0),1,0)</f>
        <v>0</v>
      </c>
    </row>
    <row r="761" spans="1:15" x14ac:dyDescent="0.25">
      <c r="A761">
        <v>760</v>
      </c>
      <c r="B761" s="1" t="s">
        <v>19</v>
      </c>
      <c r="C761" s="1">
        <f>car_price_prediction_[[#This Row],[Year2]]</f>
        <v>2023</v>
      </c>
      <c r="D761">
        <v>2023</v>
      </c>
      <c r="E761">
        <f>car_price_prediction_[[#This Row],[Engine Size]]/10</f>
        <v>3.4</v>
      </c>
      <c r="F761">
        <v>34</v>
      </c>
      <c r="G761" s="1" t="s">
        <v>21</v>
      </c>
      <c r="H761" s="1" t="s">
        <v>12</v>
      </c>
      <c r="I761" s="12">
        <f>car_price_prediction_[[#This Row],[Mileage]]/1000</f>
        <v>134.511</v>
      </c>
      <c r="J761" s="5">
        <v>134511</v>
      </c>
      <c r="K761" s="1" t="s">
        <v>13</v>
      </c>
      <c r="L761" s="5">
        <f>car_price_prediction_[[#This Row],[Price]]/100</f>
        <v>86918.43</v>
      </c>
      <c r="M761">
        <v>8691843</v>
      </c>
      <c r="N761" s="1" t="s">
        <v>20</v>
      </c>
      <c r="O761" s="1">
        <f>IF(IFERROR(VLOOKUP(car_price_prediction_[[#This Row],[Car ID]],A762:A3261,1,FALSE),0),1,0)</f>
        <v>0</v>
      </c>
    </row>
    <row r="762" spans="1:15" x14ac:dyDescent="0.25">
      <c r="A762">
        <v>761</v>
      </c>
      <c r="B762" s="1" t="s">
        <v>19</v>
      </c>
      <c r="C762" s="1">
        <f>car_price_prediction_[[#This Row],[Year2]]</f>
        <v>2021</v>
      </c>
      <c r="D762">
        <v>2021</v>
      </c>
      <c r="E762">
        <f>car_price_prediction_[[#This Row],[Engine Size]]/10</f>
        <v>5.2</v>
      </c>
      <c r="F762">
        <v>52</v>
      </c>
      <c r="G762" s="1" t="s">
        <v>21</v>
      </c>
      <c r="H762" s="1" t="s">
        <v>22</v>
      </c>
      <c r="I762" s="12">
        <f>car_price_prediction_[[#This Row],[Mileage]]/1000</f>
        <v>218.40299999999999</v>
      </c>
      <c r="J762" s="5">
        <v>218403</v>
      </c>
      <c r="K762" s="1" t="s">
        <v>13</v>
      </c>
      <c r="L762" s="5">
        <f>car_price_prediction_[[#This Row],[Price]]/100</f>
        <v>20134.21</v>
      </c>
      <c r="M762">
        <v>2013421</v>
      </c>
      <c r="N762" s="1" t="s">
        <v>38</v>
      </c>
      <c r="O762" s="1">
        <f>IF(IFERROR(VLOOKUP(car_price_prediction_[[#This Row],[Car ID]],A763:A3262,1,FALSE),0),1,0)</f>
        <v>0</v>
      </c>
    </row>
    <row r="763" spans="1:15" x14ac:dyDescent="0.25">
      <c r="A763">
        <v>762</v>
      </c>
      <c r="B763" s="1" t="s">
        <v>36</v>
      </c>
      <c r="C763" s="1">
        <f>car_price_prediction_[[#This Row],[Year2]]</f>
        <v>2002</v>
      </c>
      <c r="D763">
        <v>2002</v>
      </c>
      <c r="E763">
        <f>car_price_prediction_[[#This Row],[Engine Size]]/10</f>
        <v>2.1</v>
      </c>
      <c r="F763">
        <v>21</v>
      </c>
      <c r="G763" s="1" t="s">
        <v>16</v>
      </c>
      <c r="H763" s="1" t="s">
        <v>22</v>
      </c>
      <c r="I763" s="12">
        <f>car_price_prediction_[[#This Row],[Mileage]]/1000</f>
        <v>78.671999999999997</v>
      </c>
      <c r="J763" s="5">
        <v>78672</v>
      </c>
      <c r="K763" s="1" t="s">
        <v>17</v>
      </c>
      <c r="L763" s="5">
        <f>car_price_prediction_[[#This Row],[Price]]/100</f>
        <v>50966.83</v>
      </c>
      <c r="M763">
        <v>5096683</v>
      </c>
      <c r="N763" s="1" t="s">
        <v>41</v>
      </c>
      <c r="O763" s="1">
        <f>IF(IFERROR(VLOOKUP(car_price_prediction_[[#This Row],[Car ID]],A764:A3263,1,FALSE),0),1,0)</f>
        <v>0</v>
      </c>
    </row>
    <row r="764" spans="1:15" x14ac:dyDescent="0.25">
      <c r="A764">
        <v>763</v>
      </c>
      <c r="B764" s="1" t="s">
        <v>24</v>
      </c>
      <c r="C764" s="1">
        <f>car_price_prediction_[[#This Row],[Year2]]</f>
        <v>2004</v>
      </c>
      <c r="D764">
        <v>2004</v>
      </c>
      <c r="E764">
        <f>car_price_prediction_[[#This Row],[Engine Size]]/10</f>
        <v>2.9</v>
      </c>
      <c r="F764">
        <v>29</v>
      </c>
      <c r="G764" s="1" t="s">
        <v>16</v>
      </c>
      <c r="H764" s="1" t="s">
        <v>22</v>
      </c>
      <c r="I764" s="12">
        <f>car_price_prediction_[[#This Row],[Mileage]]/1000</f>
        <v>17.3</v>
      </c>
      <c r="J764" s="5">
        <v>17300</v>
      </c>
      <c r="K764" s="1" t="s">
        <v>17</v>
      </c>
      <c r="L764" s="5">
        <f>car_price_prediction_[[#This Row],[Price]]/100</f>
        <v>2575.02</v>
      </c>
      <c r="M764">
        <v>257502</v>
      </c>
      <c r="N764" s="1" t="s">
        <v>26</v>
      </c>
      <c r="O764" s="1">
        <f>IF(IFERROR(VLOOKUP(car_price_prediction_[[#This Row],[Car ID]],A765:A3264,1,FALSE),0),1,0)</f>
        <v>0</v>
      </c>
    </row>
    <row r="765" spans="1:15" x14ac:dyDescent="0.25">
      <c r="A765">
        <v>764</v>
      </c>
      <c r="B765" s="1" t="s">
        <v>19</v>
      </c>
      <c r="C765" s="1">
        <f>car_price_prediction_[[#This Row],[Year2]]</f>
        <v>2005</v>
      </c>
      <c r="D765">
        <v>2005</v>
      </c>
      <c r="E765">
        <f>car_price_prediction_[[#This Row],[Engine Size]]/10</f>
        <v>5</v>
      </c>
      <c r="F765">
        <v>50</v>
      </c>
      <c r="G765" s="1" t="s">
        <v>29</v>
      </c>
      <c r="H765" s="1" t="s">
        <v>12</v>
      </c>
      <c r="I765" s="12">
        <f>car_price_prediction_[[#This Row],[Mileage]]/1000</f>
        <v>19.658999999999999</v>
      </c>
      <c r="J765" s="5">
        <v>19659</v>
      </c>
      <c r="K765" s="1" t="s">
        <v>17</v>
      </c>
      <c r="L765" s="5">
        <f>car_price_prediction_[[#This Row],[Price]]/100</f>
        <v>62280.02</v>
      </c>
      <c r="M765">
        <v>6228002</v>
      </c>
      <c r="N765" s="1" t="s">
        <v>38</v>
      </c>
      <c r="O765" s="1">
        <f>IF(IFERROR(VLOOKUP(car_price_prediction_[[#This Row],[Car ID]],A766:A3265,1,FALSE),0),1,0)</f>
        <v>0</v>
      </c>
    </row>
    <row r="766" spans="1:15" x14ac:dyDescent="0.25">
      <c r="A766">
        <v>765</v>
      </c>
      <c r="B766" s="1" t="s">
        <v>43</v>
      </c>
      <c r="C766" s="1">
        <f>car_price_prediction_[[#This Row],[Year2]]</f>
        <v>2020</v>
      </c>
      <c r="D766">
        <v>2020</v>
      </c>
      <c r="E766">
        <f>car_price_prediction_[[#This Row],[Engine Size]]/10</f>
        <v>5.0999999999999996</v>
      </c>
      <c r="F766">
        <v>51</v>
      </c>
      <c r="G766" s="1" t="s">
        <v>21</v>
      </c>
      <c r="H766" s="1" t="s">
        <v>22</v>
      </c>
      <c r="I766" s="12">
        <f>car_price_prediction_[[#This Row],[Mileage]]/1000</f>
        <v>162.47499999999999</v>
      </c>
      <c r="J766" s="5">
        <v>162475</v>
      </c>
      <c r="K766" s="1" t="s">
        <v>17</v>
      </c>
      <c r="L766" s="5">
        <f>car_price_prediction_[[#This Row],[Price]]/100</f>
        <v>58064.480000000003</v>
      </c>
      <c r="M766">
        <v>5806448</v>
      </c>
      <c r="N766" s="1" t="s">
        <v>44</v>
      </c>
      <c r="O766" s="1">
        <f>IF(IFERROR(VLOOKUP(car_price_prediction_[[#This Row],[Car ID]],A767:A3266,1,FALSE),0),1,0)</f>
        <v>0</v>
      </c>
    </row>
    <row r="767" spans="1:15" x14ac:dyDescent="0.25">
      <c r="A767">
        <v>766</v>
      </c>
      <c r="B767" s="1" t="s">
        <v>36</v>
      </c>
      <c r="C767" s="1">
        <f>car_price_prediction_[[#This Row],[Year2]]</f>
        <v>2021</v>
      </c>
      <c r="D767">
        <v>2021</v>
      </c>
      <c r="E767">
        <f>car_price_prediction_[[#This Row],[Engine Size]]/10</f>
        <v>2.9</v>
      </c>
      <c r="F767">
        <v>29</v>
      </c>
      <c r="G767" s="1" t="s">
        <v>11</v>
      </c>
      <c r="H767" s="1" t="s">
        <v>12</v>
      </c>
      <c r="I767" s="12">
        <f>car_price_prediction_[[#This Row],[Mileage]]/1000</f>
        <v>245.25899999999999</v>
      </c>
      <c r="J767" s="5">
        <v>245259</v>
      </c>
      <c r="K767" s="1" t="s">
        <v>13</v>
      </c>
      <c r="L767" s="5">
        <f>car_price_prediction_[[#This Row],[Price]]/100</f>
        <v>4110.07</v>
      </c>
      <c r="M767">
        <v>411007</v>
      </c>
      <c r="N767" s="1" t="s">
        <v>46</v>
      </c>
      <c r="O767" s="1">
        <f>IF(IFERROR(VLOOKUP(car_price_prediction_[[#This Row],[Car ID]],A768:A3267,1,FALSE),0),1,0)</f>
        <v>0</v>
      </c>
    </row>
    <row r="768" spans="1:15" x14ac:dyDescent="0.25">
      <c r="A768">
        <v>767</v>
      </c>
      <c r="B768" s="1" t="s">
        <v>15</v>
      </c>
      <c r="C768" s="1">
        <f>car_price_prediction_[[#This Row],[Year2]]</f>
        <v>2007</v>
      </c>
      <c r="D768">
        <v>2007</v>
      </c>
      <c r="E768">
        <f>car_price_prediction_[[#This Row],[Engine Size]]/10</f>
        <v>3.3</v>
      </c>
      <c r="F768">
        <v>33</v>
      </c>
      <c r="G768" s="1" t="s">
        <v>16</v>
      </c>
      <c r="H768" s="1" t="s">
        <v>22</v>
      </c>
      <c r="I768" s="12">
        <f>car_price_prediction_[[#This Row],[Mileage]]/1000</f>
        <v>10.36</v>
      </c>
      <c r="J768" s="5">
        <v>10360</v>
      </c>
      <c r="K768" s="1" t="s">
        <v>13</v>
      </c>
      <c r="L768" s="5">
        <f>car_price_prediction_[[#This Row],[Price]]/100</f>
        <v>87013.83</v>
      </c>
      <c r="M768">
        <v>8701383</v>
      </c>
      <c r="N768" s="1" t="s">
        <v>35</v>
      </c>
      <c r="O768" s="1">
        <f>IF(IFERROR(VLOOKUP(car_price_prediction_[[#This Row],[Car ID]],A769:A3268,1,FALSE),0),1,0)</f>
        <v>0</v>
      </c>
    </row>
    <row r="769" spans="1:15" x14ac:dyDescent="0.25">
      <c r="A769">
        <v>768</v>
      </c>
      <c r="B769" s="1" t="s">
        <v>43</v>
      </c>
      <c r="C769" s="1">
        <f>car_price_prediction_[[#This Row],[Year2]]</f>
        <v>2006</v>
      </c>
      <c r="D769">
        <v>2006</v>
      </c>
      <c r="E769">
        <f>car_price_prediction_[[#This Row],[Engine Size]]/10</f>
        <v>2.5</v>
      </c>
      <c r="F769">
        <v>25</v>
      </c>
      <c r="G769" s="1" t="s">
        <v>21</v>
      </c>
      <c r="H769" s="1" t="s">
        <v>12</v>
      </c>
      <c r="I769" s="12">
        <f>car_price_prediction_[[#This Row],[Mileage]]/1000</f>
        <v>283.56799999999998</v>
      </c>
      <c r="J769" s="5">
        <v>283568</v>
      </c>
      <c r="K769" s="1" t="s">
        <v>13</v>
      </c>
      <c r="L769" s="5">
        <f>car_price_prediction_[[#This Row],[Price]]/100</f>
        <v>67682.27</v>
      </c>
      <c r="M769">
        <v>6768227</v>
      </c>
      <c r="N769" s="1" t="s">
        <v>44</v>
      </c>
      <c r="O769" s="1">
        <f>IF(IFERROR(VLOOKUP(car_price_prediction_[[#This Row],[Car ID]],A770:A3269,1,FALSE),0),1,0)</f>
        <v>0</v>
      </c>
    </row>
    <row r="770" spans="1:15" x14ac:dyDescent="0.25">
      <c r="A770">
        <v>769</v>
      </c>
      <c r="B770" s="1" t="s">
        <v>10</v>
      </c>
      <c r="C770" s="1">
        <f>car_price_prediction_[[#This Row],[Year2]]</f>
        <v>2020</v>
      </c>
      <c r="D770">
        <v>2020</v>
      </c>
      <c r="E770">
        <f>car_price_prediction_[[#This Row],[Engine Size]]/10</f>
        <v>5.7</v>
      </c>
      <c r="F770">
        <v>57</v>
      </c>
      <c r="G770" s="1" t="s">
        <v>21</v>
      </c>
      <c r="H770" s="1" t="s">
        <v>22</v>
      </c>
      <c r="I770" s="12">
        <f>car_price_prediction_[[#This Row],[Mileage]]/1000</f>
        <v>98.034999999999997</v>
      </c>
      <c r="J770" s="5">
        <v>98035</v>
      </c>
      <c r="K770" s="1" t="s">
        <v>17</v>
      </c>
      <c r="L770" s="5">
        <f>car_price_prediction_[[#This Row],[Price]]/100</f>
        <v>73514.490000000005</v>
      </c>
      <c r="M770">
        <v>7351449</v>
      </c>
      <c r="N770" s="1" t="s">
        <v>23</v>
      </c>
      <c r="O770" s="1">
        <f>IF(IFERROR(VLOOKUP(car_price_prediction_[[#This Row],[Car ID]],A771:A3270,1,FALSE),0),1,0)</f>
        <v>0</v>
      </c>
    </row>
    <row r="771" spans="1:15" x14ac:dyDescent="0.25">
      <c r="A771">
        <v>770</v>
      </c>
      <c r="B771" s="1" t="s">
        <v>10</v>
      </c>
      <c r="C771" s="1">
        <f>car_price_prediction_[[#This Row],[Year2]]</f>
        <v>2009</v>
      </c>
      <c r="D771">
        <v>2009</v>
      </c>
      <c r="E771">
        <f>car_price_prediction_[[#This Row],[Engine Size]]/10</f>
        <v>1.6</v>
      </c>
      <c r="F771">
        <v>16</v>
      </c>
      <c r="G771" s="1" t="s">
        <v>29</v>
      </c>
      <c r="H771" s="1" t="s">
        <v>22</v>
      </c>
      <c r="I771" s="12">
        <f>car_price_prediction_[[#This Row],[Mileage]]/1000</f>
        <v>48.790999999999997</v>
      </c>
      <c r="J771" s="5">
        <v>48791</v>
      </c>
      <c r="K771" s="1" t="s">
        <v>17</v>
      </c>
      <c r="L771" s="5">
        <f>car_price_prediction_[[#This Row],[Price]]/100</f>
        <v>19312.68</v>
      </c>
      <c r="M771">
        <v>1931268</v>
      </c>
      <c r="N771" s="1" t="s">
        <v>14</v>
      </c>
      <c r="O771" s="1">
        <f>IF(IFERROR(VLOOKUP(car_price_prediction_[[#This Row],[Car ID]],A772:A3271,1,FALSE),0),1,0)</f>
        <v>0</v>
      </c>
    </row>
    <row r="772" spans="1:15" x14ac:dyDescent="0.25">
      <c r="A772">
        <v>771</v>
      </c>
      <c r="B772" s="1" t="s">
        <v>43</v>
      </c>
      <c r="C772" s="1">
        <f>car_price_prediction_[[#This Row],[Year2]]</f>
        <v>2005</v>
      </c>
      <c r="D772">
        <v>2005</v>
      </c>
      <c r="E772">
        <f>car_price_prediction_[[#This Row],[Engine Size]]/10</f>
        <v>5.7</v>
      </c>
      <c r="F772">
        <v>57</v>
      </c>
      <c r="G772" s="1" t="s">
        <v>11</v>
      </c>
      <c r="H772" s="1" t="s">
        <v>22</v>
      </c>
      <c r="I772" s="12">
        <f>car_price_prediction_[[#This Row],[Mileage]]/1000</f>
        <v>199.86699999999999</v>
      </c>
      <c r="J772" s="5">
        <v>199867</v>
      </c>
      <c r="K772" s="1" t="s">
        <v>13</v>
      </c>
      <c r="L772" s="5">
        <f>car_price_prediction_[[#This Row],[Price]]/100</f>
        <v>88900.74</v>
      </c>
      <c r="M772">
        <v>8890074</v>
      </c>
      <c r="N772" s="1" t="s">
        <v>52</v>
      </c>
      <c r="O772" s="1">
        <f>IF(IFERROR(VLOOKUP(car_price_prediction_[[#This Row],[Car ID]],A773:A3272,1,FALSE),0),1,0)</f>
        <v>0</v>
      </c>
    </row>
    <row r="773" spans="1:15" x14ac:dyDescent="0.25">
      <c r="A773">
        <v>772</v>
      </c>
      <c r="B773" s="1" t="s">
        <v>19</v>
      </c>
      <c r="C773" s="1">
        <f>car_price_prediction_[[#This Row],[Year2]]</f>
        <v>2013</v>
      </c>
      <c r="D773">
        <v>2013</v>
      </c>
      <c r="E773">
        <f>car_price_prediction_[[#This Row],[Engine Size]]/10</f>
        <v>4.4000000000000004</v>
      </c>
      <c r="F773">
        <v>44</v>
      </c>
      <c r="G773" s="1" t="s">
        <v>29</v>
      </c>
      <c r="H773" s="1" t="s">
        <v>12</v>
      </c>
      <c r="I773" s="12">
        <f>car_price_prediction_[[#This Row],[Mileage]]/1000</f>
        <v>274.44400000000002</v>
      </c>
      <c r="J773" s="5">
        <v>274444</v>
      </c>
      <c r="K773" s="1" t="s">
        <v>13</v>
      </c>
      <c r="L773" s="5">
        <f>car_price_prediction_[[#This Row],[Price]]/100</f>
        <v>20868.82</v>
      </c>
      <c r="M773">
        <v>2086882</v>
      </c>
      <c r="N773" s="1" t="s">
        <v>28</v>
      </c>
      <c r="O773" s="1">
        <f>IF(IFERROR(VLOOKUP(car_price_prediction_[[#This Row],[Car ID]],A774:A3273,1,FALSE),0),1,0)</f>
        <v>0</v>
      </c>
    </row>
    <row r="774" spans="1:15" x14ac:dyDescent="0.25">
      <c r="A774">
        <v>773</v>
      </c>
      <c r="B774" s="1" t="s">
        <v>15</v>
      </c>
      <c r="C774" s="1">
        <f>car_price_prediction_[[#This Row],[Year2]]</f>
        <v>2003</v>
      </c>
      <c r="D774">
        <v>2003</v>
      </c>
      <c r="E774">
        <f>car_price_prediction_[[#This Row],[Engine Size]]/10</f>
        <v>3.7</v>
      </c>
      <c r="F774">
        <v>37</v>
      </c>
      <c r="G774" s="1" t="s">
        <v>11</v>
      </c>
      <c r="H774" s="1" t="s">
        <v>12</v>
      </c>
      <c r="I774" s="12">
        <f>car_price_prediction_[[#This Row],[Mileage]]/1000</f>
        <v>33.369999999999997</v>
      </c>
      <c r="J774" s="5">
        <v>33370</v>
      </c>
      <c r="K774" s="1" t="s">
        <v>17</v>
      </c>
      <c r="L774" s="5">
        <f>car_price_prediction_[[#This Row],[Price]]/100</f>
        <v>26164.57</v>
      </c>
      <c r="M774">
        <v>2616457</v>
      </c>
      <c r="N774" s="1" t="s">
        <v>39</v>
      </c>
      <c r="O774" s="1">
        <f>IF(IFERROR(VLOOKUP(car_price_prediction_[[#This Row],[Car ID]],A775:A3274,1,FALSE),0),1,0)</f>
        <v>0</v>
      </c>
    </row>
    <row r="775" spans="1:15" x14ac:dyDescent="0.25">
      <c r="A775">
        <v>774</v>
      </c>
      <c r="B775" s="1" t="s">
        <v>15</v>
      </c>
      <c r="C775" s="1">
        <f>car_price_prediction_[[#This Row],[Year2]]</f>
        <v>2012</v>
      </c>
      <c r="D775">
        <v>2012</v>
      </c>
      <c r="E775">
        <f>car_price_prediction_[[#This Row],[Engine Size]]/10</f>
        <v>1.2</v>
      </c>
      <c r="F775">
        <v>12</v>
      </c>
      <c r="G775" s="1" t="s">
        <v>11</v>
      </c>
      <c r="H775" s="1" t="s">
        <v>12</v>
      </c>
      <c r="I775" s="12">
        <f>car_price_prediction_[[#This Row],[Mileage]]/1000</f>
        <v>200.90299999999999</v>
      </c>
      <c r="J775" s="5">
        <v>200903</v>
      </c>
      <c r="K775" s="1" t="s">
        <v>25</v>
      </c>
      <c r="L775" s="5">
        <f>car_price_prediction_[[#This Row],[Price]]/100</f>
        <v>17165.240000000002</v>
      </c>
      <c r="M775">
        <v>1716524</v>
      </c>
      <c r="N775" s="1" t="s">
        <v>51</v>
      </c>
      <c r="O775" s="1">
        <f>IF(IFERROR(VLOOKUP(car_price_prediction_[[#This Row],[Car ID]],A776:A3275,1,FALSE),0),1,0)</f>
        <v>0</v>
      </c>
    </row>
    <row r="776" spans="1:15" x14ac:dyDescent="0.25">
      <c r="A776">
        <v>775</v>
      </c>
      <c r="B776" s="1" t="s">
        <v>36</v>
      </c>
      <c r="C776" s="1">
        <f>car_price_prediction_[[#This Row],[Year2]]</f>
        <v>2019</v>
      </c>
      <c r="D776">
        <v>2019</v>
      </c>
      <c r="E776">
        <f>car_price_prediction_[[#This Row],[Engine Size]]/10</f>
        <v>3.4</v>
      </c>
      <c r="F776">
        <v>34</v>
      </c>
      <c r="G776" s="1" t="s">
        <v>16</v>
      </c>
      <c r="H776" s="1" t="s">
        <v>22</v>
      </c>
      <c r="I776" s="12">
        <f>car_price_prediction_[[#This Row],[Mileage]]/1000</f>
        <v>27.209</v>
      </c>
      <c r="J776" s="5">
        <v>27209</v>
      </c>
      <c r="K776" s="1" t="s">
        <v>13</v>
      </c>
      <c r="L776" s="5">
        <f>car_price_prediction_[[#This Row],[Price]]/100</f>
        <v>46834.12</v>
      </c>
      <c r="M776">
        <v>4683412</v>
      </c>
      <c r="N776" s="1" t="s">
        <v>46</v>
      </c>
      <c r="O776" s="1">
        <f>IF(IFERROR(VLOOKUP(car_price_prediction_[[#This Row],[Car ID]],A777:A3276,1,FALSE),0),1,0)</f>
        <v>0</v>
      </c>
    </row>
    <row r="777" spans="1:15" x14ac:dyDescent="0.25">
      <c r="A777">
        <v>776</v>
      </c>
      <c r="B777" s="1" t="s">
        <v>15</v>
      </c>
      <c r="C777" s="1">
        <f>car_price_prediction_[[#This Row],[Year2]]</f>
        <v>2016</v>
      </c>
      <c r="D777">
        <v>2016</v>
      </c>
      <c r="E777">
        <f>car_price_prediction_[[#This Row],[Engine Size]]/10</f>
        <v>3</v>
      </c>
      <c r="F777">
        <v>30</v>
      </c>
      <c r="G777" s="1" t="s">
        <v>21</v>
      </c>
      <c r="H777" s="1" t="s">
        <v>12</v>
      </c>
      <c r="I777" s="12">
        <f>car_price_prediction_[[#This Row],[Mileage]]/1000</f>
        <v>283.07100000000003</v>
      </c>
      <c r="J777" s="5">
        <v>283071</v>
      </c>
      <c r="K777" s="1" t="s">
        <v>13</v>
      </c>
      <c r="L777" s="5">
        <f>car_price_prediction_[[#This Row],[Price]]/100</f>
        <v>89332.38</v>
      </c>
      <c r="M777">
        <v>8933238</v>
      </c>
      <c r="N777" s="1" t="s">
        <v>18</v>
      </c>
      <c r="O777" s="1">
        <f>IF(IFERROR(VLOOKUP(car_price_prediction_[[#This Row],[Car ID]],A778:A3277,1,FALSE),0),1,0)</f>
        <v>0</v>
      </c>
    </row>
    <row r="778" spans="1:15" x14ac:dyDescent="0.25">
      <c r="A778">
        <v>777</v>
      </c>
      <c r="B778" s="1" t="s">
        <v>10</v>
      </c>
      <c r="C778" s="1">
        <f>car_price_prediction_[[#This Row],[Year2]]</f>
        <v>2022</v>
      </c>
      <c r="D778">
        <v>2022</v>
      </c>
      <c r="E778">
        <f>car_price_prediction_[[#This Row],[Engine Size]]/10</f>
        <v>1.8</v>
      </c>
      <c r="F778">
        <v>18</v>
      </c>
      <c r="G778" s="1" t="s">
        <v>21</v>
      </c>
      <c r="H778" s="1" t="s">
        <v>12</v>
      </c>
      <c r="I778" s="12">
        <f>car_price_prediction_[[#This Row],[Mileage]]/1000</f>
        <v>34.579000000000001</v>
      </c>
      <c r="J778" s="5">
        <v>34579</v>
      </c>
      <c r="K778" s="1" t="s">
        <v>13</v>
      </c>
      <c r="L778" s="5">
        <f>car_price_prediction_[[#This Row],[Price]]/100</f>
        <v>28982.51</v>
      </c>
      <c r="M778">
        <v>2898251</v>
      </c>
      <c r="N778" s="1" t="s">
        <v>33</v>
      </c>
      <c r="O778" s="1">
        <f>IF(IFERROR(VLOOKUP(car_price_prediction_[[#This Row],[Car ID]],A779:A3278,1,FALSE),0),1,0)</f>
        <v>0</v>
      </c>
    </row>
    <row r="779" spans="1:15" x14ac:dyDescent="0.25">
      <c r="A779">
        <v>778</v>
      </c>
      <c r="B779" s="1" t="s">
        <v>24</v>
      </c>
      <c r="C779" s="1">
        <f>car_price_prediction_[[#This Row],[Year2]]</f>
        <v>2006</v>
      </c>
      <c r="D779">
        <v>2006</v>
      </c>
      <c r="E779">
        <f>car_price_prediction_[[#This Row],[Engine Size]]/10</f>
        <v>4.3</v>
      </c>
      <c r="F779">
        <v>43</v>
      </c>
      <c r="G779" s="1" t="s">
        <v>21</v>
      </c>
      <c r="H779" s="1" t="s">
        <v>12</v>
      </c>
      <c r="I779" s="12">
        <f>car_price_prediction_[[#This Row],[Mileage]]/1000</f>
        <v>271.17599999999999</v>
      </c>
      <c r="J779" s="5">
        <v>271176</v>
      </c>
      <c r="K779" s="1" t="s">
        <v>17</v>
      </c>
      <c r="L779" s="5">
        <f>car_price_prediction_[[#This Row],[Price]]/100</f>
        <v>40506.57</v>
      </c>
      <c r="M779">
        <v>4050657</v>
      </c>
      <c r="N779" s="1" t="s">
        <v>26</v>
      </c>
      <c r="O779" s="1">
        <f>IF(IFERROR(VLOOKUP(car_price_prediction_[[#This Row],[Car ID]],A780:A3279,1,FALSE),0),1,0)</f>
        <v>0</v>
      </c>
    </row>
    <row r="780" spans="1:15" x14ac:dyDescent="0.25">
      <c r="A780">
        <v>779</v>
      </c>
      <c r="B780" s="1" t="s">
        <v>19</v>
      </c>
      <c r="C780" s="1">
        <f>car_price_prediction_[[#This Row],[Year2]]</f>
        <v>2003</v>
      </c>
      <c r="D780">
        <v>2003</v>
      </c>
      <c r="E780">
        <f>car_price_prediction_[[#This Row],[Engine Size]]/10</f>
        <v>5.9</v>
      </c>
      <c r="F780">
        <v>59</v>
      </c>
      <c r="G780" s="1" t="s">
        <v>11</v>
      </c>
      <c r="H780" s="1" t="s">
        <v>12</v>
      </c>
      <c r="I780" s="12">
        <f>car_price_prediction_[[#This Row],[Mileage]]/1000</f>
        <v>93.254000000000005</v>
      </c>
      <c r="J780" s="5">
        <v>93254</v>
      </c>
      <c r="K780" s="1" t="s">
        <v>13</v>
      </c>
      <c r="L780" s="5">
        <f>car_price_prediction_[[#This Row],[Price]]/100</f>
        <v>85376.31</v>
      </c>
      <c r="M780">
        <v>8537631</v>
      </c>
      <c r="N780" s="1" t="s">
        <v>38</v>
      </c>
      <c r="O780" s="1">
        <f>IF(IFERROR(VLOOKUP(car_price_prediction_[[#This Row],[Car ID]],A781:A3280,1,FALSE),0),1,0)</f>
        <v>0</v>
      </c>
    </row>
    <row r="781" spans="1:15" x14ac:dyDescent="0.25">
      <c r="A781">
        <v>780</v>
      </c>
      <c r="B781" s="1" t="s">
        <v>15</v>
      </c>
      <c r="C781" s="1">
        <f>car_price_prediction_[[#This Row],[Year2]]</f>
        <v>2013</v>
      </c>
      <c r="D781">
        <v>2013</v>
      </c>
      <c r="E781">
        <f>car_price_prediction_[[#This Row],[Engine Size]]/10</f>
        <v>3.8</v>
      </c>
      <c r="F781">
        <v>38</v>
      </c>
      <c r="G781" s="1" t="s">
        <v>21</v>
      </c>
      <c r="H781" s="1" t="s">
        <v>12</v>
      </c>
      <c r="I781" s="12">
        <f>car_price_prediction_[[#This Row],[Mileage]]/1000</f>
        <v>113.52800000000001</v>
      </c>
      <c r="J781" s="5">
        <v>113528</v>
      </c>
      <c r="K781" s="1" t="s">
        <v>13</v>
      </c>
      <c r="L781" s="5">
        <f>car_price_prediction_[[#This Row],[Price]]/100</f>
        <v>63692.45</v>
      </c>
      <c r="M781">
        <v>6369245</v>
      </c>
      <c r="N781" s="1" t="s">
        <v>51</v>
      </c>
      <c r="O781" s="1">
        <f>IF(IFERROR(VLOOKUP(car_price_prediction_[[#This Row],[Car ID]],A782:A3281,1,FALSE),0),1,0)</f>
        <v>0</v>
      </c>
    </row>
    <row r="782" spans="1:15" x14ac:dyDescent="0.25">
      <c r="A782">
        <v>781</v>
      </c>
      <c r="B782" s="1" t="s">
        <v>36</v>
      </c>
      <c r="C782" s="1">
        <f>car_price_prediction_[[#This Row],[Year2]]</f>
        <v>2002</v>
      </c>
      <c r="D782">
        <v>2002</v>
      </c>
      <c r="E782">
        <f>car_price_prediction_[[#This Row],[Engine Size]]/10</f>
        <v>4.5999999999999996</v>
      </c>
      <c r="F782">
        <v>46</v>
      </c>
      <c r="G782" s="1" t="s">
        <v>16</v>
      </c>
      <c r="H782" s="1" t="s">
        <v>12</v>
      </c>
      <c r="I782" s="12">
        <f>car_price_prediction_[[#This Row],[Mileage]]/1000</f>
        <v>223.274</v>
      </c>
      <c r="J782" s="5">
        <v>223274</v>
      </c>
      <c r="K782" s="1" t="s">
        <v>13</v>
      </c>
      <c r="L782" s="5">
        <f>car_price_prediction_[[#This Row],[Price]]/100</f>
        <v>76403.56</v>
      </c>
      <c r="M782">
        <v>7640356</v>
      </c>
      <c r="N782" s="1" t="s">
        <v>37</v>
      </c>
      <c r="O782" s="1">
        <f>IF(IFERROR(VLOOKUP(car_price_prediction_[[#This Row],[Car ID]],A783:A3282,1,FALSE),0),1,0)</f>
        <v>0</v>
      </c>
    </row>
    <row r="783" spans="1:15" x14ac:dyDescent="0.25">
      <c r="A783">
        <v>782</v>
      </c>
      <c r="B783" s="1" t="s">
        <v>10</v>
      </c>
      <c r="C783" s="1">
        <f>car_price_prediction_[[#This Row],[Year2]]</f>
        <v>2023</v>
      </c>
      <c r="D783">
        <v>2023</v>
      </c>
      <c r="E783">
        <f>car_price_prediction_[[#This Row],[Engine Size]]/10</f>
        <v>1.3</v>
      </c>
      <c r="F783">
        <v>13</v>
      </c>
      <c r="G783" s="1" t="s">
        <v>11</v>
      </c>
      <c r="H783" s="1" t="s">
        <v>22</v>
      </c>
      <c r="I783" s="12">
        <f>car_price_prediction_[[#This Row],[Mileage]]/1000</f>
        <v>238.292</v>
      </c>
      <c r="J783" s="5">
        <v>238292</v>
      </c>
      <c r="K783" s="1" t="s">
        <v>13</v>
      </c>
      <c r="L783" s="5">
        <f>car_price_prediction_[[#This Row],[Price]]/100</f>
        <v>2533</v>
      </c>
      <c r="M783">
        <v>253300</v>
      </c>
      <c r="N783" s="1" t="s">
        <v>14</v>
      </c>
      <c r="O783" s="1">
        <f>IF(IFERROR(VLOOKUP(car_price_prediction_[[#This Row],[Car ID]],A784:A3283,1,FALSE),0),1,0)</f>
        <v>0</v>
      </c>
    </row>
    <row r="784" spans="1:15" x14ac:dyDescent="0.25">
      <c r="A784">
        <v>783</v>
      </c>
      <c r="B784" s="1" t="s">
        <v>24</v>
      </c>
      <c r="C784" s="1">
        <f>car_price_prediction_[[#This Row],[Year2]]</f>
        <v>2004</v>
      </c>
      <c r="D784">
        <v>2004</v>
      </c>
      <c r="E784">
        <f>car_price_prediction_[[#This Row],[Engine Size]]/10</f>
        <v>3.1</v>
      </c>
      <c r="F784">
        <v>31</v>
      </c>
      <c r="G784" s="1" t="s">
        <v>11</v>
      </c>
      <c r="H784" s="1" t="s">
        <v>22</v>
      </c>
      <c r="I784" s="12">
        <f>car_price_prediction_[[#This Row],[Mileage]]/1000</f>
        <v>181.02600000000001</v>
      </c>
      <c r="J784" s="5">
        <v>181026</v>
      </c>
      <c r="K784" s="1" t="s">
        <v>13</v>
      </c>
      <c r="L784" s="5">
        <f>car_price_prediction_[[#This Row],[Price]]/100</f>
        <v>73066.539999999994</v>
      </c>
      <c r="M784">
        <v>7306654</v>
      </c>
      <c r="N784" s="1" t="s">
        <v>53</v>
      </c>
      <c r="O784" s="1">
        <f>IF(IFERROR(VLOOKUP(car_price_prediction_[[#This Row],[Car ID]],A785:A3284,1,FALSE),0),1,0)</f>
        <v>0</v>
      </c>
    </row>
    <row r="785" spans="1:15" x14ac:dyDescent="0.25">
      <c r="A785">
        <v>784</v>
      </c>
      <c r="B785" s="1" t="s">
        <v>30</v>
      </c>
      <c r="C785" s="1">
        <f>car_price_prediction_[[#This Row],[Year2]]</f>
        <v>2015</v>
      </c>
      <c r="D785">
        <v>2015</v>
      </c>
      <c r="E785">
        <f>car_price_prediction_[[#This Row],[Engine Size]]/10</f>
        <v>1.6</v>
      </c>
      <c r="F785">
        <v>16</v>
      </c>
      <c r="G785" s="1" t="s">
        <v>11</v>
      </c>
      <c r="H785" s="1" t="s">
        <v>12</v>
      </c>
      <c r="I785" s="12">
        <f>car_price_prediction_[[#This Row],[Mileage]]/1000</f>
        <v>248.34200000000001</v>
      </c>
      <c r="J785" s="5">
        <v>248342</v>
      </c>
      <c r="K785" s="1" t="s">
        <v>25</v>
      </c>
      <c r="L785" s="5">
        <f>car_price_prediction_[[#This Row],[Price]]/100</f>
        <v>2662.3</v>
      </c>
      <c r="M785">
        <v>266230</v>
      </c>
      <c r="N785" s="1" t="s">
        <v>42</v>
      </c>
      <c r="O785" s="1">
        <f>IF(IFERROR(VLOOKUP(car_price_prediction_[[#This Row],[Car ID]],A786:A3285,1,FALSE),0),1,0)</f>
        <v>0</v>
      </c>
    </row>
    <row r="786" spans="1:15" x14ac:dyDescent="0.25">
      <c r="A786">
        <v>785</v>
      </c>
      <c r="B786" s="1" t="s">
        <v>30</v>
      </c>
      <c r="C786" s="1">
        <f>car_price_prediction_[[#This Row],[Year2]]</f>
        <v>2022</v>
      </c>
      <c r="D786">
        <v>2022</v>
      </c>
      <c r="E786">
        <f>car_price_prediction_[[#This Row],[Engine Size]]/10</f>
        <v>4.0999999999999996</v>
      </c>
      <c r="F786">
        <v>41</v>
      </c>
      <c r="G786" s="1" t="s">
        <v>11</v>
      </c>
      <c r="H786" s="1" t="s">
        <v>22</v>
      </c>
      <c r="I786" s="12">
        <f>car_price_prediction_[[#This Row],[Mileage]]/1000</f>
        <v>219.43700000000001</v>
      </c>
      <c r="J786" s="5">
        <v>219437</v>
      </c>
      <c r="K786" s="1" t="s">
        <v>25</v>
      </c>
      <c r="L786" s="5">
        <f>car_price_prediction_[[#This Row],[Price]]/100</f>
        <v>98794.83</v>
      </c>
      <c r="M786">
        <v>9879483</v>
      </c>
      <c r="N786" s="1" t="s">
        <v>42</v>
      </c>
      <c r="O786" s="1">
        <f>IF(IFERROR(VLOOKUP(car_price_prediction_[[#This Row],[Car ID]],A787:A3286,1,FALSE),0),1,0)</f>
        <v>0</v>
      </c>
    </row>
    <row r="787" spans="1:15" x14ac:dyDescent="0.25">
      <c r="A787">
        <v>786</v>
      </c>
      <c r="B787" s="1" t="s">
        <v>24</v>
      </c>
      <c r="C787" s="1">
        <f>car_price_prediction_[[#This Row],[Year2]]</f>
        <v>2019</v>
      </c>
      <c r="D787">
        <v>2019</v>
      </c>
      <c r="E787">
        <f>car_price_prediction_[[#This Row],[Engine Size]]/10</f>
        <v>5.7</v>
      </c>
      <c r="F787">
        <v>57</v>
      </c>
      <c r="G787" s="1" t="s">
        <v>16</v>
      </c>
      <c r="H787" s="1" t="s">
        <v>22</v>
      </c>
      <c r="I787" s="12">
        <f>car_price_prediction_[[#This Row],[Mileage]]/1000</f>
        <v>278.07600000000002</v>
      </c>
      <c r="J787" s="5">
        <v>278076</v>
      </c>
      <c r="K787" s="1" t="s">
        <v>13</v>
      </c>
      <c r="L787" s="5">
        <f>car_price_prediction_[[#This Row],[Price]]/100</f>
        <v>58189.18</v>
      </c>
      <c r="M787">
        <v>5818918</v>
      </c>
      <c r="N787" s="1" t="s">
        <v>34</v>
      </c>
      <c r="O787" s="1">
        <f>IF(IFERROR(VLOOKUP(car_price_prediction_[[#This Row],[Car ID]],A788:A3287,1,FALSE),0),1,0)</f>
        <v>0</v>
      </c>
    </row>
    <row r="788" spans="1:15" x14ac:dyDescent="0.25">
      <c r="A788">
        <v>787</v>
      </c>
      <c r="B788" s="1" t="s">
        <v>10</v>
      </c>
      <c r="C788" s="1">
        <f>car_price_prediction_[[#This Row],[Year2]]</f>
        <v>2003</v>
      </c>
      <c r="D788">
        <v>2003</v>
      </c>
      <c r="E788">
        <f>car_price_prediction_[[#This Row],[Engine Size]]/10</f>
        <v>4.3</v>
      </c>
      <c r="F788">
        <v>43</v>
      </c>
      <c r="G788" s="1" t="s">
        <v>21</v>
      </c>
      <c r="H788" s="1" t="s">
        <v>12</v>
      </c>
      <c r="I788" s="12">
        <f>car_price_prediction_[[#This Row],[Mileage]]/1000</f>
        <v>287.858</v>
      </c>
      <c r="J788" s="5">
        <v>287858</v>
      </c>
      <c r="K788" s="1" t="s">
        <v>13</v>
      </c>
      <c r="L788" s="5">
        <f>car_price_prediction_[[#This Row],[Price]]/100</f>
        <v>71085.73</v>
      </c>
      <c r="M788">
        <v>7108573</v>
      </c>
      <c r="N788" s="1" t="s">
        <v>33</v>
      </c>
      <c r="O788" s="1">
        <f>IF(IFERROR(VLOOKUP(car_price_prediction_[[#This Row],[Car ID]],A789:A3288,1,FALSE),0),1,0)</f>
        <v>0</v>
      </c>
    </row>
    <row r="789" spans="1:15" x14ac:dyDescent="0.25">
      <c r="A789">
        <v>788</v>
      </c>
      <c r="B789" s="1" t="s">
        <v>36</v>
      </c>
      <c r="C789" s="1">
        <f>car_price_prediction_[[#This Row],[Year2]]</f>
        <v>2023</v>
      </c>
      <c r="D789">
        <v>2023</v>
      </c>
      <c r="E789">
        <f>car_price_prediction_[[#This Row],[Engine Size]]/10</f>
        <v>1.4</v>
      </c>
      <c r="F789">
        <v>14</v>
      </c>
      <c r="G789" s="1" t="s">
        <v>16</v>
      </c>
      <c r="H789" s="1" t="s">
        <v>12</v>
      </c>
      <c r="I789" s="12">
        <f>car_price_prediction_[[#This Row],[Mileage]]/1000</f>
        <v>57.802999999999997</v>
      </c>
      <c r="J789" s="5">
        <v>57803</v>
      </c>
      <c r="K789" s="1" t="s">
        <v>13</v>
      </c>
      <c r="L789" s="5">
        <f>car_price_prediction_[[#This Row],[Price]]/100</f>
        <v>16248.15</v>
      </c>
      <c r="M789">
        <v>1624815</v>
      </c>
      <c r="N789" s="1" t="s">
        <v>41</v>
      </c>
      <c r="O789" s="1">
        <f>IF(IFERROR(VLOOKUP(car_price_prediction_[[#This Row],[Car ID]],A790:A3289,1,FALSE),0),1,0)</f>
        <v>0</v>
      </c>
    </row>
    <row r="790" spans="1:15" x14ac:dyDescent="0.25">
      <c r="A790">
        <v>789</v>
      </c>
      <c r="B790" s="1" t="s">
        <v>24</v>
      </c>
      <c r="C790" s="1">
        <f>car_price_prediction_[[#This Row],[Year2]]</f>
        <v>2023</v>
      </c>
      <c r="D790">
        <v>2023</v>
      </c>
      <c r="E790">
        <f>car_price_prediction_[[#This Row],[Engine Size]]/10</f>
        <v>2.8</v>
      </c>
      <c r="F790">
        <v>28</v>
      </c>
      <c r="G790" s="1" t="s">
        <v>21</v>
      </c>
      <c r="H790" s="1" t="s">
        <v>22</v>
      </c>
      <c r="I790" s="12">
        <f>car_price_prediction_[[#This Row],[Mileage]]/1000</f>
        <v>133.624</v>
      </c>
      <c r="J790" s="5">
        <v>133624</v>
      </c>
      <c r="K790" s="1" t="s">
        <v>13</v>
      </c>
      <c r="L790" s="5">
        <f>car_price_prediction_[[#This Row],[Price]]/100</f>
        <v>28812.32</v>
      </c>
      <c r="M790">
        <v>2881232</v>
      </c>
      <c r="N790" s="1" t="s">
        <v>26</v>
      </c>
      <c r="O790" s="1">
        <f>IF(IFERROR(VLOOKUP(car_price_prediction_[[#This Row],[Car ID]],A791:A3290,1,FALSE),0),1,0)</f>
        <v>0</v>
      </c>
    </row>
    <row r="791" spans="1:15" x14ac:dyDescent="0.25">
      <c r="A791">
        <v>790</v>
      </c>
      <c r="B791" s="1" t="s">
        <v>19</v>
      </c>
      <c r="C791" s="1">
        <f>car_price_prediction_[[#This Row],[Year2]]</f>
        <v>2001</v>
      </c>
      <c r="D791">
        <v>2001</v>
      </c>
      <c r="E791">
        <f>car_price_prediction_[[#This Row],[Engine Size]]/10</f>
        <v>3.8</v>
      </c>
      <c r="F791">
        <v>38</v>
      </c>
      <c r="G791" s="1" t="s">
        <v>16</v>
      </c>
      <c r="H791" s="1" t="s">
        <v>12</v>
      </c>
      <c r="I791" s="12">
        <f>car_price_prediction_[[#This Row],[Mileage]]/1000</f>
        <v>56.627000000000002</v>
      </c>
      <c r="J791" s="5">
        <v>56627</v>
      </c>
      <c r="K791" s="1" t="s">
        <v>17</v>
      </c>
      <c r="L791" s="5">
        <f>car_price_prediction_[[#This Row],[Price]]/100</f>
        <v>18275.36</v>
      </c>
      <c r="M791">
        <v>1827536</v>
      </c>
      <c r="N791" s="1" t="s">
        <v>38</v>
      </c>
      <c r="O791" s="1">
        <f>IF(IFERROR(VLOOKUP(car_price_prediction_[[#This Row],[Car ID]],A792:A3291,1,FALSE),0),1,0)</f>
        <v>0</v>
      </c>
    </row>
    <row r="792" spans="1:15" x14ac:dyDescent="0.25">
      <c r="A792">
        <v>791</v>
      </c>
      <c r="B792" s="1" t="s">
        <v>19</v>
      </c>
      <c r="C792" s="1">
        <f>car_price_prediction_[[#This Row],[Year2]]</f>
        <v>2017</v>
      </c>
      <c r="D792">
        <v>2017</v>
      </c>
      <c r="E792">
        <f>car_price_prediction_[[#This Row],[Engine Size]]/10</f>
        <v>3</v>
      </c>
      <c r="F792">
        <v>30</v>
      </c>
      <c r="G792" s="1" t="s">
        <v>29</v>
      </c>
      <c r="H792" s="1" t="s">
        <v>22</v>
      </c>
      <c r="I792" s="12">
        <f>car_price_prediction_[[#This Row],[Mileage]]/1000</f>
        <v>177.059</v>
      </c>
      <c r="J792" s="5">
        <v>177059</v>
      </c>
      <c r="K792" s="1" t="s">
        <v>17</v>
      </c>
      <c r="L792" s="5">
        <f>car_price_prediction_[[#This Row],[Price]]/100</f>
        <v>42066.22</v>
      </c>
      <c r="M792">
        <v>4206622</v>
      </c>
      <c r="N792" s="1" t="s">
        <v>28</v>
      </c>
      <c r="O792" s="1">
        <f>IF(IFERROR(VLOOKUP(car_price_prediction_[[#This Row],[Car ID]],A793:A3292,1,FALSE),0),1,0)</f>
        <v>0</v>
      </c>
    </row>
    <row r="793" spans="1:15" x14ac:dyDescent="0.25">
      <c r="A793">
        <v>792</v>
      </c>
      <c r="B793" s="1" t="s">
        <v>30</v>
      </c>
      <c r="C793" s="1">
        <f>car_price_prediction_[[#This Row],[Year2]]</f>
        <v>2018</v>
      </c>
      <c r="D793">
        <v>2018</v>
      </c>
      <c r="E793">
        <f>car_price_prediction_[[#This Row],[Engine Size]]/10</f>
        <v>5.2</v>
      </c>
      <c r="F793">
        <v>52</v>
      </c>
      <c r="G793" s="1" t="s">
        <v>29</v>
      </c>
      <c r="H793" s="1" t="s">
        <v>22</v>
      </c>
      <c r="I793" s="12">
        <f>car_price_prediction_[[#This Row],[Mileage]]/1000</f>
        <v>45.38</v>
      </c>
      <c r="J793" s="5">
        <v>45380</v>
      </c>
      <c r="K793" s="1" t="s">
        <v>17</v>
      </c>
      <c r="L793" s="5">
        <f>car_price_prediction_[[#This Row],[Price]]/100</f>
        <v>31992.91</v>
      </c>
      <c r="M793">
        <v>3199291</v>
      </c>
      <c r="N793" s="1" t="s">
        <v>48</v>
      </c>
      <c r="O793" s="1">
        <f>IF(IFERROR(VLOOKUP(car_price_prediction_[[#This Row],[Car ID]],A794:A3293,1,FALSE),0),1,0)</f>
        <v>0</v>
      </c>
    </row>
    <row r="794" spans="1:15" x14ac:dyDescent="0.25">
      <c r="A794">
        <v>793</v>
      </c>
      <c r="B794" s="1" t="s">
        <v>15</v>
      </c>
      <c r="C794" s="1">
        <f>car_price_prediction_[[#This Row],[Year2]]</f>
        <v>2018</v>
      </c>
      <c r="D794">
        <v>2018</v>
      </c>
      <c r="E794">
        <f>car_price_prediction_[[#This Row],[Engine Size]]/10</f>
        <v>5.0999999999999996</v>
      </c>
      <c r="F794">
        <v>51</v>
      </c>
      <c r="G794" s="1" t="s">
        <v>29</v>
      </c>
      <c r="H794" s="1" t="s">
        <v>22</v>
      </c>
      <c r="I794" s="12">
        <f>car_price_prediction_[[#This Row],[Mileage]]/1000</f>
        <v>160.322</v>
      </c>
      <c r="J794" s="5">
        <v>160322</v>
      </c>
      <c r="K794" s="1" t="s">
        <v>25</v>
      </c>
      <c r="L794" s="5">
        <f>car_price_prediction_[[#This Row],[Price]]/100</f>
        <v>74627.61</v>
      </c>
      <c r="M794">
        <v>7462761</v>
      </c>
      <c r="N794" s="1" t="s">
        <v>18</v>
      </c>
      <c r="O794" s="1">
        <f>IF(IFERROR(VLOOKUP(car_price_prediction_[[#This Row],[Car ID]],A795:A3294,1,FALSE),0),1,0)</f>
        <v>0</v>
      </c>
    </row>
    <row r="795" spans="1:15" x14ac:dyDescent="0.25">
      <c r="A795">
        <v>794</v>
      </c>
      <c r="B795" s="1" t="s">
        <v>36</v>
      </c>
      <c r="C795" s="1">
        <f>car_price_prediction_[[#This Row],[Year2]]</f>
        <v>2016</v>
      </c>
      <c r="D795">
        <v>2016</v>
      </c>
      <c r="E795">
        <f>car_price_prediction_[[#This Row],[Engine Size]]/10</f>
        <v>4.0999999999999996</v>
      </c>
      <c r="F795">
        <v>41</v>
      </c>
      <c r="G795" s="1" t="s">
        <v>29</v>
      </c>
      <c r="H795" s="1" t="s">
        <v>12</v>
      </c>
      <c r="I795" s="12">
        <f>car_price_prediction_[[#This Row],[Mileage]]/1000</f>
        <v>199.416</v>
      </c>
      <c r="J795" s="5">
        <v>199416</v>
      </c>
      <c r="K795" s="1" t="s">
        <v>13</v>
      </c>
      <c r="L795" s="5">
        <f>car_price_prediction_[[#This Row],[Price]]/100</f>
        <v>15327.35</v>
      </c>
      <c r="M795">
        <v>1532735</v>
      </c>
      <c r="N795" s="1" t="s">
        <v>41</v>
      </c>
      <c r="O795" s="1">
        <f>IF(IFERROR(VLOOKUP(car_price_prediction_[[#This Row],[Car ID]],A796:A3295,1,FALSE),0),1,0)</f>
        <v>0</v>
      </c>
    </row>
    <row r="796" spans="1:15" x14ac:dyDescent="0.25">
      <c r="A796">
        <v>795</v>
      </c>
      <c r="B796" s="1" t="s">
        <v>30</v>
      </c>
      <c r="C796" s="1">
        <f>car_price_prediction_[[#This Row],[Year2]]</f>
        <v>2013</v>
      </c>
      <c r="D796">
        <v>2013</v>
      </c>
      <c r="E796">
        <f>car_price_prediction_[[#This Row],[Engine Size]]/10</f>
        <v>2.9</v>
      </c>
      <c r="F796">
        <v>29</v>
      </c>
      <c r="G796" s="1" t="s">
        <v>11</v>
      </c>
      <c r="H796" s="1" t="s">
        <v>22</v>
      </c>
      <c r="I796" s="12">
        <f>car_price_prediction_[[#This Row],[Mileage]]/1000</f>
        <v>146.36699999999999</v>
      </c>
      <c r="J796" s="5">
        <v>146367</v>
      </c>
      <c r="K796" s="1" t="s">
        <v>17</v>
      </c>
      <c r="L796" s="5">
        <f>car_price_prediction_[[#This Row],[Price]]/100</f>
        <v>76445.64</v>
      </c>
      <c r="M796">
        <v>7644564</v>
      </c>
      <c r="N796" s="1" t="s">
        <v>48</v>
      </c>
      <c r="O796" s="1">
        <f>IF(IFERROR(VLOOKUP(car_price_prediction_[[#This Row],[Car ID]],A797:A3296,1,FALSE),0),1,0)</f>
        <v>0</v>
      </c>
    </row>
    <row r="797" spans="1:15" x14ac:dyDescent="0.25">
      <c r="A797">
        <v>796</v>
      </c>
      <c r="B797" s="1" t="s">
        <v>15</v>
      </c>
      <c r="C797" s="1">
        <f>car_price_prediction_[[#This Row],[Year2]]</f>
        <v>2018</v>
      </c>
      <c r="D797">
        <v>2018</v>
      </c>
      <c r="E797">
        <f>car_price_prediction_[[#This Row],[Engine Size]]/10</f>
        <v>2.2999999999999998</v>
      </c>
      <c r="F797">
        <v>23</v>
      </c>
      <c r="G797" s="1" t="s">
        <v>11</v>
      </c>
      <c r="H797" s="1" t="s">
        <v>12</v>
      </c>
      <c r="I797" s="12">
        <f>car_price_prediction_[[#This Row],[Mileage]]/1000</f>
        <v>272.66699999999997</v>
      </c>
      <c r="J797" s="5">
        <v>272667</v>
      </c>
      <c r="K797" s="1" t="s">
        <v>13</v>
      </c>
      <c r="L797" s="5">
        <f>car_price_prediction_[[#This Row],[Price]]/100</f>
        <v>9341.9599999999991</v>
      </c>
      <c r="M797">
        <v>934196</v>
      </c>
      <c r="N797" s="1" t="s">
        <v>35</v>
      </c>
      <c r="O797" s="1">
        <f>IF(IFERROR(VLOOKUP(car_price_prediction_[[#This Row],[Car ID]],A798:A3297,1,FALSE),0),1,0)</f>
        <v>0</v>
      </c>
    </row>
    <row r="798" spans="1:15" x14ac:dyDescent="0.25">
      <c r="A798">
        <v>797</v>
      </c>
      <c r="B798" s="1" t="s">
        <v>15</v>
      </c>
      <c r="C798" s="1">
        <f>car_price_prediction_[[#This Row],[Year2]]</f>
        <v>2021</v>
      </c>
      <c r="D798">
        <v>2021</v>
      </c>
      <c r="E798">
        <f>car_price_prediction_[[#This Row],[Engine Size]]/10</f>
        <v>1.5</v>
      </c>
      <c r="F798">
        <v>15</v>
      </c>
      <c r="G798" s="1" t="s">
        <v>16</v>
      </c>
      <c r="H798" s="1" t="s">
        <v>12</v>
      </c>
      <c r="I798" s="12">
        <f>car_price_prediction_[[#This Row],[Mileage]]/1000</f>
        <v>259.125</v>
      </c>
      <c r="J798" s="5">
        <v>259125</v>
      </c>
      <c r="K798" s="1" t="s">
        <v>13</v>
      </c>
      <c r="L798" s="5">
        <f>car_price_prediction_[[#This Row],[Price]]/100</f>
        <v>24191.69</v>
      </c>
      <c r="M798">
        <v>2419169</v>
      </c>
      <c r="N798" s="1" t="s">
        <v>35</v>
      </c>
      <c r="O798" s="1">
        <f>IF(IFERROR(VLOOKUP(car_price_prediction_[[#This Row],[Car ID]],A799:A3298,1,FALSE),0),1,0)</f>
        <v>0</v>
      </c>
    </row>
    <row r="799" spans="1:15" x14ac:dyDescent="0.25">
      <c r="A799">
        <v>798</v>
      </c>
      <c r="B799" s="1" t="s">
        <v>19</v>
      </c>
      <c r="C799" s="1">
        <f>car_price_prediction_[[#This Row],[Year2]]</f>
        <v>2023</v>
      </c>
      <c r="D799">
        <v>2023</v>
      </c>
      <c r="E799">
        <f>car_price_prediction_[[#This Row],[Engine Size]]/10</f>
        <v>2.8</v>
      </c>
      <c r="F799">
        <v>28</v>
      </c>
      <c r="G799" s="1" t="s">
        <v>16</v>
      </c>
      <c r="H799" s="1" t="s">
        <v>12</v>
      </c>
      <c r="I799" s="12">
        <f>car_price_prediction_[[#This Row],[Mileage]]/1000</f>
        <v>13.769</v>
      </c>
      <c r="J799" s="5">
        <v>13769</v>
      </c>
      <c r="K799" s="1" t="s">
        <v>25</v>
      </c>
      <c r="L799" s="5">
        <f>car_price_prediction_[[#This Row],[Price]]/100</f>
        <v>80236.67</v>
      </c>
      <c r="M799">
        <v>8023667</v>
      </c>
      <c r="N799" s="1" t="s">
        <v>20</v>
      </c>
      <c r="O799" s="1">
        <f>IF(IFERROR(VLOOKUP(car_price_prediction_[[#This Row],[Car ID]],A800:A3299,1,FALSE),0),1,0)</f>
        <v>0</v>
      </c>
    </row>
    <row r="800" spans="1:15" x14ac:dyDescent="0.25">
      <c r="A800">
        <v>799</v>
      </c>
      <c r="B800" s="1" t="s">
        <v>10</v>
      </c>
      <c r="C800" s="1">
        <f>car_price_prediction_[[#This Row],[Year2]]</f>
        <v>2012</v>
      </c>
      <c r="D800">
        <v>2012</v>
      </c>
      <c r="E800">
        <f>car_price_prediction_[[#This Row],[Engine Size]]/10</f>
        <v>3.1</v>
      </c>
      <c r="F800">
        <v>31</v>
      </c>
      <c r="G800" s="1" t="s">
        <v>29</v>
      </c>
      <c r="H800" s="1" t="s">
        <v>12</v>
      </c>
      <c r="I800" s="12">
        <f>car_price_prediction_[[#This Row],[Mileage]]/1000</f>
        <v>112.035</v>
      </c>
      <c r="J800" s="5">
        <v>112035</v>
      </c>
      <c r="K800" s="1" t="s">
        <v>25</v>
      </c>
      <c r="L800" s="5">
        <f>car_price_prediction_[[#This Row],[Price]]/100</f>
        <v>75563.78</v>
      </c>
      <c r="M800">
        <v>7556378</v>
      </c>
      <c r="N800" s="1" t="s">
        <v>14</v>
      </c>
      <c r="O800" s="1">
        <f>IF(IFERROR(VLOOKUP(car_price_prediction_[[#This Row],[Car ID]],A801:A3300,1,FALSE),0),1,0)</f>
        <v>0</v>
      </c>
    </row>
    <row r="801" spans="1:15" x14ac:dyDescent="0.25">
      <c r="A801">
        <v>800</v>
      </c>
      <c r="B801" s="1" t="s">
        <v>43</v>
      </c>
      <c r="C801" s="1">
        <f>car_price_prediction_[[#This Row],[Year2]]</f>
        <v>2011</v>
      </c>
      <c r="D801">
        <v>2011</v>
      </c>
      <c r="E801">
        <f>car_price_prediction_[[#This Row],[Engine Size]]/10</f>
        <v>4.4000000000000004</v>
      </c>
      <c r="F801">
        <v>44</v>
      </c>
      <c r="G801" s="1" t="s">
        <v>21</v>
      </c>
      <c r="H801" s="1" t="s">
        <v>12</v>
      </c>
      <c r="I801" s="12">
        <f>car_price_prediction_[[#This Row],[Mileage]]/1000</f>
        <v>175.71700000000001</v>
      </c>
      <c r="J801" s="5">
        <v>175717</v>
      </c>
      <c r="K801" s="1" t="s">
        <v>17</v>
      </c>
      <c r="L801" s="5">
        <f>car_price_prediction_[[#This Row],[Price]]/100</f>
        <v>50250.98</v>
      </c>
      <c r="M801">
        <v>5025098</v>
      </c>
      <c r="N801" s="1" t="s">
        <v>44</v>
      </c>
      <c r="O801" s="1">
        <f>IF(IFERROR(VLOOKUP(car_price_prediction_[[#This Row],[Car ID]],A802:A3301,1,FALSE),0),1,0)</f>
        <v>0</v>
      </c>
    </row>
    <row r="802" spans="1:15" x14ac:dyDescent="0.25">
      <c r="A802">
        <v>801</v>
      </c>
      <c r="B802" s="1" t="s">
        <v>10</v>
      </c>
      <c r="C802" s="1">
        <f>car_price_prediction_[[#This Row],[Year2]]</f>
        <v>2005</v>
      </c>
      <c r="D802">
        <v>2005</v>
      </c>
      <c r="E802">
        <f>car_price_prediction_[[#This Row],[Engine Size]]/10</f>
        <v>4.3</v>
      </c>
      <c r="F802">
        <v>43</v>
      </c>
      <c r="G802" s="1" t="s">
        <v>29</v>
      </c>
      <c r="H802" s="1" t="s">
        <v>22</v>
      </c>
      <c r="I802" s="12">
        <f>car_price_prediction_[[#This Row],[Mileage]]/1000</f>
        <v>221.815</v>
      </c>
      <c r="J802" s="5">
        <v>221815</v>
      </c>
      <c r="K802" s="1" t="s">
        <v>17</v>
      </c>
      <c r="L802" s="5">
        <f>car_price_prediction_[[#This Row],[Price]]/100</f>
        <v>9748.36</v>
      </c>
      <c r="M802">
        <v>974836</v>
      </c>
      <c r="N802" s="1" t="s">
        <v>23</v>
      </c>
      <c r="O802" s="1">
        <f>IF(IFERROR(VLOOKUP(car_price_prediction_[[#This Row],[Car ID]],A803:A3302,1,FALSE),0),1,0)</f>
        <v>0</v>
      </c>
    </row>
    <row r="803" spans="1:15" x14ac:dyDescent="0.25">
      <c r="A803">
        <v>802</v>
      </c>
      <c r="B803" s="1" t="s">
        <v>43</v>
      </c>
      <c r="C803" s="1">
        <f>car_price_prediction_[[#This Row],[Year2]]</f>
        <v>2020</v>
      </c>
      <c r="D803">
        <v>2020</v>
      </c>
      <c r="E803">
        <f>car_price_prediction_[[#This Row],[Engine Size]]/10</f>
        <v>1.4</v>
      </c>
      <c r="F803">
        <v>14</v>
      </c>
      <c r="G803" s="1" t="s">
        <v>16</v>
      </c>
      <c r="H803" s="1" t="s">
        <v>12</v>
      </c>
      <c r="I803" s="12">
        <f>car_price_prediction_[[#This Row],[Mileage]]/1000</f>
        <v>231.83199999999999</v>
      </c>
      <c r="J803" s="5">
        <v>231832</v>
      </c>
      <c r="K803" s="1" t="s">
        <v>25</v>
      </c>
      <c r="L803" s="5">
        <f>car_price_prediction_[[#This Row],[Price]]/100</f>
        <v>62939.91</v>
      </c>
      <c r="M803">
        <v>6293991</v>
      </c>
      <c r="N803" s="1" t="s">
        <v>44</v>
      </c>
      <c r="O803" s="1">
        <f>IF(IFERROR(VLOOKUP(car_price_prediction_[[#This Row],[Car ID]],A804:A3303,1,FALSE),0),1,0)</f>
        <v>0</v>
      </c>
    </row>
    <row r="804" spans="1:15" x14ac:dyDescent="0.25">
      <c r="A804">
        <v>803</v>
      </c>
      <c r="B804" s="1" t="s">
        <v>24</v>
      </c>
      <c r="C804" s="1">
        <f>car_price_prediction_[[#This Row],[Year2]]</f>
        <v>2003</v>
      </c>
      <c r="D804">
        <v>2003</v>
      </c>
      <c r="E804">
        <f>car_price_prediction_[[#This Row],[Engine Size]]/10</f>
        <v>3</v>
      </c>
      <c r="F804">
        <v>30</v>
      </c>
      <c r="G804" s="1" t="s">
        <v>29</v>
      </c>
      <c r="H804" s="1" t="s">
        <v>12</v>
      </c>
      <c r="I804" s="12">
        <f>car_price_prediction_[[#This Row],[Mileage]]/1000</f>
        <v>156.62899999999999</v>
      </c>
      <c r="J804" s="5">
        <v>156629</v>
      </c>
      <c r="K804" s="1" t="s">
        <v>25</v>
      </c>
      <c r="L804" s="5">
        <f>car_price_prediction_[[#This Row],[Price]]/100</f>
        <v>43638.79</v>
      </c>
      <c r="M804">
        <v>4363879</v>
      </c>
      <c r="N804" s="1" t="s">
        <v>53</v>
      </c>
      <c r="O804" s="1">
        <f>IF(IFERROR(VLOOKUP(car_price_prediction_[[#This Row],[Car ID]],A805:A3304,1,FALSE),0),1,0)</f>
        <v>0</v>
      </c>
    </row>
    <row r="805" spans="1:15" x14ac:dyDescent="0.25">
      <c r="A805">
        <v>804</v>
      </c>
      <c r="B805" s="1" t="s">
        <v>19</v>
      </c>
      <c r="C805" s="1">
        <f>car_price_prediction_[[#This Row],[Year2]]</f>
        <v>2018</v>
      </c>
      <c r="D805">
        <v>2018</v>
      </c>
      <c r="E805">
        <f>car_price_prediction_[[#This Row],[Engine Size]]/10</f>
        <v>1.9</v>
      </c>
      <c r="F805">
        <v>19</v>
      </c>
      <c r="G805" s="1" t="s">
        <v>16</v>
      </c>
      <c r="H805" s="1" t="s">
        <v>12</v>
      </c>
      <c r="I805" s="12">
        <f>car_price_prediction_[[#This Row],[Mileage]]/1000</f>
        <v>234.79900000000001</v>
      </c>
      <c r="J805" s="5">
        <v>234799</v>
      </c>
      <c r="K805" s="1" t="s">
        <v>13</v>
      </c>
      <c r="L805" s="5">
        <f>car_price_prediction_[[#This Row],[Price]]/100</f>
        <v>35070.17</v>
      </c>
      <c r="M805">
        <v>3507017</v>
      </c>
      <c r="N805" s="1" t="s">
        <v>27</v>
      </c>
      <c r="O805" s="1">
        <f>IF(IFERROR(VLOOKUP(car_price_prediction_[[#This Row],[Car ID]],A806:A3305,1,FALSE),0),1,0)</f>
        <v>0</v>
      </c>
    </row>
    <row r="806" spans="1:15" x14ac:dyDescent="0.25">
      <c r="A806">
        <v>805</v>
      </c>
      <c r="B806" s="1" t="s">
        <v>15</v>
      </c>
      <c r="C806" s="1">
        <f>car_price_prediction_[[#This Row],[Year2]]</f>
        <v>2015</v>
      </c>
      <c r="D806">
        <v>2015</v>
      </c>
      <c r="E806">
        <f>car_price_prediction_[[#This Row],[Engine Size]]/10</f>
        <v>1.8</v>
      </c>
      <c r="F806">
        <v>18</v>
      </c>
      <c r="G806" s="1" t="s">
        <v>29</v>
      </c>
      <c r="H806" s="1" t="s">
        <v>12</v>
      </c>
      <c r="I806" s="12">
        <f>car_price_prediction_[[#This Row],[Mileage]]/1000</f>
        <v>168.15700000000001</v>
      </c>
      <c r="J806" s="5">
        <v>168157</v>
      </c>
      <c r="K806" s="1" t="s">
        <v>13</v>
      </c>
      <c r="L806" s="5">
        <f>car_price_prediction_[[#This Row],[Price]]/100</f>
        <v>65839.009999999995</v>
      </c>
      <c r="M806">
        <v>6583901</v>
      </c>
      <c r="N806" s="1" t="s">
        <v>18</v>
      </c>
      <c r="O806" s="1">
        <f>IF(IFERROR(VLOOKUP(car_price_prediction_[[#This Row],[Car ID]],A807:A3306,1,FALSE),0),1,0)</f>
        <v>0</v>
      </c>
    </row>
    <row r="807" spans="1:15" x14ac:dyDescent="0.25">
      <c r="A807">
        <v>806</v>
      </c>
      <c r="B807" s="1" t="s">
        <v>36</v>
      </c>
      <c r="C807" s="1">
        <f>car_price_prediction_[[#This Row],[Year2]]</f>
        <v>2012</v>
      </c>
      <c r="D807">
        <v>2012</v>
      </c>
      <c r="E807">
        <f>car_price_prediction_[[#This Row],[Engine Size]]/10</f>
        <v>5.0999999999999996</v>
      </c>
      <c r="F807">
        <v>51</v>
      </c>
      <c r="G807" s="1" t="s">
        <v>21</v>
      </c>
      <c r="H807" s="1" t="s">
        <v>12</v>
      </c>
      <c r="I807" s="12">
        <f>car_price_prediction_[[#This Row],[Mileage]]/1000</f>
        <v>144.542</v>
      </c>
      <c r="J807" s="5">
        <v>144542</v>
      </c>
      <c r="K807" s="1" t="s">
        <v>17</v>
      </c>
      <c r="L807" s="5">
        <f>car_price_prediction_[[#This Row],[Price]]/100</f>
        <v>46478.38</v>
      </c>
      <c r="M807">
        <v>4647838</v>
      </c>
      <c r="N807" s="1" t="s">
        <v>37</v>
      </c>
      <c r="O807" s="1">
        <f>IF(IFERROR(VLOOKUP(car_price_prediction_[[#This Row],[Car ID]],A808:A3307,1,FALSE),0),1,0)</f>
        <v>0</v>
      </c>
    </row>
    <row r="808" spans="1:15" x14ac:dyDescent="0.25">
      <c r="A808">
        <v>807</v>
      </c>
      <c r="B808" s="1" t="s">
        <v>43</v>
      </c>
      <c r="C808" s="1">
        <f>car_price_prediction_[[#This Row],[Year2]]</f>
        <v>2003</v>
      </c>
      <c r="D808">
        <v>2003</v>
      </c>
      <c r="E808">
        <f>car_price_prediction_[[#This Row],[Engine Size]]/10</f>
        <v>1.2</v>
      </c>
      <c r="F808">
        <v>12</v>
      </c>
      <c r="G808" s="1" t="s">
        <v>29</v>
      </c>
      <c r="H808" s="1" t="s">
        <v>22</v>
      </c>
      <c r="I808" s="12">
        <f>car_price_prediction_[[#This Row],[Mileage]]/1000</f>
        <v>118.643</v>
      </c>
      <c r="J808" s="5">
        <v>118643</v>
      </c>
      <c r="K808" s="1" t="s">
        <v>17</v>
      </c>
      <c r="L808" s="5">
        <f>car_price_prediction_[[#This Row],[Price]]/100</f>
        <v>1378</v>
      </c>
      <c r="M808">
        <v>137800</v>
      </c>
      <c r="N808" s="1" t="s">
        <v>47</v>
      </c>
      <c r="O808" s="1">
        <f>IF(IFERROR(VLOOKUP(car_price_prediction_[[#This Row],[Car ID]],A809:A3308,1,FALSE),0),1,0)</f>
        <v>0</v>
      </c>
    </row>
    <row r="809" spans="1:15" x14ac:dyDescent="0.25">
      <c r="A809">
        <v>808</v>
      </c>
      <c r="B809" s="1" t="s">
        <v>10</v>
      </c>
      <c r="C809" s="1">
        <f>car_price_prediction_[[#This Row],[Year2]]</f>
        <v>2022</v>
      </c>
      <c r="D809">
        <v>2022</v>
      </c>
      <c r="E809">
        <f>car_price_prediction_[[#This Row],[Engine Size]]/10</f>
        <v>3.1</v>
      </c>
      <c r="F809">
        <v>31</v>
      </c>
      <c r="G809" s="1" t="s">
        <v>21</v>
      </c>
      <c r="H809" s="1" t="s">
        <v>12</v>
      </c>
      <c r="I809" s="12">
        <f>car_price_prediction_[[#This Row],[Mileage]]/1000</f>
        <v>210.154</v>
      </c>
      <c r="J809" s="5">
        <v>210154</v>
      </c>
      <c r="K809" s="1" t="s">
        <v>25</v>
      </c>
      <c r="L809" s="5">
        <f>car_price_prediction_[[#This Row],[Price]]/100</f>
        <v>92015.29</v>
      </c>
      <c r="M809">
        <v>9201529</v>
      </c>
      <c r="N809" s="1" t="s">
        <v>49</v>
      </c>
      <c r="O809" s="1">
        <f>IF(IFERROR(VLOOKUP(car_price_prediction_[[#This Row],[Car ID]],A810:A3309,1,FALSE),0),1,0)</f>
        <v>0</v>
      </c>
    </row>
    <row r="810" spans="1:15" x14ac:dyDescent="0.25">
      <c r="A810">
        <v>809</v>
      </c>
      <c r="B810" s="1" t="s">
        <v>15</v>
      </c>
      <c r="C810" s="1">
        <f>car_price_prediction_[[#This Row],[Year2]]</f>
        <v>2016</v>
      </c>
      <c r="D810">
        <v>2016</v>
      </c>
      <c r="E810">
        <f>car_price_prediction_[[#This Row],[Engine Size]]/10</f>
        <v>1.8</v>
      </c>
      <c r="F810">
        <v>18</v>
      </c>
      <c r="G810" s="1" t="s">
        <v>21</v>
      </c>
      <c r="H810" s="1" t="s">
        <v>12</v>
      </c>
      <c r="I810" s="12">
        <f>car_price_prediction_[[#This Row],[Mileage]]/1000</f>
        <v>137.87700000000001</v>
      </c>
      <c r="J810" s="5">
        <v>137877</v>
      </c>
      <c r="K810" s="1" t="s">
        <v>17</v>
      </c>
      <c r="L810" s="5">
        <f>car_price_prediction_[[#This Row],[Price]]/100</f>
        <v>78956.84</v>
      </c>
      <c r="M810">
        <v>7895684</v>
      </c>
      <c r="N810" s="1" t="s">
        <v>51</v>
      </c>
      <c r="O810" s="1">
        <f>IF(IFERROR(VLOOKUP(car_price_prediction_[[#This Row],[Car ID]],A811:A3310,1,FALSE),0),1,0)</f>
        <v>0</v>
      </c>
    </row>
    <row r="811" spans="1:15" x14ac:dyDescent="0.25">
      <c r="A811">
        <v>810</v>
      </c>
      <c r="B811" s="1" t="s">
        <v>43</v>
      </c>
      <c r="C811" s="1">
        <f>car_price_prediction_[[#This Row],[Year2]]</f>
        <v>2022</v>
      </c>
      <c r="D811">
        <v>2022</v>
      </c>
      <c r="E811">
        <f>car_price_prediction_[[#This Row],[Engine Size]]/10</f>
        <v>5.4</v>
      </c>
      <c r="F811">
        <v>54</v>
      </c>
      <c r="G811" s="1" t="s">
        <v>16</v>
      </c>
      <c r="H811" s="1" t="s">
        <v>22</v>
      </c>
      <c r="I811" s="12">
        <f>car_price_prediction_[[#This Row],[Mileage]]/1000</f>
        <v>213.39599999999999</v>
      </c>
      <c r="J811" s="5">
        <v>213396</v>
      </c>
      <c r="K811" s="1" t="s">
        <v>13</v>
      </c>
      <c r="L811" s="5">
        <f>car_price_prediction_[[#This Row],[Price]]/100</f>
        <v>10355.93</v>
      </c>
      <c r="M811">
        <v>1035593</v>
      </c>
      <c r="N811" s="1" t="s">
        <v>50</v>
      </c>
      <c r="O811" s="1">
        <f>IF(IFERROR(VLOOKUP(car_price_prediction_[[#This Row],[Car ID]],A812:A3311,1,FALSE),0),1,0)</f>
        <v>0</v>
      </c>
    </row>
    <row r="812" spans="1:15" x14ac:dyDescent="0.25">
      <c r="A812">
        <v>811</v>
      </c>
      <c r="B812" s="1" t="s">
        <v>43</v>
      </c>
      <c r="C812" s="1">
        <f>car_price_prediction_[[#This Row],[Year2]]</f>
        <v>2000</v>
      </c>
      <c r="D812">
        <v>2000</v>
      </c>
      <c r="E812">
        <f>car_price_prediction_[[#This Row],[Engine Size]]/10</f>
        <v>3.8</v>
      </c>
      <c r="F812">
        <v>38</v>
      </c>
      <c r="G812" s="1" t="s">
        <v>21</v>
      </c>
      <c r="H812" s="1" t="s">
        <v>12</v>
      </c>
      <c r="I812" s="12">
        <f>car_price_prediction_[[#This Row],[Mileage]]/1000</f>
        <v>225.95599999999999</v>
      </c>
      <c r="J812" s="5">
        <v>225956</v>
      </c>
      <c r="K812" s="1" t="s">
        <v>25</v>
      </c>
      <c r="L812" s="5">
        <f>car_price_prediction_[[#This Row],[Price]]/100</f>
        <v>54881.07</v>
      </c>
      <c r="M812">
        <v>5488107</v>
      </c>
      <c r="N812" s="1" t="s">
        <v>50</v>
      </c>
      <c r="O812" s="1">
        <f>IF(IFERROR(VLOOKUP(car_price_prediction_[[#This Row],[Car ID]],A813:A3312,1,FALSE),0),1,0)</f>
        <v>0</v>
      </c>
    </row>
    <row r="813" spans="1:15" x14ac:dyDescent="0.25">
      <c r="A813">
        <v>812</v>
      </c>
      <c r="B813" s="1" t="s">
        <v>43</v>
      </c>
      <c r="C813" s="1">
        <f>car_price_prediction_[[#This Row],[Year2]]</f>
        <v>2017</v>
      </c>
      <c r="D813">
        <v>2017</v>
      </c>
      <c r="E813">
        <f>car_price_prediction_[[#This Row],[Engine Size]]/10</f>
        <v>2.2000000000000002</v>
      </c>
      <c r="F813">
        <v>22</v>
      </c>
      <c r="G813" s="1" t="s">
        <v>11</v>
      </c>
      <c r="H813" s="1" t="s">
        <v>22</v>
      </c>
      <c r="I813" s="12">
        <f>car_price_prediction_[[#This Row],[Mileage]]/1000</f>
        <v>181.84399999999999</v>
      </c>
      <c r="J813" s="5">
        <v>181844</v>
      </c>
      <c r="K813" s="1" t="s">
        <v>13</v>
      </c>
      <c r="L813" s="5">
        <f>car_price_prediction_[[#This Row],[Price]]/100</f>
        <v>12920.87</v>
      </c>
      <c r="M813">
        <v>1292087</v>
      </c>
      <c r="N813" s="1" t="s">
        <v>47</v>
      </c>
      <c r="O813" s="1">
        <f>IF(IFERROR(VLOOKUP(car_price_prediction_[[#This Row],[Car ID]],A814:A3313,1,FALSE),0),1,0)</f>
        <v>0</v>
      </c>
    </row>
    <row r="814" spans="1:15" x14ac:dyDescent="0.25">
      <c r="A814">
        <v>813</v>
      </c>
      <c r="B814" s="1" t="s">
        <v>36</v>
      </c>
      <c r="C814" s="1">
        <f>car_price_prediction_[[#This Row],[Year2]]</f>
        <v>2019</v>
      </c>
      <c r="D814">
        <v>2019</v>
      </c>
      <c r="E814">
        <f>car_price_prediction_[[#This Row],[Engine Size]]/10</f>
        <v>3.5</v>
      </c>
      <c r="F814">
        <v>35</v>
      </c>
      <c r="G814" s="1" t="s">
        <v>11</v>
      </c>
      <c r="H814" s="1" t="s">
        <v>22</v>
      </c>
      <c r="I814" s="12">
        <f>car_price_prediction_[[#This Row],[Mileage]]/1000</f>
        <v>101.422</v>
      </c>
      <c r="J814" s="5">
        <v>101422</v>
      </c>
      <c r="K814" s="1" t="s">
        <v>25</v>
      </c>
      <c r="L814" s="5">
        <f>car_price_prediction_[[#This Row],[Price]]/100</f>
        <v>84542.54</v>
      </c>
      <c r="M814">
        <v>8454254</v>
      </c>
      <c r="N814" s="1" t="s">
        <v>37</v>
      </c>
      <c r="O814" s="1">
        <f>IF(IFERROR(VLOOKUP(car_price_prediction_[[#This Row],[Car ID]],A815:A3314,1,FALSE),0),1,0)</f>
        <v>0</v>
      </c>
    </row>
    <row r="815" spans="1:15" x14ac:dyDescent="0.25">
      <c r="A815">
        <v>814</v>
      </c>
      <c r="B815" s="1" t="s">
        <v>19</v>
      </c>
      <c r="C815" s="1">
        <f>car_price_prediction_[[#This Row],[Year2]]</f>
        <v>2016</v>
      </c>
      <c r="D815">
        <v>2016</v>
      </c>
      <c r="E815">
        <f>car_price_prediction_[[#This Row],[Engine Size]]/10</f>
        <v>4.7</v>
      </c>
      <c r="F815">
        <v>47</v>
      </c>
      <c r="G815" s="1" t="s">
        <v>11</v>
      </c>
      <c r="H815" s="1" t="s">
        <v>22</v>
      </c>
      <c r="I815" s="12">
        <f>car_price_prediction_[[#This Row],[Mileage]]/1000</f>
        <v>268.774</v>
      </c>
      <c r="J815" s="5">
        <v>268774</v>
      </c>
      <c r="K815" s="1" t="s">
        <v>25</v>
      </c>
      <c r="L815" s="5">
        <f>car_price_prediction_[[#This Row],[Price]]/100</f>
        <v>63236.33</v>
      </c>
      <c r="M815">
        <v>6323633</v>
      </c>
      <c r="N815" s="1" t="s">
        <v>27</v>
      </c>
      <c r="O815" s="1">
        <f>IF(IFERROR(VLOOKUP(car_price_prediction_[[#This Row],[Car ID]],A816:A3315,1,FALSE),0),1,0)</f>
        <v>0</v>
      </c>
    </row>
    <row r="816" spans="1:15" x14ac:dyDescent="0.25">
      <c r="A816">
        <v>815</v>
      </c>
      <c r="B816" s="1" t="s">
        <v>36</v>
      </c>
      <c r="C816" s="1">
        <f>car_price_prediction_[[#This Row],[Year2]]</f>
        <v>2014</v>
      </c>
      <c r="D816">
        <v>2014</v>
      </c>
      <c r="E816">
        <f>car_price_prediction_[[#This Row],[Engine Size]]/10</f>
        <v>5.8</v>
      </c>
      <c r="F816">
        <v>58</v>
      </c>
      <c r="G816" s="1" t="s">
        <v>16</v>
      </c>
      <c r="H816" s="1" t="s">
        <v>22</v>
      </c>
      <c r="I816" s="12">
        <f>car_price_prediction_[[#This Row],[Mileage]]/1000</f>
        <v>277.84500000000003</v>
      </c>
      <c r="J816" s="5">
        <v>277845</v>
      </c>
      <c r="K816" s="1" t="s">
        <v>13</v>
      </c>
      <c r="L816" s="5">
        <f>car_price_prediction_[[#This Row],[Price]]/100</f>
        <v>21382.67</v>
      </c>
      <c r="M816">
        <v>2138267</v>
      </c>
      <c r="N816" s="1" t="s">
        <v>40</v>
      </c>
      <c r="O816" s="1">
        <f>IF(IFERROR(VLOOKUP(car_price_prediction_[[#This Row],[Car ID]],A817:A3316,1,FALSE),0),1,0)</f>
        <v>0</v>
      </c>
    </row>
    <row r="817" spans="1:15" x14ac:dyDescent="0.25">
      <c r="A817">
        <v>816</v>
      </c>
      <c r="B817" s="1" t="s">
        <v>30</v>
      </c>
      <c r="C817" s="1">
        <f>car_price_prediction_[[#This Row],[Year2]]</f>
        <v>2010</v>
      </c>
      <c r="D817">
        <v>2010</v>
      </c>
      <c r="E817">
        <f>car_price_prediction_[[#This Row],[Engine Size]]/10</f>
        <v>2.1</v>
      </c>
      <c r="F817">
        <v>21</v>
      </c>
      <c r="G817" s="1" t="s">
        <v>11</v>
      </c>
      <c r="H817" s="1" t="s">
        <v>12</v>
      </c>
      <c r="I817" s="12">
        <f>car_price_prediction_[[#This Row],[Mileage]]/1000</f>
        <v>145.93100000000001</v>
      </c>
      <c r="J817" s="5">
        <v>145931</v>
      </c>
      <c r="K817" s="1" t="s">
        <v>17</v>
      </c>
      <c r="L817" s="5">
        <f>car_price_prediction_[[#This Row],[Price]]/100</f>
        <v>6970.43</v>
      </c>
      <c r="M817">
        <v>697043</v>
      </c>
      <c r="N817" s="1" t="s">
        <v>42</v>
      </c>
      <c r="O817" s="1">
        <f>IF(IFERROR(VLOOKUP(car_price_prediction_[[#This Row],[Car ID]],A818:A3317,1,FALSE),0),1,0)</f>
        <v>0</v>
      </c>
    </row>
    <row r="818" spans="1:15" x14ac:dyDescent="0.25">
      <c r="A818">
        <v>817</v>
      </c>
      <c r="B818" s="1" t="s">
        <v>15</v>
      </c>
      <c r="C818" s="1">
        <f>car_price_prediction_[[#This Row],[Year2]]</f>
        <v>2021</v>
      </c>
      <c r="D818">
        <v>2021</v>
      </c>
      <c r="E818">
        <f>car_price_prediction_[[#This Row],[Engine Size]]/10</f>
        <v>5.4</v>
      </c>
      <c r="F818">
        <v>54</v>
      </c>
      <c r="G818" s="1" t="s">
        <v>16</v>
      </c>
      <c r="H818" s="1" t="s">
        <v>12</v>
      </c>
      <c r="I818" s="12">
        <f>car_price_prediction_[[#This Row],[Mileage]]/1000</f>
        <v>117.556</v>
      </c>
      <c r="J818" s="5">
        <v>117556</v>
      </c>
      <c r="K818" s="1" t="s">
        <v>17</v>
      </c>
      <c r="L818" s="5">
        <f>car_price_prediction_[[#This Row],[Price]]/100</f>
        <v>800.02</v>
      </c>
      <c r="M818">
        <v>80002</v>
      </c>
      <c r="N818" s="1" t="s">
        <v>18</v>
      </c>
      <c r="O818" s="1">
        <f>IF(IFERROR(VLOOKUP(car_price_prediction_[[#This Row],[Car ID]],A819:A3318,1,FALSE),0),1,0)</f>
        <v>0</v>
      </c>
    </row>
    <row r="819" spans="1:15" x14ac:dyDescent="0.25">
      <c r="A819">
        <v>818</v>
      </c>
      <c r="B819" s="1" t="s">
        <v>19</v>
      </c>
      <c r="C819" s="1">
        <f>car_price_prediction_[[#This Row],[Year2]]</f>
        <v>2012</v>
      </c>
      <c r="D819">
        <v>2012</v>
      </c>
      <c r="E819">
        <f>car_price_prediction_[[#This Row],[Engine Size]]/10</f>
        <v>5.7</v>
      </c>
      <c r="F819">
        <v>57</v>
      </c>
      <c r="G819" s="1" t="s">
        <v>16</v>
      </c>
      <c r="H819" s="1" t="s">
        <v>22</v>
      </c>
      <c r="I819" s="12">
        <f>car_price_prediction_[[#This Row],[Mileage]]/1000</f>
        <v>228.495</v>
      </c>
      <c r="J819" s="5">
        <v>228495</v>
      </c>
      <c r="K819" s="1" t="s">
        <v>17</v>
      </c>
      <c r="L819" s="5">
        <f>car_price_prediction_[[#This Row],[Price]]/100</f>
        <v>53199.72</v>
      </c>
      <c r="M819">
        <v>5319972</v>
      </c>
      <c r="N819" s="1" t="s">
        <v>27</v>
      </c>
      <c r="O819" s="1">
        <f>IF(IFERROR(VLOOKUP(car_price_prediction_[[#This Row],[Car ID]],A820:A3319,1,FALSE),0),1,0)</f>
        <v>0</v>
      </c>
    </row>
    <row r="820" spans="1:15" x14ac:dyDescent="0.25">
      <c r="A820">
        <v>819</v>
      </c>
      <c r="B820" s="1" t="s">
        <v>19</v>
      </c>
      <c r="C820" s="1">
        <f>car_price_prediction_[[#This Row],[Year2]]</f>
        <v>2000</v>
      </c>
      <c r="D820">
        <v>2000</v>
      </c>
      <c r="E820">
        <f>car_price_prediction_[[#This Row],[Engine Size]]/10</f>
        <v>5.6</v>
      </c>
      <c r="F820">
        <v>56</v>
      </c>
      <c r="G820" s="1" t="s">
        <v>11</v>
      </c>
      <c r="H820" s="1" t="s">
        <v>22</v>
      </c>
      <c r="I820" s="12">
        <f>car_price_prediction_[[#This Row],[Mileage]]/1000</f>
        <v>254.809</v>
      </c>
      <c r="J820" s="5">
        <v>254809</v>
      </c>
      <c r="K820" s="1" t="s">
        <v>17</v>
      </c>
      <c r="L820" s="5">
        <f>car_price_prediction_[[#This Row],[Price]]/100</f>
        <v>74765.48</v>
      </c>
      <c r="M820">
        <v>7476548</v>
      </c>
      <c r="N820" s="1" t="s">
        <v>27</v>
      </c>
      <c r="O820" s="1">
        <f>IF(IFERROR(VLOOKUP(car_price_prediction_[[#This Row],[Car ID]],A821:A3320,1,FALSE),0),1,0)</f>
        <v>0</v>
      </c>
    </row>
    <row r="821" spans="1:15" x14ac:dyDescent="0.25">
      <c r="A821">
        <v>820</v>
      </c>
      <c r="B821" s="1" t="s">
        <v>19</v>
      </c>
      <c r="C821" s="1">
        <f>car_price_prediction_[[#This Row],[Year2]]</f>
        <v>2016</v>
      </c>
      <c r="D821">
        <v>2016</v>
      </c>
      <c r="E821">
        <f>car_price_prediction_[[#This Row],[Engine Size]]/10</f>
        <v>4.2</v>
      </c>
      <c r="F821">
        <v>42</v>
      </c>
      <c r="G821" s="1" t="s">
        <v>21</v>
      </c>
      <c r="H821" s="1" t="s">
        <v>12</v>
      </c>
      <c r="I821" s="12">
        <f>car_price_prediction_[[#This Row],[Mileage]]/1000</f>
        <v>205.38399999999999</v>
      </c>
      <c r="J821" s="5">
        <v>205384</v>
      </c>
      <c r="K821" s="1" t="s">
        <v>13</v>
      </c>
      <c r="L821" s="5">
        <f>car_price_prediction_[[#This Row],[Price]]/100</f>
        <v>16479.84</v>
      </c>
      <c r="M821">
        <v>1647984</v>
      </c>
      <c r="N821" s="1" t="s">
        <v>27</v>
      </c>
      <c r="O821" s="1">
        <f>IF(IFERROR(VLOOKUP(car_price_prediction_[[#This Row],[Car ID]],A822:A3321,1,FALSE),0),1,0)</f>
        <v>0</v>
      </c>
    </row>
    <row r="822" spans="1:15" x14ac:dyDescent="0.25">
      <c r="A822">
        <v>821</v>
      </c>
      <c r="B822" s="1" t="s">
        <v>10</v>
      </c>
      <c r="C822" s="1">
        <f>car_price_prediction_[[#This Row],[Year2]]</f>
        <v>2005</v>
      </c>
      <c r="D822">
        <v>2005</v>
      </c>
      <c r="E822">
        <f>car_price_prediction_[[#This Row],[Engine Size]]/10</f>
        <v>4.0999999999999996</v>
      </c>
      <c r="F822">
        <v>41</v>
      </c>
      <c r="G822" s="1" t="s">
        <v>29</v>
      </c>
      <c r="H822" s="1" t="s">
        <v>22</v>
      </c>
      <c r="I822" s="12">
        <f>car_price_prediction_[[#This Row],[Mileage]]/1000</f>
        <v>15.021000000000001</v>
      </c>
      <c r="J822" s="5">
        <v>15021</v>
      </c>
      <c r="K822" s="1" t="s">
        <v>25</v>
      </c>
      <c r="L822" s="5">
        <f>car_price_prediction_[[#This Row],[Price]]/100</f>
        <v>26021.99</v>
      </c>
      <c r="M822">
        <v>2602199</v>
      </c>
      <c r="N822" s="1" t="s">
        <v>49</v>
      </c>
      <c r="O822" s="1">
        <f>IF(IFERROR(VLOOKUP(car_price_prediction_[[#This Row],[Car ID]],A823:A3322,1,FALSE),0),1,0)</f>
        <v>0</v>
      </c>
    </row>
    <row r="823" spans="1:15" x14ac:dyDescent="0.25">
      <c r="A823">
        <v>822</v>
      </c>
      <c r="B823" s="1" t="s">
        <v>19</v>
      </c>
      <c r="C823" s="1">
        <f>car_price_prediction_[[#This Row],[Year2]]</f>
        <v>2003</v>
      </c>
      <c r="D823">
        <v>2003</v>
      </c>
      <c r="E823">
        <f>car_price_prediction_[[#This Row],[Engine Size]]/10</f>
        <v>3</v>
      </c>
      <c r="F823">
        <v>30</v>
      </c>
      <c r="G823" s="1" t="s">
        <v>16</v>
      </c>
      <c r="H823" s="1" t="s">
        <v>22</v>
      </c>
      <c r="I823" s="12">
        <f>car_price_prediction_[[#This Row],[Mileage]]/1000</f>
        <v>200.935</v>
      </c>
      <c r="J823" s="5">
        <v>200935</v>
      </c>
      <c r="K823" s="1" t="s">
        <v>13</v>
      </c>
      <c r="L823" s="5">
        <f>car_price_prediction_[[#This Row],[Price]]/100</f>
        <v>36089.69</v>
      </c>
      <c r="M823">
        <v>3608969</v>
      </c>
      <c r="N823" s="1" t="s">
        <v>28</v>
      </c>
      <c r="O823" s="1">
        <f>IF(IFERROR(VLOOKUP(car_price_prediction_[[#This Row],[Car ID]],A824:A3323,1,FALSE),0),1,0)</f>
        <v>0</v>
      </c>
    </row>
    <row r="824" spans="1:15" x14ac:dyDescent="0.25">
      <c r="A824">
        <v>823</v>
      </c>
      <c r="B824" s="1" t="s">
        <v>36</v>
      </c>
      <c r="C824" s="1">
        <f>car_price_prediction_[[#This Row],[Year2]]</f>
        <v>2019</v>
      </c>
      <c r="D824">
        <v>2019</v>
      </c>
      <c r="E824">
        <f>car_price_prediction_[[#This Row],[Engine Size]]/10</f>
        <v>4.8</v>
      </c>
      <c r="F824">
        <v>48</v>
      </c>
      <c r="G824" s="1" t="s">
        <v>11</v>
      </c>
      <c r="H824" s="1" t="s">
        <v>22</v>
      </c>
      <c r="I824" s="12">
        <f>car_price_prediction_[[#This Row],[Mileage]]/1000</f>
        <v>204.22200000000001</v>
      </c>
      <c r="J824" s="5">
        <v>204222</v>
      </c>
      <c r="K824" s="1" t="s">
        <v>17</v>
      </c>
      <c r="L824" s="5">
        <f>car_price_prediction_[[#This Row],[Price]]/100</f>
        <v>25717.29</v>
      </c>
      <c r="M824">
        <v>2571729</v>
      </c>
      <c r="N824" s="1" t="s">
        <v>37</v>
      </c>
      <c r="O824" s="1">
        <f>IF(IFERROR(VLOOKUP(car_price_prediction_[[#This Row],[Car ID]],A825:A3324,1,FALSE),0),1,0)</f>
        <v>0</v>
      </c>
    </row>
    <row r="825" spans="1:15" x14ac:dyDescent="0.25">
      <c r="A825">
        <v>824</v>
      </c>
      <c r="B825" s="1" t="s">
        <v>19</v>
      </c>
      <c r="C825" s="1">
        <f>car_price_prediction_[[#This Row],[Year2]]</f>
        <v>2015</v>
      </c>
      <c r="D825">
        <v>2015</v>
      </c>
      <c r="E825">
        <f>car_price_prediction_[[#This Row],[Engine Size]]/10</f>
        <v>3.7</v>
      </c>
      <c r="F825">
        <v>37</v>
      </c>
      <c r="G825" s="1" t="s">
        <v>16</v>
      </c>
      <c r="H825" s="1" t="s">
        <v>12</v>
      </c>
      <c r="I825" s="12">
        <f>car_price_prediction_[[#This Row],[Mileage]]/1000</f>
        <v>64.361000000000004</v>
      </c>
      <c r="J825" s="5">
        <v>64361</v>
      </c>
      <c r="K825" s="1" t="s">
        <v>17</v>
      </c>
      <c r="L825" s="5">
        <f>car_price_prediction_[[#This Row],[Price]]/100</f>
        <v>42176.97</v>
      </c>
      <c r="M825">
        <v>4217697</v>
      </c>
      <c r="N825" s="1" t="s">
        <v>27</v>
      </c>
      <c r="O825" s="1">
        <f>IF(IFERROR(VLOOKUP(car_price_prediction_[[#This Row],[Car ID]],A826:A3325,1,FALSE),0),1,0)</f>
        <v>0</v>
      </c>
    </row>
    <row r="826" spans="1:15" x14ac:dyDescent="0.25">
      <c r="A826">
        <v>825</v>
      </c>
      <c r="B826" s="1" t="s">
        <v>24</v>
      </c>
      <c r="C826" s="1">
        <f>car_price_prediction_[[#This Row],[Year2]]</f>
        <v>2014</v>
      </c>
      <c r="D826">
        <v>2014</v>
      </c>
      <c r="E826">
        <f>car_price_prediction_[[#This Row],[Engine Size]]/10</f>
        <v>4.4000000000000004</v>
      </c>
      <c r="F826">
        <v>44</v>
      </c>
      <c r="G826" s="1" t="s">
        <v>21</v>
      </c>
      <c r="H826" s="1" t="s">
        <v>22</v>
      </c>
      <c r="I826" s="12">
        <f>car_price_prediction_[[#This Row],[Mileage]]/1000</f>
        <v>272.49900000000002</v>
      </c>
      <c r="J826" s="5">
        <v>272499</v>
      </c>
      <c r="K826" s="1" t="s">
        <v>13</v>
      </c>
      <c r="L826" s="5">
        <f>car_price_prediction_[[#This Row],[Price]]/100</f>
        <v>58163.43</v>
      </c>
      <c r="M826">
        <v>5816343</v>
      </c>
      <c r="N826" s="1" t="s">
        <v>32</v>
      </c>
      <c r="O826" s="1">
        <f>IF(IFERROR(VLOOKUP(car_price_prediction_[[#This Row],[Car ID]],A827:A3326,1,FALSE),0),1,0)</f>
        <v>0</v>
      </c>
    </row>
    <row r="827" spans="1:15" x14ac:dyDescent="0.25">
      <c r="A827">
        <v>826</v>
      </c>
      <c r="B827" s="1" t="s">
        <v>15</v>
      </c>
      <c r="C827" s="1">
        <f>car_price_prediction_[[#This Row],[Year2]]</f>
        <v>2014</v>
      </c>
      <c r="D827">
        <v>2014</v>
      </c>
      <c r="E827">
        <f>car_price_prediction_[[#This Row],[Engine Size]]/10</f>
        <v>3.1</v>
      </c>
      <c r="F827">
        <v>31</v>
      </c>
      <c r="G827" s="1" t="s">
        <v>21</v>
      </c>
      <c r="H827" s="1" t="s">
        <v>12</v>
      </c>
      <c r="I827" s="12">
        <f>car_price_prediction_[[#This Row],[Mileage]]/1000</f>
        <v>98.840999999999994</v>
      </c>
      <c r="J827" s="5">
        <v>98841</v>
      </c>
      <c r="K827" s="1" t="s">
        <v>25</v>
      </c>
      <c r="L827" s="5">
        <f>car_price_prediction_[[#This Row],[Price]]/100</f>
        <v>70068.990000000005</v>
      </c>
      <c r="M827">
        <v>7006899</v>
      </c>
      <c r="N827" s="1" t="s">
        <v>18</v>
      </c>
      <c r="O827" s="1">
        <f>IF(IFERROR(VLOOKUP(car_price_prediction_[[#This Row],[Car ID]],A828:A3327,1,FALSE),0),1,0)</f>
        <v>0</v>
      </c>
    </row>
    <row r="828" spans="1:15" x14ac:dyDescent="0.25">
      <c r="A828">
        <v>827</v>
      </c>
      <c r="B828" s="1" t="s">
        <v>19</v>
      </c>
      <c r="C828" s="1">
        <f>car_price_prediction_[[#This Row],[Year2]]</f>
        <v>2005</v>
      </c>
      <c r="D828">
        <v>2005</v>
      </c>
      <c r="E828">
        <f>car_price_prediction_[[#This Row],[Engine Size]]/10</f>
        <v>4.7</v>
      </c>
      <c r="F828">
        <v>47</v>
      </c>
      <c r="G828" s="1" t="s">
        <v>11</v>
      </c>
      <c r="H828" s="1" t="s">
        <v>12</v>
      </c>
      <c r="I828" s="12">
        <f>car_price_prediction_[[#This Row],[Mileage]]/1000</f>
        <v>180.07599999999999</v>
      </c>
      <c r="J828" s="5">
        <v>180076</v>
      </c>
      <c r="K828" s="1" t="s">
        <v>13</v>
      </c>
      <c r="L828" s="5">
        <f>car_price_prediction_[[#This Row],[Price]]/100</f>
        <v>96558.64</v>
      </c>
      <c r="M828">
        <v>9655864</v>
      </c>
      <c r="N828" s="1" t="s">
        <v>38</v>
      </c>
      <c r="O828" s="1">
        <f>IF(IFERROR(VLOOKUP(car_price_prediction_[[#This Row],[Car ID]],A829:A3328,1,FALSE),0),1,0)</f>
        <v>0</v>
      </c>
    </row>
    <row r="829" spans="1:15" x14ac:dyDescent="0.25">
      <c r="A829">
        <v>828</v>
      </c>
      <c r="B829" s="1" t="s">
        <v>15</v>
      </c>
      <c r="C829" s="1">
        <f>car_price_prediction_[[#This Row],[Year2]]</f>
        <v>2014</v>
      </c>
      <c r="D829">
        <v>2014</v>
      </c>
      <c r="E829">
        <f>car_price_prediction_[[#This Row],[Engine Size]]/10</f>
        <v>5.0999999999999996</v>
      </c>
      <c r="F829">
        <v>51</v>
      </c>
      <c r="G829" s="1" t="s">
        <v>16</v>
      </c>
      <c r="H829" s="1" t="s">
        <v>12</v>
      </c>
      <c r="I829" s="12">
        <f>car_price_prediction_[[#This Row],[Mileage]]/1000</f>
        <v>246.3</v>
      </c>
      <c r="J829" s="5">
        <v>246300</v>
      </c>
      <c r="K829" s="1" t="s">
        <v>13</v>
      </c>
      <c r="L829" s="5">
        <f>car_price_prediction_[[#This Row],[Price]]/100</f>
        <v>93430.15</v>
      </c>
      <c r="M829">
        <v>9343015</v>
      </c>
      <c r="N829" s="1" t="s">
        <v>18</v>
      </c>
      <c r="O829" s="1">
        <f>IF(IFERROR(VLOOKUP(car_price_prediction_[[#This Row],[Car ID]],A830:A3329,1,FALSE),0),1,0)</f>
        <v>0</v>
      </c>
    </row>
    <row r="830" spans="1:15" x14ac:dyDescent="0.25">
      <c r="A830">
        <v>829</v>
      </c>
      <c r="B830" s="1" t="s">
        <v>24</v>
      </c>
      <c r="C830" s="1">
        <f>car_price_prediction_[[#This Row],[Year2]]</f>
        <v>2013</v>
      </c>
      <c r="D830">
        <v>2013</v>
      </c>
      <c r="E830">
        <f>car_price_prediction_[[#This Row],[Engine Size]]/10</f>
        <v>1.7</v>
      </c>
      <c r="F830">
        <v>17</v>
      </c>
      <c r="G830" s="1" t="s">
        <v>29</v>
      </c>
      <c r="H830" s="1" t="s">
        <v>22</v>
      </c>
      <c r="I830" s="12">
        <f>car_price_prediction_[[#This Row],[Mileage]]/1000</f>
        <v>160.786</v>
      </c>
      <c r="J830" s="5">
        <v>160786</v>
      </c>
      <c r="K830" s="1" t="s">
        <v>13</v>
      </c>
      <c r="L830" s="5">
        <f>car_price_prediction_[[#This Row],[Price]]/100</f>
        <v>59162.06</v>
      </c>
      <c r="M830">
        <v>5916206</v>
      </c>
      <c r="N830" s="1" t="s">
        <v>32</v>
      </c>
      <c r="O830" s="1">
        <f>IF(IFERROR(VLOOKUP(car_price_prediction_[[#This Row],[Car ID]],A831:A3330,1,FALSE),0),1,0)</f>
        <v>0</v>
      </c>
    </row>
    <row r="831" spans="1:15" x14ac:dyDescent="0.25">
      <c r="A831">
        <v>830</v>
      </c>
      <c r="B831" s="1" t="s">
        <v>24</v>
      </c>
      <c r="C831" s="1">
        <f>car_price_prediction_[[#This Row],[Year2]]</f>
        <v>2010</v>
      </c>
      <c r="D831">
        <v>2010</v>
      </c>
      <c r="E831">
        <f>car_price_prediction_[[#This Row],[Engine Size]]/10</f>
        <v>5.2</v>
      </c>
      <c r="F831">
        <v>52</v>
      </c>
      <c r="G831" s="1" t="s">
        <v>29</v>
      </c>
      <c r="H831" s="1" t="s">
        <v>22</v>
      </c>
      <c r="I831" s="12">
        <f>car_price_prediction_[[#This Row],[Mileage]]/1000</f>
        <v>17.198</v>
      </c>
      <c r="J831" s="5">
        <v>17198</v>
      </c>
      <c r="K831" s="1" t="s">
        <v>25</v>
      </c>
      <c r="L831" s="5">
        <f>car_price_prediction_[[#This Row],[Price]]/100</f>
        <v>74744.259999999995</v>
      </c>
      <c r="M831">
        <v>7474426</v>
      </c>
      <c r="N831" s="1" t="s">
        <v>32</v>
      </c>
      <c r="O831" s="1">
        <f>IF(IFERROR(VLOOKUP(car_price_prediction_[[#This Row],[Car ID]],A832:A3331,1,FALSE),0),1,0)</f>
        <v>0</v>
      </c>
    </row>
    <row r="832" spans="1:15" x14ac:dyDescent="0.25">
      <c r="A832">
        <v>831</v>
      </c>
      <c r="B832" s="1" t="s">
        <v>15</v>
      </c>
      <c r="C832" s="1">
        <f>car_price_prediction_[[#This Row],[Year2]]</f>
        <v>2006</v>
      </c>
      <c r="D832">
        <v>2006</v>
      </c>
      <c r="E832">
        <f>car_price_prediction_[[#This Row],[Engine Size]]/10</f>
        <v>3.7</v>
      </c>
      <c r="F832">
        <v>37</v>
      </c>
      <c r="G832" s="1" t="s">
        <v>16</v>
      </c>
      <c r="H832" s="1" t="s">
        <v>12</v>
      </c>
      <c r="I832" s="12">
        <f>car_price_prediction_[[#This Row],[Mileage]]/1000</f>
        <v>258.46600000000001</v>
      </c>
      <c r="J832" s="5">
        <v>258466</v>
      </c>
      <c r="K832" s="1" t="s">
        <v>13</v>
      </c>
      <c r="L832" s="5">
        <f>car_price_prediction_[[#This Row],[Price]]/100</f>
        <v>95332.86</v>
      </c>
      <c r="M832">
        <v>9533286</v>
      </c>
      <c r="N832" s="1" t="s">
        <v>35</v>
      </c>
      <c r="O832" s="1">
        <f>IF(IFERROR(VLOOKUP(car_price_prediction_[[#This Row],[Car ID]],A833:A3332,1,FALSE),0),1,0)</f>
        <v>0</v>
      </c>
    </row>
    <row r="833" spans="1:15" x14ac:dyDescent="0.25">
      <c r="A833">
        <v>832</v>
      </c>
      <c r="B833" s="1" t="s">
        <v>43</v>
      </c>
      <c r="C833" s="1">
        <f>car_price_prediction_[[#This Row],[Year2]]</f>
        <v>2008</v>
      </c>
      <c r="D833">
        <v>2008</v>
      </c>
      <c r="E833">
        <f>car_price_prediction_[[#This Row],[Engine Size]]/10</f>
        <v>5.2</v>
      </c>
      <c r="F833">
        <v>52</v>
      </c>
      <c r="G833" s="1" t="s">
        <v>16</v>
      </c>
      <c r="H833" s="1" t="s">
        <v>12</v>
      </c>
      <c r="I833" s="12">
        <f>car_price_prediction_[[#This Row],[Mileage]]/1000</f>
        <v>18.739999999999998</v>
      </c>
      <c r="J833" s="5">
        <v>18740</v>
      </c>
      <c r="K833" s="1" t="s">
        <v>13</v>
      </c>
      <c r="L833" s="5">
        <f>car_price_prediction_[[#This Row],[Price]]/100</f>
        <v>12929.83</v>
      </c>
      <c r="M833">
        <v>1292983</v>
      </c>
      <c r="N833" s="1" t="s">
        <v>47</v>
      </c>
      <c r="O833" s="1">
        <f>IF(IFERROR(VLOOKUP(car_price_prediction_[[#This Row],[Car ID]],A834:A3333,1,FALSE),0),1,0)</f>
        <v>0</v>
      </c>
    </row>
    <row r="834" spans="1:15" x14ac:dyDescent="0.25">
      <c r="A834">
        <v>833</v>
      </c>
      <c r="B834" s="1" t="s">
        <v>30</v>
      </c>
      <c r="C834" s="1">
        <f>car_price_prediction_[[#This Row],[Year2]]</f>
        <v>2015</v>
      </c>
      <c r="D834">
        <v>2015</v>
      </c>
      <c r="E834">
        <f>car_price_prediction_[[#This Row],[Engine Size]]/10</f>
        <v>3.2</v>
      </c>
      <c r="F834">
        <v>32</v>
      </c>
      <c r="G834" s="1" t="s">
        <v>16</v>
      </c>
      <c r="H834" s="1" t="s">
        <v>12</v>
      </c>
      <c r="I834" s="12">
        <f>car_price_prediction_[[#This Row],[Mileage]]/1000</f>
        <v>265.95400000000001</v>
      </c>
      <c r="J834" s="5">
        <v>265954</v>
      </c>
      <c r="K834" s="1" t="s">
        <v>17</v>
      </c>
      <c r="L834" s="5">
        <f>car_price_prediction_[[#This Row],[Price]]/100</f>
        <v>553.53</v>
      </c>
      <c r="M834">
        <v>55353</v>
      </c>
      <c r="N834" s="1" t="s">
        <v>31</v>
      </c>
      <c r="O834" s="1">
        <f>IF(IFERROR(VLOOKUP(car_price_prediction_[[#This Row],[Car ID]],A835:A3334,1,FALSE),0),1,0)</f>
        <v>0</v>
      </c>
    </row>
    <row r="835" spans="1:15" x14ac:dyDescent="0.25">
      <c r="A835">
        <v>834</v>
      </c>
      <c r="B835" s="1" t="s">
        <v>10</v>
      </c>
      <c r="C835" s="1">
        <f>car_price_prediction_[[#This Row],[Year2]]</f>
        <v>2004</v>
      </c>
      <c r="D835">
        <v>2004</v>
      </c>
      <c r="E835">
        <f>car_price_prediction_[[#This Row],[Engine Size]]/10</f>
        <v>2.9</v>
      </c>
      <c r="F835">
        <v>29</v>
      </c>
      <c r="G835" s="1" t="s">
        <v>11</v>
      </c>
      <c r="H835" s="1" t="s">
        <v>22</v>
      </c>
      <c r="I835" s="12">
        <f>car_price_prediction_[[#This Row],[Mileage]]/1000</f>
        <v>258.30799999999999</v>
      </c>
      <c r="J835" s="5">
        <v>258308</v>
      </c>
      <c r="K835" s="1" t="s">
        <v>13</v>
      </c>
      <c r="L835" s="5">
        <f>car_price_prediction_[[#This Row],[Price]]/100</f>
        <v>7830.98</v>
      </c>
      <c r="M835">
        <v>783098</v>
      </c>
      <c r="N835" s="1" t="s">
        <v>23</v>
      </c>
      <c r="O835" s="1">
        <f>IF(IFERROR(VLOOKUP(car_price_prediction_[[#This Row],[Car ID]],A836:A3335,1,FALSE),0),1,0)</f>
        <v>0</v>
      </c>
    </row>
    <row r="836" spans="1:15" x14ac:dyDescent="0.25">
      <c r="A836">
        <v>835</v>
      </c>
      <c r="B836" s="1" t="s">
        <v>43</v>
      </c>
      <c r="C836" s="1">
        <f>car_price_prediction_[[#This Row],[Year2]]</f>
        <v>2019</v>
      </c>
      <c r="D836">
        <v>2019</v>
      </c>
      <c r="E836">
        <f>car_price_prediction_[[#This Row],[Engine Size]]/10</f>
        <v>5.6</v>
      </c>
      <c r="F836">
        <v>56</v>
      </c>
      <c r="G836" s="1" t="s">
        <v>21</v>
      </c>
      <c r="H836" s="1" t="s">
        <v>22</v>
      </c>
      <c r="I836" s="12">
        <f>car_price_prediction_[[#This Row],[Mileage]]/1000</f>
        <v>99.855000000000004</v>
      </c>
      <c r="J836" s="5">
        <v>99855</v>
      </c>
      <c r="K836" s="1" t="s">
        <v>17</v>
      </c>
      <c r="L836" s="5">
        <f>car_price_prediction_[[#This Row],[Price]]/100</f>
        <v>58518.19</v>
      </c>
      <c r="M836">
        <v>5851819</v>
      </c>
      <c r="N836" s="1" t="s">
        <v>47</v>
      </c>
      <c r="O836" s="1">
        <f>IF(IFERROR(VLOOKUP(car_price_prediction_[[#This Row],[Car ID]],A837:A3336,1,FALSE),0),1,0)</f>
        <v>0</v>
      </c>
    </row>
    <row r="837" spans="1:15" x14ac:dyDescent="0.25">
      <c r="A837">
        <v>836</v>
      </c>
      <c r="B837" s="1" t="s">
        <v>43</v>
      </c>
      <c r="C837" s="1">
        <f>car_price_prediction_[[#This Row],[Year2]]</f>
        <v>2009</v>
      </c>
      <c r="D837">
        <v>2009</v>
      </c>
      <c r="E837">
        <f>car_price_prediction_[[#This Row],[Engine Size]]/10</f>
        <v>2.2999999999999998</v>
      </c>
      <c r="F837">
        <v>23</v>
      </c>
      <c r="G837" s="1" t="s">
        <v>29</v>
      </c>
      <c r="H837" s="1" t="s">
        <v>12</v>
      </c>
      <c r="I837" s="12">
        <f>car_price_prediction_[[#This Row],[Mileage]]/1000</f>
        <v>210.19200000000001</v>
      </c>
      <c r="J837" s="5">
        <v>210192</v>
      </c>
      <c r="K837" s="1" t="s">
        <v>17</v>
      </c>
      <c r="L837" s="5">
        <f>car_price_prediction_[[#This Row],[Price]]/100</f>
        <v>77469.179999999993</v>
      </c>
      <c r="M837">
        <v>7746918</v>
      </c>
      <c r="N837" s="1" t="s">
        <v>52</v>
      </c>
      <c r="O837" s="1">
        <f>IF(IFERROR(VLOOKUP(car_price_prediction_[[#This Row],[Car ID]],A838:A3337,1,FALSE),0),1,0)</f>
        <v>0</v>
      </c>
    </row>
    <row r="838" spans="1:15" x14ac:dyDescent="0.25">
      <c r="A838">
        <v>837</v>
      </c>
      <c r="B838" s="1" t="s">
        <v>36</v>
      </c>
      <c r="C838" s="1">
        <f>car_price_prediction_[[#This Row],[Year2]]</f>
        <v>2017</v>
      </c>
      <c r="D838">
        <v>2017</v>
      </c>
      <c r="E838">
        <f>car_price_prediction_[[#This Row],[Engine Size]]/10</f>
        <v>5.2</v>
      </c>
      <c r="F838">
        <v>52</v>
      </c>
      <c r="G838" s="1" t="s">
        <v>11</v>
      </c>
      <c r="H838" s="1" t="s">
        <v>12</v>
      </c>
      <c r="I838" s="12">
        <f>car_price_prediction_[[#This Row],[Mileage]]/1000</f>
        <v>288.92700000000002</v>
      </c>
      <c r="J838" s="5">
        <v>288927</v>
      </c>
      <c r="K838" s="1" t="s">
        <v>17</v>
      </c>
      <c r="L838" s="5">
        <f>car_price_prediction_[[#This Row],[Price]]/100</f>
        <v>39872.120000000003</v>
      </c>
      <c r="M838">
        <v>3987212</v>
      </c>
      <c r="N838" s="1" t="s">
        <v>41</v>
      </c>
      <c r="O838" s="1">
        <f>IF(IFERROR(VLOOKUP(car_price_prediction_[[#This Row],[Car ID]],A839:A3338,1,FALSE),0),1,0)</f>
        <v>0</v>
      </c>
    </row>
    <row r="839" spans="1:15" x14ac:dyDescent="0.25">
      <c r="A839">
        <v>838</v>
      </c>
      <c r="B839" s="1" t="s">
        <v>10</v>
      </c>
      <c r="C839" s="1">
        <f>car_price_prediction_[[#This Row],[Year2]]</f>
        <v>2002</v>
      </c>
      <c r="D839">
        <v>2002</v>
      </c>
      <c r="E839">
        <f>car_price_prediction_[[#This Row],[Engine Size]]/10</f>
        <v>3.4</v>
      </c>
      <c r="F839">
        <v>34</v>
      </c>
      <c r="G839" s="1" t="s">
        <v>16</v>
      </c>
      <c r="H839" s="1" t="s">
        <v>22</v>
      </c>
      <c r="I839" s="12">
        <f>car_price_prediction_[[#This Row],[Mileage]]/1000</f>
        <v>121.70099999999999</v>
      </c>
      <c r="J839" s="5">
        <v>121701</v>
      </c>
      <c r="K839" s="1" t="s">
        <v>25</v>
      </c>
      <c r="L839" s="5">
        <f>car_price_prediction_[[#This Row],[Price]]/100</f>
        <v>56797.72</v>
      </c>
      <c r="M839">
        <v>5679772</v>
      </c>
      <c r="N839" s="1" t="s">
        <v>23</v>
      </c>
      <c r="O839" s="1">
        <f>IF(IFERROR(VLOOKUP(car_price_prediction_[[#This Row],[Car ID]],A840:A3339,1,FALSE),0),1,0)</f>
        <v>0</v>
      </c>
    </row>
    <row r="840" spans="1:15" x14ac:dyDescent="0.25">
      <c r="A840">
        <v>839</v>
      </c>
      <c r="B840" s="1" t="s">
        <v>10</v>
      </c>
      <c r="C840" s="1">
        <f>car_price_prediction_[[#This Row],[Year2]]</f>
        <v>2012</v>
      </c>
      <c r="D840">
        <v>2012</v>
      </c>
      <c r="E840">
        <f>car_price_prediction_[[#This Row],[Engine Size]]/10</f>
        <v>3.6</v>
      </c>
      <c r="F840">
        <v>36</v>
      </c>
      <c r="G840" s="1" t="s">
        <v>16</v>
      </c>
      <c r="H840" s="1" t="s">
        <v>12</v>
      </c>
      <c r="I840" s="12">
        <f>car_price_prediction_[[#This Row],[Mileage]]/1000</f>
        <v>271.61500000000001</v>
      </c>
      <c r="J840" s="5">
        <v>271615</v>
      </c>
      <c r="K840" s="1" t="s">
        <v>17</v>
      </c>
      <c r="L840" s="5">
        <f>car_price_prediction_[[#This Row],[Price]]/100</f>
        <v>5405.48</v>
      </c>
      <c r="M840">
        <v>540548</v>
      </c>
      <c r="N840" s="1" t="s">
        <v>23</v>
      </c>
      <c r="O840" s="1">
        <f>IF(IFERROR(VLOOKUP(car_price_prediction_[[#This Row],[Car ID]],A841:A3340,1,FALSE),0),1,0)</f>
        <v>0</v>
      </c>
    </row>
    <row r="841" spans="1:15" x14ac:dyDescent="0.25">
      <c r="A841">
        <v>840</v>
      </c>
      <c r="B841" s="1" t="s">
        <v>43</v>
      </c>
      <c r="C841" s="1">
        <f>car_price_prediction_[[#This Row],[Year2]]</f>
        <v>2010</v>
      </c>
      <c r="D841">
        <v>2010</v>
      </c>
      <c r="E841">
        <f>car_price_prediction_[[#This Row],[Engine Size]]/10</f>
        <v>2.5</v>
      </c>
      <c r="F841">
        <v>25</v>
      </c>
      <c r="G841" s="1" t="s">
        <v>21</v>
      </c>
      <c r="H841" s="1" t="s">
        <v>22</v>
      </c>
      <c r="I841" s="12">
        <f>car_price_prediction_[[#This Row],[Mileage]]/1000</f>
        <v>110.771</v>
      </c>
      <c r="J841" s="5">
        <v>110771</v>
      </c>
      <c r="K841" s="1" t="s">
        <v>13</v>
      </c>
      <c r="L841" s="5">
        <f>car_price_prediction_[[#This Row],[Price]]/100</f>
        <v>14003.23</v>
      </c>
      <c r="M841">
        <v>1400323</v>
      </c>
      <c r="N841" s="1" t="s">
        <v>47</v>
      </c>
      <c r="O841" s="1">
        <f>IF(IFERROR(VLOOKUP(car_price_prediction_[[#This Row],[Car ID]],A842:A3341,1,FALSE),0),1,0)</f>
        <v>0</v>
      </c>
    </row>
    <row r="842" spans="1:15" x14ac:dyDescent="0.25">
      <c r="A842">
        <v>841</v>
      </c>
      <c r="B842" s="1" t="s">
        <v>19</v>
      </c>
      <c r="C842" s="1">
        <f>car_price_prediction_[[#This Row],[Year2]]</f>
        <v>2016</v>
      </c>
      <c r="D842">
        <v>2016</v>
      </c>
      <c r="E842">
        <f>car_price_prediction_[[#This Row],[Engine Size]]/10</f>
        <v>3.9</v>
      </c>
      <c r="F842">
        <v>39</v>
      </c>
      <c r="G842" s="1" t="s">
        <v>16</v>
      </c>
      <c r="H842" s="1" t="s">
        <v>22</v>
      </c>
      <c r="I842" s="12">
        <f>car_price_prediction_[[#This Row],[Mileage]]/1000</f>
        <v>6.1630000000000003</v>
      </c>
      <c r="J842" s="5">
        <v>6163</v>
      </c>
      <c r="K842" s="1" t="s">
        <v>13</v>
      </c>
      <c r="L842" s="5">
        <f>car_price_prediction_[[#This Row],[Price]]/100</f>
        <v>35550.89</v>
      </c>
      <c r="M842">
        <v>3555089</v>
      </c>
      <c r="N842" s="1" t="s">
        <v>20</v>
      </c>
      <c r="O842" s="1">
        <f>IF(IFERROR(VLOOKUP(car_price_prediction_[[#This Row],[Car ID]],A843:A3342,1,FALSE),0),1,0)</f>
        <v>0</v>
      </c>
    </row>
    <row r="843" spans="1:15" x14ac:dyDescent="0.25">
      <c r="A843">
        <v>842</v>
      </c>
      <c r="B843" s="1" t="s">
        <v>36</v>
      </c>
      <c r="C843" s="1">
        <f>car_price_prediction_[[#This Row],[Year2]]</f>
        <v>2021</v>
      </c>
      <c r="D843">
        <v>2021</v>
      </c>
      <c r="E843">
        <f>car_price_prediction_[[#This Row],[Engine Size]]/10</f>
        <v>2.6</v>
      </c>
      <c r="F843">
        <v>26</v>
      </c>
      <c r="G843" s="1" t="s">
        <v>11</v>
      </c>
      <c r="H843" s="1" t="s">
        <v>12</v>
      </c>
      <c r="I843" s="12">
        <f>car_price_prediction_[[#This Row],[Mileage]]/1000</f>
        <v>16.065000000000001</v>
      </c>
      <c r="J843" s="5">
        <v>16065</v>
      </c>
      <c r="K843" s="1" t="s">
        <v>17</v>
      </c>
      <c r="L843" s="5">
        <f>car_price_prediction_[[#This Row],[Price]]/100</f>
        <v>6846.34</v>
      </c>
      <c r="M843">
        <v>684634</v>
      </c>
      <c r="N843" s="1" t="s">
        <v>37</v>
      </c>
      <c r="O843" s="1">
        <f>IF(IFERROR(VLOOKUP(car_price_prediction_[[#This Row],[Car ID]],A844:A3343,1,FALSE),0),1,0)</f>
        <v>0</v>
      </c>
    </row>
    <row r="844" spans="1:15" x14ac:dyDescent="0.25">
      <c r="A844">
        <v>843</v>
      </c>
      <c r="B844" s="1" t="s">
        <v>36</v>
      </c>
      <c r="C844" s="1">
        <f>car_price_prediction_[[#This Row],[Year2]]</f>
        <v>2012</v>
      </c>
      <c r="D844">
        <v>2012</v>
      </c>
      <c r="E844">
        <f>car_price_prediction_[[#This Row],[Engine Size]]/10</f>
        <v>1.2</v>
      </c>
      <c r="F844">
        <v>12</v>
      </c>
      <c r="G844" s="1" t="s">
        <v>11</v>
      </c>
      <c r="H844" s="1" t="s">
        <v>12</v>
      </c>
      <c r="I844" s="12">
        <f>car_price_prediction_[[#This Row],[Mileage]]/1000</f>
        <v>241.262</v>
      </c>
      <c r="J844" s="5">
        <v>241262</v>
      </c>
      <c r="K844" s="1" t="s">
        <v>17</v>
      </c>
      <c r="L844" s="5">
        <f>car_price_prediction_[[#This Row],[Price]]/100</f>
        <v>15517.04</v>
      </c>
      <c r="M844">
        <v>1551704</v>
      </c>
      <c r="N844" s="1" t="s">
        <v>40</v>
      </c>
      <c r="O844" s="1">
        <f>IF(IFERROR(VLOOKUP(car_price_prediction_[[#This Row],[Car ID]],A845:A3344,1,FALSE),0),1,0)</f>
        <v>0</v>
      </c>
    </row>
    <row r="845" spans="1:15" x14ac:dyDescent="0.25">
      <c r="A845">
        <v>844</v>
      </c>
      <c r="B845" s="1" t="s">
        <v>24</v>
      </c>
      <c r="C845" s="1">
        <f>car_price_prediction_[[#This Row],[Year2]]</f>
        <v>2005</v>
      </c>
      <c r="D845">
        <v>2005</v>
      </c>
      <c r="E845">
        <f>car_price_prediction_[[#This Row],[Engine Size]]/10</f>
        <v>2.4</v>
      </c>
      <c r="F845">
        <v>24</v>
      </c>
      <c r="G845" s="1" t="s">
        <v>21</v>
      </c>
      <c r="H845" s="1" t="s">
        <v>22</v>
      </c>
      <c r="I845" s="12">
        <f>car_price_prediction_[[#This Row],[Mileage]]/1000</f>
        <v>248.92400000000001</v>
      </c>
      <c r="J845" s="5">
        <v>248924</v>
      </c>
      <c r="K845" s="1" t="s">
        <v>13</v>
      </c>
      <c r="L845" s="5">
        <f>car_price_prediction_[[#This Row],[Price]]/100</f>
        <v>82126.53</v>
      </c>
      <c r="M845">
        <v>8212653</v>
      </c>
      <c r="N845" s="1" t="s">
        <v>34</v>
      </c>
      <c r="O845" s="1">
        <f>IF(IFERROR(VLOOKUP(car_price_prediction_[[#This Row],[Car ID]],A846:A3345,1,FALSE),0),1,0)</f>
        <v>0</v>
      </c>
    </row>
    <row r="846" spans="1:15" x14ac:dyDescent="0.25">
      <c r="A846">
        <v>845</v>
      </c>
      <c r="B846" s="1" t="s">
        <v>10</v>
      </c>
      <c r="C846" s="1">
        <f>car_price_prediction_[[#This Row],[Year2]]</f>
        <v>2016</v>
      </c>
      <c r="D846">
        <v>2016</v>
      </c>
      <c r="E846">
        <f>car_price_prediction_[[#This Row],[Engine Size]]/10</f>
        <v>1</v>
      </c>
      <c r="F846">
        <v>10</v>
      </c>
      <c r="G846" s="1" t="s">
        <v>11</v>
      </c>
      <c r="H846" s="1" t="s">
        <v>22</v>
      </c>
      <c r="I846" s="12">
        <f>car_price_prediction_[[#This Row],[Mileage]]/1000</f>
        <v>179.42</v>
      </c>
      <c r="J846" s="5">
        <v>179420</v>
      </c>
      <c r="K846" s="1" t="s">
        <v>17</v>
      </c>
      <c r="L846" s="5">
        <f>car_price_prediction_[[#This Row],[Price]]/100</f>
        <v>83794.28</v>
      </c>
      <c r="M846">
        <v>8379428</v>
      </c>
      <c r="N846" s="1" t="s">
        <v>33</v>
      </c>
      <c r="O846" s="1">
        <f>IF(IFERROR(VLOOKUP(car_price_prediction_[[#This Row],[Car ID]],A847:A3346,1,FALSE),0),1,0)</f>
        <v>0</v>
      </c>
    </row>
    <row r="847" spans="1:15" x14ac:dyDescent="0.25">
      <c r="A847">
        <v>846</v>
      </c>
      <c r="B847" s="1" t="s">
        <v>43</v>
      </c>
      <c r="C847" s="1">
        <f>car_price_prediction_[[#This Row],[Year2]]</f>
        <v>2012</v>
      </c>
      <c r="D847">
        <v>2012</v>
      </c>
      <c r="E847">
        <f>car_price_prediction_[[#This Row],[Engine Size]]/10</f>
        <v>5.9</v>
      </c>
      <c r="F847">
        <v>59</v>
      </c>
      <c r="G847" s="1" t="s">
        <v>29</v>
      </c>
      <c r="H847" s="1" t="s">
        <v>22</v>
      </c>
      <c r="I847" s="12">
        <f>car_price_prediction_[[#This Row],[Mileage]]/1000</f>
        <v>281.298</v>
      </c>
      <c r="J847" s="5">
        <v>281298</v>
      </c>
      <c r="K847" s="1" t="s">
        <v>25</v>
      </c>
      <c r="L847" s="5">
        <f>car_price_prediction_[[#This Row],[Price]]/100</f>
        <v>8118.49</v>
      </c>
      <c r="M847">
        <v>811849</v>
      </c>
      <c r="N847" s="1" t="s">
        <v>44</v>
      </c>
      <c r="O847" s="1">
        <f>IF(IFERROR(VLOOKUP(car_price_prediction_[[#This Row],[Car ID]],A848:A3347,1,FALSE),0),1,0)</f>
        <v>0</v>
      </c>
    </row>
    <row r="848" spans="1:15" x14ac:dyDescent="0.25">
      <c r="A848">
        <v>847</v>
      </c>
      <c r="B848" s="1" t="s">
        <v>24</v>
      </c>
      <c r="C848" s="1">
        <f>car_price_prediction_[[#This Row],[Year2]]</f>
        <v>2018</v>
      </c>
      <c r="D848">
        <v>2018</v>
      </c>
      <c r="E848">
        <f>car_price_prediction_[[#This Row],[Engine Size]]/10</f>
        <v>5.8</v>
      </c>
      <c r="F848">
        <v>58</v>
      </c>
      <c r="G848" s="1" t="s">
        <v>11</v>
      </c>
      <c r="H848" s="1" t="s">
        <v>22</v>
      </c>
      <c r="I848" s="12">
        <f>car_price_prediction_[[#This Row],[Mileage]]/1000</f>
        <v>20.228999999999999</v>
      </c>
      <c r="J848" s="5">
        <v>20229</v>
      </c>
      <c r="K848" s="1" t="s">
        <v>17</v>
      </c>
      <c r="L848" s="5">
        <f>car_price_prediction_[[#This Row],[Price]]/100</f>
        <v>74047.77</v>
      </c>
      <c r="M848">
        <v>7404777</v>
      </c>
      <c r="N848" s="1" t="s">
        <v>53</v>
      </c>
      <c r="O848" s="1">
        <f>IF(IFERROR(VLOOKUP(car_price_prediction_[[#This Row],[Car ID]],A849:A3348,1,FALSE),0),1,0)</f>
        <v>0</v>
      </c>
    </row>
    <row r="849" spans="1:15" x14ac:dyDescent="0.25">
      <c r="A849">
        <v>848</v>
      </c>
      <c r="B849" s="1" t="s">
        <v>15</v>
      </c>
      <c r="C849" s="1">
        <f>car_price_prediction_[[#This Row],[Year2]]</f>
        <v>2020</v>
      </c>
      <c r="D849">
        <v>2020</v>
      </c>
      <c r="E849">
        <f>car_price_prediction_[[#This Row],[Engine Size]]/10</f>
        <v>3</v>
      </c>
      <c r="F849">
        <v>30</v>
      </c>
      <c r="G849" s="1" t="s">
        <v>11</v>
      </c>
      <c r="H849" s="1" t="s">
        <v>22</v>
      </c>
      <c r="I849" s="12">
        <f>car_price_prediction_[[#This Row],[Mileage]]/1000</f>
        <v>250.47</v>
      </c>
      <c r="J849" s="5">
        <v>250470</v>
      </c>
      <c r="K849" s="1" t="s">
        <v>25</v>
      </c>
      <c r="L849" s="5">
        <f>car_price_prediction_[[#This Row],[Price]]/100</f>
        <v>80364.72</v>
      </c>
      <c r="M849">
        <v>8036472</v>
      </c>
      <c r="N849" s="1" t="s">
        <v>39</v>
      </c>
      <c r="O849" s="1">
        <f>IF(IFERROR(VLOOKUP(car_price_prediction_[[#This Row],[Car ID]],A850:A3349,1,FALSE),0),1,0)</f>
        <v>0</v>
      </c>
    </row>
    <row r="850" spans="1:15" x14ac:dyDescent="0.25">
      <c r="A850">
        <v>849</v>
      </c>
      <c r="B850" s="1" t="s">
        <v>30</v>
      </c>
      <c r="C850" s="1">
        <f>car_price_prediction_[[#This Row],[Year2]]</f>
        <v>2018</v>
      </c>
      <c r="D850">
        <v>2018</v>
      </c>
      <c r="E850">
        <f>car_price_prediction_[[#This Row],[Engine Size]]/10</f>
        <v>4.5999999999999996</v>
      </c>
      <c r="F850">
        <v>46</v>
      </c>
      <c r="G850" s="1" t="s">
        <v>11</v>
      </c>
      <c r="H850" s="1" t="s">
        <v>12</v>
      </c>
      <c r="I850" s="12">
        <f>car_price_prediction_[[#This Row],[Mileage]]/1000</f>
        <v>158.06899999999999</v>
      </c>
      <c r="J850" s="5">
        <v>158069</v>
      </c>
      <c r="K850" s="1" t="s">
        <v>25</v>
      </c>
      <c r="L850" s="5">
        <f>car_price_prediction_[[#This Row],[Price]]/100</f>
        <v>68743.320000000007</v>
      </c>
      <c r="M850">
        <v>6874332</v>
      </c>
      <c r="N850" s="1" t="s">
        <v>31</v>
      </c>
      <c r="O850" s="1">
        <f>IF(IFERROR(VLOOKUP(car_price_prediction_[[#This Row],[Car ID]],A851:A3350,1,FALSE),0),1,0)</f>
        <v>0</v>
      </c>
    </row>
    <row r="851" spans="1:15" x14ac:dyDescent="0.25">
      <c r="A851">
        <v>850</v>
      </c>
      <c r="B851" s="1" t="s">
        <v>36</v>
      </c>
      <c r="C851" s="1">
        <f>car_price_prediction_[[#This Row],[Year2]]</f>
        <v>2009</v>
      </c>
      <c r="D851">
        <v>2009</v>
      </c>
      <c r="E851">
        <f>car_price_prediction_[[#This Row],[Engine Size]]/10</f>
        <v>2.7</v>
      </c>
      <c r="F851">
        <v>27</v>
      </c>
      <c r="G851" s="1" t="s">
        <v>29</v>
      </c>
      <c r="H851" s="1" t="s">
        <v>22</v>
      </c>
      <c r="I851" s="12">
        <f>car_price_prediction_[[#This Row],[Mileage]]/1000</f>
        <v>21.100999999999999</v>
      </c>
      <c r="J851" s="5">
        <v>21101</v>
      </c>
      <c r="K851" s="1" t="s">
        <v>25</v>
      </c>
      <c r="L851" s="5">
        <f>car_price_prediction_[[#This Row],[Price]]/100</f>
        <v>68634.17</v>
      </c>
      <c r="M851">
        <v>6863417</v>
      </c>
      <c r="N851" s="1" t="s">
        <v>46</v>
      </c>
      <c r="O851" s="1">
        <f>IF(IFERROR(VLOOKUP(car_price_prediction_[[#This Row],[Car ID]],A852:A3351,1,FALSE),0),1,0)</f>
        <v>0</v>
      </c>
    </row>
    <row r="852" spans="1:15" x14ac:dyDescent="0.25">
      <c r="A852">
        <v>851</v>
      </c>
      <c r="B852" s="1" t="s">
        <v>15</v>
      </c>
      <c r="C852" s="1">
        <f>car_price_prediction_[[#This Row],[Year2]]</f>
        <v>2002</v>
      </c>
      <c r="D852">
        <v>2002</v>
      </c>
      <c r="E852">
        <f>car_price_prediction_[[#This Row],[Engine Size]]/10</f>
        <v>4.4000000000000004</v>
      </c>
      <c r="F852">
        <v>44</v>
      </c>
      <c r="G852" s="1" t="s">
        <v>16</v>
      </c>
      <c r="H852" s="1" t="s">
        <v>22</v>
      </c>
      <c r="I852" s="12">
        <f>car_price_prediction_[[#This Row],[Mileage]]/1000</f>
        <v>40.390999999999998</v>
      </c>
      <c r="J852" s="5">
        <v>40391</v>
      </c>
      <c r="K852" s="1" t="s">
        <v>17</v>
      </c>
      <c r="L852" s="5">
        <f>car_price_prediction_[[#This Row],[Price]]/100</f>
        <v>68399.37</v>
      </c>
      <c r="M852">
        <v>6839937</v>
      </c>
      <c r="N852" s="1" t="s">
        <v>51</v>
      </c>
      <c r="O852" s="1">
        <f>IF(IFERROR(VLOOKUP(car_price_prediction_[[#This Row],[Car ID]],A853:A3352,1,FALSE),0),1,0)</f>
        <v>0</v>
      </c>
    </row>
    <row r="853" spans="1:15" x14ac:dyDescent="0.25">
      <c r="A853">
        <v>852</v>
      </c>
      <c r="B853" s="1" t="s">
        <v>15</v>
      </c>
      <c r="C853" s="1">
        <f>car_price_prediction_[[#This Row],[Year2]]</f>
        <v>2013</v>
      </c>
      <c r="D853">
        <v>2013</v>
      </c>
      <c r="E853">
        <f>car_price_prediction_[[#This Row],[Engine Size]]/10</f>
        <v>5</v>
      </c>
      <c r="F853">
        <v>50</v>
      </c>
      <c r="G853" s="1" t="s">
        <v>11</v>
      </c>
      <c r="H853" s="1" t="s">
        <v>22</v>
      </c>
      <c r="I853" s="12">
        <f>car_price_prediction_[[#This Row],[Mileage]]/1000</f>
        <v>206.935</v>
      </c>
      <c r="J853" s="5">
        <v>206935</v>
      </c>
      <c r="K853" s="1" t="s">
        <v>25</v>
      </c>
      <c r="L853" s="5">
        <f>car_price_prediction_[[#This Row],[Price]]/100</f>
        <v>53834.07</v>
      </c>
      <c r="M853">
        <v>5383407</v>
      </c>
      <c r="N853" s="1" t="s">
        <v>51</v>
      </c>
      <c r="O853" s="1">
        <f>IF(IFERROR(VLOOKUP(car_price_prediction_[[#This Row],[Car ID]],A854:A3353,1,FALSE),0),1,0)</f>
        <v>0</v>
      </c>
    </row>
    <row r="854" spans="1:15" x14ac:dyDescent="0.25">
      <c r="A854">
        <v>853</v>
      </c>
      <c r="B854" s="1" t="s">
        <v>19</v>
      </c>
      <c r="C854" s="1">
        <f>car_price_prediction_[[#This Row],[Year2]]</f>
        <v>2018</v>
      </c>
      <c r="D854">
        <v>2018</v>
      </c>
      <c r="E854">
        <f>car_price_prediction_[[#This Row],[Engine Size]]/10</f>
        <v>5.7</v>
      </c>
      <c r="F854">
        <v>57</v>
      </c>
      <c r="G854" s="1" t="s">
        <v>21</v>
      </c>
      <c r="H854" s="1" t="s">
        <v>12</v>
      </c>
      <c r="I854" s="12">
        <f>car_price_prediction_[[#This Row],[Mileage]]/1000</f>
        <v>72.722999999999999</v>
      </c>
      <c r="J854" s="5">
        <v>72723</v>
      </c>
      <c r="K854" s="1" t="s">
        <v>25</v>
      </c>
      <c r="L854" s="5">
        <f>car_price_prediction_[[#This Row],[Price]]/100</f>
        <v>39517.99</v>
      </c>
      <c r="M854">
        <v>3951799</v>
      </c>
      <c r="N854" s="1" t="s">
        <v>27</v>
      </c>
      <c r="O854" s="1">
        <f>IF(IFERROR(VLOOKUP(car_price_prediction_[[#This Row],[Car ID]],A855:A3354,1,FALSE),0),1,0)</f>
        <v>0</v>
      </c>
    </row>
    <row r="855" spans="1:15" x14ac:dyDescent="0.25">
      <c r="A855">
        <v>854</v>
      </c>
      <c r="B855" s="1" t="s">
        <v>30</v>
      </c>
      <c r="C855" s="1">
        <f>car_price_prediction_[[#This Row],[Year2]]</f>
        <v>2004</v>
      </c>
      <c r="D855">
        <v>2004</v>
      </c>
      <c r="E855">
        <f>car_price_prediction_[[#This Row],[Engine Size]]/10</f>
        <v>3</v>
      </c>
      <c r="F855">
        <v>30</v>
      </c>
      <c r="G855" s="1" t="s">
        <v>29</v>
      </c>
      <c r="H855" s="1" t="s">
        <v>12</v>
      </c>
      <c r="I855" s="12">
        <f>car_price_prediction_[[#This Row],[Mileage]]/1000</f>
        <v>226.29300000000001</v>
      </c>
      <c r="J855" s="5">
        <v>226293</v>
      </c>
      <c r="K855" s="1" t="s">
        <v>17</v>
      </c>
      <c r="L855" s="5">
        <f>car_price_prediction_[[#This Row],[Price]]/100</f>
        <v>74368.55</v>
      </c>
      <c r="M855">
        <v>7436855</v>
      </c>
      <c r="N855" s="1" t="s">
        <v>31</v>
      </c>
      <c r="O855" s="1">
        <f>IF(IFERROR(VLOOKUP(car_price_prediction_[[#This Row],[Car ID]],A856:A3355,1,FALSE),0),1,0)</f>
        <v>0</v>
      </c>
    </row>
    <row r="856" spans="1:15" x14ac:dyDescent="0.25">
      <c r="A856">
        <v>855</v>
      </c>
      <c r="B856" s="1" t="s">
        <v>15</v>
      </c>
      <c r="C856" s="1">
        <f>car_price_prediction_[[#This Row],[Year2]]</f>
        <v>2004</v>
      </c>
      <c r="D856">
        <v>2004</v>
      </c>
      <c r="E856">
        <f>car_price_prediction_[[#This Row],[Engine Size]]/10</f>
        <v>4.9000000000000004</v>
      </c>
      <c r="F856">
        <v>49</v>
      </c>
      <c r="G856" s="1" t="s">
        <v>21</v>
      </c>
      <c r="H856" s="1" t="s">
        <v>22</v>
      </c>
      <c r="I856" s="12">
        <f>car_price_prediction_[[#This Row],[Mileage]]/1000</f>
        <v>190.477</v>
      </c>
      <c r="J856" s="5">
        <v>190477</v>
      </c>
      <c r="K856" s="1" t="s">
        <v>25</v>
      </c>
      <c r="L856" s="5">
        <f>car_price_prediction_[[#This Row],[Price]]/100</f>
        <v>33371.370000000003</v>
      </c>
      <c r="M856">
        <v>3337137</v>
      </c>
      <c r="N856" s="1" t="s">
        <v>18</v>
      </c>
      <c r="O856" s="1">
        <f>IF(IFERROR(VLOOKUP(car_price_prediction_[[#This Row],[Car ID]],A857:A3356,1,FALSE),0),1,0)</f>
        <v>0</v>
      </c>
    </row>
    <row r="857" spans="1:15" x14ac:dyDescent="0.25">
      <c r="A857">
        <v>856</v>
      </c>
      <c r="B857" s="1" t="s">
        <v>15</v>
      </c>
      <c r="C857" s="1">
        <f>car_price_prediction_[[#This Row],[Year2]]</f>
        <v>2019</v>
      </c>
      <c r="D857">
        <v>2019</v>
      </c>
      <c r="E857">
        <f>car_price_prediction_[[#This Row],[Engine Size]]/10</f>
        <v>2.2999999999999998</v>
      </c>
      <c r="F857">
        <v>23</v>
      </c>
      <c r="G857" s="1" t="s">
        <v>11</v>
      </c>
      <c r="H857" s="1" t="s">
        <v>22</v>
      </c>
      <c r="I857" s="12">
        <f>car_price_prediction_[[#This Row],[Mileage]]/1000</f>
        <v>166.02</v>
      </c>
      <c r="J857" s="5">
        <v>166020</v>
      </c>
      <c r="K857" s="1" t="s">
        <v>17</v>
      </c>
      <c r="L857" s="5">
        <f>car_price_prediction_[[#This Row],[Price]]/100</f>
        <v>5657.57</v>
      </c>
      <c r="M857">
        <v>565757</v>
      </c>
      <c r="N857" s="1" t="s">
        <v>39</v>
      </c>
      <c r="O857" s="1">
        <f>IF(IFERROR(VLOOKUP(car_price_prediction_[[#This Row],[Car ID]],A858:A3357,1,FALSE),0),1,0)</f>
        <v>0</v>
      </c>
    </row>
    <row r="858" spans="1:15" x14ac:dyDescent="0.25">
      <c r="A858">
        <v>857</v>
      </c>
      <c r="B858" s="1" t="s">
        <v>30</v>
      </c>
      <c r="C858" s="1">
        <f>car_price_prediction_[[#This Row],[Year2]]</f>
        <v>2016</v>
      </c>
      <c r="D858">
        <v>2016</v>
      </c>
      <c r="E858">
        <f>car_price_prediction_[[#This Row],[Engine Size]]/10</f>
        <v>6</v>
      </c>
      <c r="F858">
        <v>60</v>
      </c>
      <c r="G858" s="1" t="s">
        <v>21</v>
      </c>
      <c r="H858" s="1" t="s">
        <v>12</v>
      </c>
      <c r="I858" s="12">
        <f>car_price_prediction_[[#This Row],[Mileage]]/1000</f>
        <v>290.60399999999998</v>
      </c>
      <c r="J858" s="5">
        <v>290604</v>
      </c>
      <c r="K858" s="1" t="s">
        <v>13</v>
      </c>
      <c r="L858" s="5">
        <f>car_price_prediction_[[#This Row],[Price]]/100</f>
        <v>46168.78</v>
      </c>
      <c r="M858">
        <v>4616878</v>
      </c>
      <c r="N858" s="1" t="s">
        <v>45</v>
      </c>
      <c r="O858" s="1">
        <f>IF(IFERROR(VLOOKUP(car_price_prediction_[[#This Row],[Car ID]],A859:A3358,1,FALSE),0),1,0)</f>
        <v>0</v>
      </c>
    </row>
    <row r="859" spans="1:15" x14ac:dyDescent="0.25">
      <c r="A859">
        <v>858</v>
      </c>
      <c r="B859" s="1" t="s">
        <v>30</v>
      </c>
      <c r="C859" s="1">
        <f>car_price_prediction_[[#This Row],[Year2]]</f>
        <v>2020</v>
      </c>
      <c r="D859">
        <v>2020</v>
      </c>
      <c r="E859">
        <f>car_price_prediction_[[#This Row],[Engine Size]]/10</f>
        <v>1.1000000000000001</v>
      </c>
      <c r="F859">
        <v>11</v>
      </c>
      <c r="G859" s="1" t="s">
        <v>11</v>
      </c>
      <c r="H859" s="1" t="s">
        <v>12</v>
      </c>
      <c r="I859" s="12">
        <f>car_price_prediction_[[#This Row],[Mileage]]/1000</f>
        <v>197.19</v>
      </c>
      <c r="J859" s="5">
        <v>197190</v>
      </c>
      <c r="K859" s="1" t="s">
        <v>25</v>
      </c>
      <c r="L859" s="5">
        <f>car_price_prediction_[[#This Row],[Price]]/100</f>
        <v>31279.119999999999</v>
      </c>
      <c r="M859">
        <v>3127912</v>
      </c>
      <c r="N859" s="1" t="s">
        <v>42</v>
      </c>
      <c r="O859" s="1">
        <f>IF(IFERROR(VLOOKUP(car_price_prediction_[[#This Row],[Car ID]],A860:A3359,1,FALSE),0),1,0)</f>
        <v>0</v>
      </c>
    </row>
    <row r="860" spans="1:15" x14ac:dyDescent="0.25">
      <c r="A860">
        <v>859</v>
      </c>
      <c r="B860" s="1" t="s">
        <v>15</v>
      </c>
      <c r="C860" s="1">
        <f>car_price_prediction_[[#This Row],[Year2]]</f>
        <v>2009</v>
      </c>
      <c r="D860">
        <v>2009</v>
      </c>
      <c r="E860">
        <f>car_price_prediction_[[#This Row],[Engine Size]]/10</f>
        <v>4</v>
      </c>
      <c r="F860">
        <v>40</v>
      </c>
      <c r="G860" s="1" t="s">
        <v>29</v>
      </c>
      <c r="H860" s="1" t="s">
        <v>12</v>
      </c>
      <c r="I860" s="12">
        <f>car_price_prediction_[[#This Row],[Mileage]]/1000</f>
        <v>179.35400000000001</v>
      </c>
      <c r="J860" s="5">
        <v>179354</v>
      </c>
      <c r="K860" s="1" t="s">
        <v>17</v>
      </c>
      <c r="L860" s="5">
        <f>car_price_prediction_[[#This Row],[Price]]/100</f>
        <v>97595.54</v>
      </c>
      <c r="M860">
        <v>9759554</v>
      </c>
      <c r="N860" s="1" t="s">
        <v>51</v>
      </c>
      <c r="O860" s="1">
        <f>IF(IFERROR(VLOOKUP(car_price_prediction_[[#This Row],[Car ID]],A861:A3360,1,FALSE),0),1,0)</f>
        <v>0</v>
      </c>
    </row>
    <row r="861" spans="1:15" x14ac:dyDescent="0.25">
      <c r="A861">
        <v>860</v>
      </c>
      <c r="B861" s="1" t="s">
        <v>30</v>
      </c>
      <c r="C861" s="1">
        <f>car_price_prediction_[[#This Row],[Year2]]</f>
        <v>2004</v>
      </c>
      <c r="D861">
        <v>2004</v>
      </c>
      <c r="E861">
        <f>car_price_prediction_[[#This Row],[Engine Size]]/10</f>
        <v>4.3</v>
      </c>
      <c r="F861">
        <v>43</v>
      </c>
      <c r="G861" s="1" t="s">
        <v>21</v>
      </c>
      <c r="H861" s="1" t="s">
        <v>12</v>
      </c>
      <c r="I861" s="12">
        <f>car_price_prediction_[[#This Row],[Mileage]]/1000</f>
        <v>91.724999999999994</v>
      </c>
      <c r="J861" s="5">
        <v>91725</v>
      </c>
      <c r="K861" s="1" t="s">
        <v>13</v>
      </c>
      <c r="L861" s="5">
        <f>car_price_prediction_[[#This Row],[Price]]/100</f>
        <v>29581.41</v>
      </c>
      <c r="M861">
        <v>2958141</v>
      </c>
      <c r="N861" s="1" t="s">
        <v>45</v>
      </c>
      <c r="O861" s="1">
        <f>IF(IFERROR(VLOOKUP(car_price_prediction_[[#This Row],[Car ID]],A862:A3361,1,FALSE),0),1,0)</f>
        <v>0</v>
      </c>
    </row>
    <row r="862" spans="1:15" x14ac:dyDescent="0.25">
      <c r="A862">
        <v>861</v>
      </c>
      <c r="B862" s="1" t="s">
        <v>15</v>
      </c>
      <c r="C862" s="1">
        <f>car_price_prediction_[[#This Row],[Year2]]</f>
        <v>2003</v>
      </c>
      <c r="D862">
        <v>2003</v>
      </c>
      <c r="E862">
        <f>car_price_prediction_[[#This Row],[Engine Size]]/10</f>
        <v>4.4000000000000004</v>
      </c>
      <c r="F862">
        <v>44</v>
      </c>
      <c r="G862" s="1" t="s">
        <v>21</v>
      </c>
      <c r="H862" s="1" t="s">
        <v>22</v>
      </c>
      <c r="I862" s="12">
        <f>car_price_prediction_[[#This Row],[Mileage]]/1000</f>
        <v>212.13900000000001</v>
      </c>
      <c r="J862" s="5">
        <v>212139</v>
      </c>
      <c r="K862" s="1" t="s">
        <v>25</v>
      </c>
      <c r="L862" s="5">
        <f>car_price_prediction_[[#This Row],[Price]]/100</f>
        <v>34382.839999999997</v>
      </c>
      <c r="M862">
        <v>3438284</v>
      </c>
      <c r="N862" s="1" t="s">
        <v>51</v>
      </c>
      <c r="O862" s="1">
        <f>IF(IFERROR(VLOOKUP(car_price_prediction_[[#This Row],[Car ID]],A863:A3362,1,FALSE),0),1,0)</f>
        <v>0</v>
      </c>
    </row>
    <row r="863" spans="1:15" x14ac:dyDescent="0.25">
      <c r="A863">
        <v>862</v>
      </c>
      <c r="B863" s="1" t="s">
        <v>15</v>
      </c>
      <c r="C863" s="1">
        <f>car_price_prediction_[[#This Row],[Year2]]</f>
        <v>2005</v>
      </c>
      <c r="D863">
        <v>2005</v>
      </c>
      <c r="E863">
        <f>car_price_prediction_[[#This Row],[Engine Size]]/10</f>
        <v>1.6</v>
      </c>
      <c r="F863">
        <v>16</v>
      </c>
      <c r="G863" s="1" t="s">
        <v>11</v>
      </c>
      <c r="H863" s="1" t="s">
        <v>12</v>
      </c>
      <c r="I863" s="12">
        <f>car_price_prediction_[[#This Row],[Mileage]]/1000</f>
        <v>85.778999999999996</v>
      </c>
      <c r="J863" s="5">
        <v>85779</v>
      </c>
      <c r="K863" s="1" t="s">
        <v>25</v>
      </c>
      <c r="L863" s="5">
        <f>car_price_prediction_[[#This Row],[Price]]/100</f>
        <v>20350.810000000001</v>
      </c>
      <c r="M863">
        <v>2035081</v>
      </c>
      <c r="N863" s="1" t="s">
        <v>51</v>
      </c>
      <c r="O863" s="1">
        <f>IF(IFERROR(VLOOKUP(car_price_prediction_[[#This Row],[Car ID]],A864:A3363,1,FALSE),0),1,0)</f>
        <v>0</v>
      </c>
    </row>
    <row r="864" spans="1:15" x14ac:dyDescent="0.25">
      <c r="A864">
        <v>863</v>
      </c>
      <c r="B864" s="1" t="s">
        <v>19</v>
      </c>
      <c r="C864" s="1">
        <f>car_price_prediction_[[#This Row],[Year2]]</f>
        <v>2003</v>
      </c>
      <c r="D864">
        <v>2003</v>
      </c>
      <c r="E864">
        <f>car_price_prediction_[[#This Row],[Engine Size]]/10</f>
        <v>5.7</v>
      </c>
      <c r="F864">
        <v>57</v>
      </c>
      <c r="G864" s="1" t="s">
        <v>11</v>
      </c>
      <c r="H864" s="1" t="s">
        <v>22</v>
      </c>
      <c r="I864" s="12">
        <f>car_price_prediction_[[#This Row],[Mileage]]/1000</f>
        <v>3.06</v>
      </c>
      <c r="J864" s="5">
        <v>3060</v>
      </c>
      <c r="K864" s="1" t="s">
        <v>17</v>
      </c>
      <c r="L864" s="5">
        <f>car_price_prediction_[[#This Row],[Price]]/100</f>
        <v>83183.16</v>
      </c>
      <c r="M864">
        <v>8318316</v>
      </c>
      <c r="N864" s="1" t="s">
        <v>20</v>
      </c>
      <c r="O864" s="1">
        <f>IF(IFERROR(VLOOKUP(car_price_prediction_[[#This Row],[Car ID]],A865:A3364,1,FALSE),0),1,0)</f>
        <v>0</v>
      </c>
    </row>
    <row r="865" spans="1:15" x14ac:dyDescent="0.25">
      <c r="A865">
        <v>864</v>
      </c>
      <c r="B865" s="1" t="s">
        <v>43</v>
      </c>
      <c r="C865" s="1">
        <f>car_price_prediction_[[#This Row],[Year2]]</f>
        <v>2006</v>
      </c>
      <c r="D865">
        <v>2006</v>
      </c>
      <c r="E865">
        <f>car_price_prediction_[[#This Row],[Engine Size]]/10</f>
        <v>1.9</v>
      </c>
      <c r="F865">
        <v>19</v>
      </c>
      <c r="G865" s="1" t="s">
        <v>16</v>
      </c>
      <c r="H865" s="1" t="s">
        <v>22</v>
      </c>
      <c r="I865" s="12">
        <f>car_price_prediction_[[#This Row],[Mileage]]/1000</f>
        <v>125.806</v>
      </c>
      <c r="J865" s="5">
        <v>125806</v>
      </c>
      <c r="K865" s="1" t="s">
        <v>13</v>
      </c>
      <c r="L865" s="5">
        <f>car_price_prediction_[[#This Row],[Price]]/100</f>
        <v>60725.99</v>
      </c>
      <c r="M865">
        <v>6072599</v>
      </c>
      <c r="N865" s="1" t="s">
        <v>52</v>
      </c>
      <c r="O865" s="1">
        <f>IF(IFERROR(VLOOKUP(car_price_prediction_[[#This Row],[Car ID]],A866:A3365,1,FALSE),0),1,0)</f>
        <v>0</v>
      </c>
    </row>
    <row r="866" spans="1:15" x14ac:dyDescent="0.25">
      <c r="A866">
        <v>865</v>
      </c>
      <c r="B866" s="1" t="s">
        <v>15</v>
      </c>
      <c r="C866" s="1">
        <f>car_price_prediction_[[#This Row],[Year2]]</f>
        <v>2006</v>
      </c>
      <c r="D866">
        <v>2006</v>
      </c>
      <c r="E866">
        <f>car_price_prediction_[[#This Row],[Engine Size]]/10</f>
        <v>4.0999999999999996</v>
      </c>
      <c r="F866">
        <v>41</v>
      </c>
      <c r="G866" s="1" t="s">
        <v>11</v>
      </c>
      <c r="H866" s="1" t="s">
        <v>12</v>
      </c>
      <c r="I866" s="12">
        <f>car_price_prediction_[[#This Row],[Mileage]]/1000</f>
        <v>275.875</v>
      </c>
      <c r="J866" s="5">
        <v>275875</v>
      </c>
      <c r="K866" s="1" t="s">
        <v>17</v>
      </c>
      <c r="L866" s="5">
        <f>car_price_prediction_[[#This Row],[Price]]/100</f>
        <v>63238.73</v>
      </c>
      <c r="M866">
        <v>6323873</v>
      </c>
      <c r="N866" s="1" t="s">
        <v>51</v>
      </c>
      <c r="O866" s="1">
        <f>IF(IFERROR(VLOOKUP(car_price_prediction_[[#This Row],[Car ID]],A867:A3366,1,FALSE),0),1,0)</f>
        <v>0</v>
      </c>
    </row>
    <row r="867" spans="1:15" x14ac:dyDescent="0.25">
      <c r="A867">
        <v>866</v>
      </c>
      <c r="B867" s="1" t="s">
        <v>24</v>
      </c>
      <c r="C867" s="1">
        <f>car_price_prediction_[[#This Row],[Year2]]</f>
        <v>2017</v>
      </c>
      <c r="D867">
        <v>2017</v>
      </c>
      <c r="E867">
        <f>car_price_prediction_[[#This Row],[Engine Size]]/10</f>
        <v>2.1</v>
      </c>
      <c r="F867">
        <v>21</v>
      </c>
      <c r="G867" s="1" t="s">
        <v>11</v>
      </c>
      <c r="H867" s="1" t="s">
        <v>12</v>
      </c>
      <c r="I867" s="12">
        <f>car_price_prediction_[[#This Row],[Mileage]]/1000</f>
        <v>115.871</v>
      </c>
      <c r="J867" s="5">
        <v>115871</v>
      </c>
      <c r="K867" s="1" t="s">
        <v>25</v>
      </c>
      <c r="L867" s="5">
        <f>car_price_prediction_[[#This Row],[Price]]/100</f>
        <v>82953.33</v>
      </c>
      <c r="M867">
        <v>8295333</v>
      </c>
      <c r="N867" s="1" t="s">
        <v>32</v>
      </c>
      <c r="O867" s="1">
        <f>IF(IFERROR(VLOOKUP(car_price_prediction_[[#This Row],[Car ID]],A868:A3367,1,FALSE),0),1,0)</f>
        <v>0</v>
      </c>
    </row>
    <row r="868" spans="1:15" x14ac:dyDescent="0.25">
      <c r="A868">
        <v>867</v>
      </c>
      <c r="B868" s="1" t="s">
        <v>36</v>
      </c>
      <c r="C868" s="1">
        <f>car_price_prediction_[[#This Row],[Year2]]</f>
        <v>2002</v>
      </c>
      <c r="D868">
        <v>2002</v>
      </c>
      <c r="E868">
        <f>car_price_prediction_[[#This Row],[Engine Size]]/10</f>
        <v>2.5</v>
      </c>
      <c r="F868">
        <v>25</v>
      </c>
      <c r="G868" s="1" t="s">
        <v>16</v>
      </c>
      <c r="H868" s="1" t="s">
        <v>12</v>
      </c>
      <c r="I868" s="12">
        <f>car_price_prediction_[[#This Row],[Mileage]]/1000</f>
        <v>20.719000000000001</v>
      </c>
      <c r="J868" s="5">
        <v>20719</v>
      </c>
      <c r="K868" s="1" t="s">
        <v>25</v>
      </c>
      <c r="L868" s="5">
        <f>car_price_prediction_[[#This Row],[Price]]/100</f>
        <v>37577.370000000003</v>
      </c>
      <c r="M868">
        <v>3757737</v>
      </c>
      <c r="N868" s="1" t="s">
        <v>46</v>
      </c>
      <c r="O868" s="1">
        <f>IF(IFERROR(VLOOKUP(car_price_prediction_[[#This Row],[Car ID]],A869:A3368,1,FALSE),0),1,0)</f>
        <v>0</v>
      </c>
    </row>
    <row r="869" spans="1:15" x14ac:dyDescent="0.25">
      <c r="A869">
        <v>868</v>
      </c>
      <c r="B869" s="1" t="s">
        <v>10</v>
      </c>
      <c r="C869" s="1">
        <f>car_price_prediction_[[#This Row],[Year2]]</f>
        <v>2000</v>
      </c>
      <c r="D869">
        <v>2000</v>
      </c>
      <c r="E869">
        <f>car_price_prediction_[[#This Row],[Engine Size]]/10</f>
        <v>3.7</v>
      </c>
      <c r="F869">
        <v>37</v>
      </c>
      <c r="G869" s="1" t="s">
        <v>11</v>
      </c>
      <c r="H869" s="1" t="s">
        <v>12</v>
      </c>
      <c r="I869" s="12">
        <f>car_price_prediction_[[#This Row],[Mileage]]/1000</f>
        <v>49.116</v>
      </c>
      <c r="J869" s="5">
        <v>49116</v>
      </c>
      <c r="K869" s="1" t="s">
        <v>25</v>
      </c>
      <c r="L869" s="5">
        <f>car_price_prediction_[[#This Row],[Price]]/100</f>
        <v>23395.18</v>
      </c>
      <c r="M869">
        <v>2339518</v>
      </c>
      <c r="N869" s="1" t="s">
        <v>33</v>
      </c>
      <c r="O869" s="1">
        <f>IF(IFERROR(VLOOKUP(car_price_prediction_[[#This Row],[Car ID]],A870:A3369,1,FALSE),0),1,0)</f>
        <v>0</v>
      </c>
    </row>
    <row r="870" spans="1:15" x14ac:dyDescent="0.25">
      <c r="A870">
        <v>869</v>
      </c>
      <c r="B870" s="1" t="s">
        <v>43</v>
      </c>
      <c r="C870" s="1">
        <f>car_price_prediction_[[#This Row],[Year2]]</f>
        <v>2023</v>
      </c>
      <c r="D870">
        <v>2023</v>
      </c>
      <c r="E870">
        <f>car_price_prediction_[[#This Row],[Engine Size]]/10</f>
        <v>3.1</v>
      </c>
      <c r="F870">
        <v>31</v>
      </c>
      <c r="G870" s="1" t="s">
        <v>11</v>
      </c>
      <c r="H870" s="1" t="s">
        <v>22</v>
      </c>
      <c r="I870" s="12">
        <f>car_price_prediction_[[#This Row],[Mileage]]/1000</f>
        <v>26.324999999999999</v>
      </c>
      <c r="J870" s="5">
        <v>26325</v>
      </c>
      <c r="K870" s="1" t="s">
        <v>25</v>
      </c>
      <c r="L870" s="5">
        <f>car_price_prediction_[[#This Row],[Price]]/100</f>
        <v>23848.51</v>
      </c>
      <c r="M870">
        <v>2384851</v>
      </c>
      <c r="N870" s="1" t="s">
        <v>52</v>
      </c>
      <c r="O870" s="1">
        <f>IF(IFERROR(VLOOKUP(car_price_prediction_[[#This Row],[Car ID]],A871:A3370,1,FALSE),0),1,0)</f>
        <v>0</v>
      </c>
    </row>
    <row r="871" spans="1:15" x14ac:dyDescent="0.25">
      <c r="A871">
        <v>870</v>
      </c>
      <c r="B871" s="1" t="s">
        <v>43</v>
      </c>
      <c r="C871" s="1">
        <f>car_price_prediction_[[#This Row],[Year2]]</f>
        <v>2003</v>
      </c>
      <c r="D871">
        <v>2003</v>
      </c>
      <c r="E871">
        <f>car_price_prediction_[[#This Row],[Engine Size]]/10</f>
        <v>1.8</v>
      </c>
      <c r="F871">
        <v>18</v>
      </c>
      <c r="G871" s="1" t="s">
        <v>16</v>
      </c>
      <c r="H871" s="1" t="s">
        <v>22</v>
      </c>
      <c r="I871" s="12">
        <f>car_price_prediction_[[#This Row],[Mileage]]/1000</f>
        <v>14.551</v>
      </c>
      <c r="J871" s="5">
        <v>14551</v>
      </c>
      <c r="K871" s="1" t="s">
        <v>13</v>
      </c>
      <c r="L871" s="5">
        <f>car_price_prediction_[[#This Row],[Price]]/100</f>
        <v>74598.880000000005</v>
      </c>
      <c r="M871">
        <v>7459888</v>
      </c>
      <c r="N871" s="1" t="s">
        <v>52</v>
      </c>
      <c r="O871" s="1">
        <f>IF(IFERROR(VLOOKUP(car_price_prediction_[[#This Row],[Car ID]],A872:A3371,1,FALSE),0),1,0)</f>
        <v>0</v>
      </c>
    </row>
    <row r="872" spans="1:15" x14ac:dyDescent="0.25">
      <c r="A872">
        <v>871</v>
      </c>
      <c r="B872" s="1" t="s">
        <v>43</v>
      </c>
      <c r="C872" s="1">
        <f>car_price_prediction_[[#This Row],[Year2]]</f>
        <v>2005</v>
      </c>
      <c r="D872">
        <v>2005</v>
      </c>
      <c r="E872">
        <f>car_price_prediction_[[#This Row],[Engine Size]]/10</f>
        <v>1.9</v>
      </c>
      <c r="F872">
        <v>19</v>
      </c>
      <c r="G872" s="1" t="s">
        <v>29</v>
      </c>
      <c r="H872" s="1" t="s">
        <v>22</v>
      </c>
      <c r="I872" s="12">
        <f>car_price_prediction_[[#This Row],[Mileage]]/1000</f>
        <v>286.42200000000003</v>
      </c>
      <c r="J872" s="5">
        <v>286422</v>
      </c>
      <c r="K872" s="1" t="s">
        <v>13</v>
      </c>
      <c r="L872" s="5">
        <f>car_price_prediction_[[#This Row],[Price]]/100</f>
        <v>63340.94</v>
      </c>
      <c r="M872">
        <v>6334094</v>
      </c>
      <c r="N872" s="1" t="s">
        <v>50</v>
      </c>
      <c r="O872" s="1">
        <f>IF(IFERROR(VLOOKUP(car_price_prediction_[[#This Row],[Car ID]],A873:A3372,1,FALSE),0),1,0)</f>
        <v>0</v>
      </c>
    </row>
    <row r="873" spans="1:15" x14ac:dyDescent="0.25">
      <c r="A873">
        <v>872</v>
      </c>
      <c r="B873" s="1" t="s">
        <v>19</v>
      </c>
      <c r="C873" s="1">
        <f>car_price_prediction_[[#This Row],[Year2]]</f>
        <v>2008</v>
      </c>
      <c r="D873">
        <v>2008</v>
      </c>
      <c r="E873">
        <f>car_price_prediction_[[#This Row],[Engine Size]]/10</f>
        <v>3.1</v>
      </c>
      <c r="F873">
        <v>31</v>
      </c>
      <c r="G873" s="1" t="s">
        <v>29</v>
      </c>
      <c r="H873" s="1" t="s">
        <v>12</v>
      </c>
      <c r="I873" s="12">
        <f>car_price_prediction_[[#This Row],[Mileage]]/1000</f>
        <v>15.141</v>
      </c>
      <c r="J873" s="5">
        <v>15141</v>
      </c>
      <c r="K873" s="1" t="s">
        <v>17</v>
      </c>
      <c r="L873" s="5">
        <f>car_price_prediction_[[#This Row],[Price]]/100</f>
        <v>24602.19</v>
      </c>
      <c r="M873">
        <v>2460219</v>
      </c>
      <c r="N873" s="1" t="s">
        <v>27</v>
      </c>
      <c r="O873" s="1">
        <f>IF(IFERROR(VLOOKUP(car_price_prediction_[[#This Row],[Car ID]],A874:A3373,1,FALSE),0),1,0)</f>
        <v>0</v>
      </c>
    </row>
    <row r="874" spans="1:15" x14ac:dyDescent="0.25">
      <c r="A874">
        <v>873</v>
      </c>
      <c r="B874" s="1" t="s">
        <v>15</v>
      </c>
      <c r="C874" s="1">
        <f>car_price_prediction_[[#This Row],[Year2]]</f>
        <v>2021</v>
      </c>
      <c r="D874">
        <v>2021</v>
      </c>
      <c r="E874">
        <f>car_price_prediction_[[#This Row],[Engine Size]]/10</f>
        <v>4.8</v>
      </c>
      <c r="F874">
        <v>48</v>
      </c>
      <c r="G874" s="1" t="s">
        <v>11</v>
      </c>
      <c r="H874" s="1" t="s">
        <v>22</v>
      </c>
      <c r="I874" s="12">
        <f>car_price_prediction_[[#This Row],[Mileage]]/1000</f>
        <v>295.75900000000001</v>
      </c>
      <c r="J874" s="5">
        <v>295759</v>
      </c>
      <c r="K874" s="1" t="s">
        <v>17</v>
      </c>
      <c r="L874" s="5">
        <f>car_price_prediction_[[#This Row],[Price]]/100</f>
        <v>18781.21</v>
      </c>
      <c r="M874">
        <v>1878121</v>
      </c>
      <c r="N874" s="1" t="s">
        <v>35</v>
      </c>
      <c r="O874" s="1">
        <f>IF(IFERROR(VLOOKUP(car_price_prediction_[[#This Row],[Car ID]],A875:A3374,1,FALSE),0),1,0)</f>
        <v>0</v>
      </c>
    </row>
    <row r="875" spans="1:15" x14ac:dyDescent="0.25">
      <c r="A875">
        <v>874</v>
      </c>
      <c r="B875" s="1" t="s">
        <v>19</v>
      </c>
      <c r="C875" s="1">
        <f>car_price_prediction_[[#This Row],[Year2]]</f>
        <v>2013</v>
      </c>
      <c r="D875">
        <v>2013</v>
      </c>
      <c r="E875">
        <f>car_price_prediction_[[#This Row],[Engine Size]]/10</f>
        <v>5.5</v>
      </c>
      <c r="F875">
        <v>55</v>
      </c>
      <c r="G875" s="1" t="s">
        <v>11</v>
      </c>
      <c r="H875" s="1" t="s">
        <v>12</v>
      </c>
      <c r="I875" s="12">
        <f>car_price_prediction_[[#This Row],[Mileage]]/1000</f>
        <v>122.05800000000001</v>
      </c>
      <c r="J875" s="5">
        <v>122058</v>
      </c>
      <c r="K875" s="1" t="s">
        <v>17</v>
      </c>
      <c r="L875" s="5">
        <f>car_price_prediction_[[#This Row],[Price]]/100</f>
        <v>16465.29</v>
      </c>
      <c r="M875">
        <v>1646529</v>
      </c>
      <c r="N875" s="1" t="s">
        <v>20</v>
      </c>
      <c r="O875" s="1">
        <f>IF(IFERROR(VLOOKUP(car_price_prediction_[[#This Row],[Car ID]],A876:A3375,1,FALSE),0),1,0)</f>
        <v>0</v>
      </c>
    </row>
    <row r="876" spans="1:15" x14ac:dyDescent="0.25">
      <c r="A876">
        <v>875</v>
      </c>
      <c r="B876" s="1" t="s">
        <v>15</v>
      </c>
      <c r="C876" s="1">
        <f>car_price_prediction_[[#This Row],[Year2]]</f>
        <v>2011</v>
      </c>
      <c r="D876">
        <v>2011</v>
      </c>
      <c r="E876">
        <f>car_price_prediction_[[#This Row],[Engine Size]]/10</f>
        <v>1.4</v>
      </c>
      <c r="F876">
        <v>14</v>
      </c>
      <c r="G876" s="1" t="s">
        <v>16</v>
      </c>
      <c r="H876" s="1" t="s">
        <v>22</v>
      </c>
      <c r="I876" s="12">
        <f>car_price_prediction_[[#This Row],[Mileage]]/1000</f>
        <v>193.82300000000001</v>
      </c>
      <c r="J876" s="5">
        <v>193823</v>
      </c>
      <c r="K876" s="1" t="s">
        <v>25</v>
      </c>
      <c r="L876" s="5">
        <f>car_price_prediction_[[#This Row],[Price]]/100</f>
        <v>64640.87</v>
      </c>
      <c r="M876">
        <v>6464087</v>
      </c>
      <c r="N876" s="1" t="s">
        <v>35</v>
      </c>
      <c r="O876" s="1">
        <f>IF(IFERROR(VLOOKUP(car_price_prediction_[[#This Row],[Car ID]],A877:A3376,1,FALSE),0),1,0)</f>
        <v>0</v>
      </c>
    </row>
    <row r="877" spans="1:15" x14ac:dyDescent="0.25">
      <c r="A877">
        <v>876</v>
      </c>
      <c r="B877" s="1" t="s">
        <v>19</v>
      </c>
      <c r="C877" s="1">
        <f>car_price_prediction_[[#This Row],[Year2]]</f>
        <v>2019</v>
      </c>
      <c r="D877">
        <v>2019</v>
      </c>
      <c r="E877">
        <f>car_price_prediction_[[#This Row],[Engine Size]]/10</f>
        <v>3</v>
      </c>
      <c r="F877">
        <v>30</v>
      </c>
      <c r="G877" s="1" t="s">
        <v>16</v>
      </c>
      <c r="H877" s="1" t="s">
        <v>12</v>
      </c>
      <c r="I877" s="12">
        <f>car_price_prediction_[[#This Row],[Mileage]]/1000</f>
        <v>112.684</v>
      </c>
      <c r="J877" s="5">
        <v>112684</v>
      </c>
      <c r="K877" s="1" t="s">
        <v>17</v>
      </c>
      <c r="L877" s="5">
        <f>car_price_prediction_[[#This Row],[Price]]/100</f>
        <v>5011.2700000000004</v>
      </c>
      <c r="M877">
        <v>501127</v>
      </c>
      <c r="N877" s="1" t="s">
        <v>20</v>
      </c>
      <c r="O877" s="1">
        <f>IF(IFERROR(VLOOKUP(car_price_prediction_[[#This Row],[Car ID]],A878:A3377,1,FALSE),0),1,0)</f>
        <v>0</v>
      </c>
    </row>
    <row r="878" spans="1:15" x14ac:dyDescent="0.25">
      <c r="A878">
        <v>877</v>
      </c>
      <c r="B878" s="1" t="s">
        <v>19</v>
      </c>
      <c r="C878" s="1">
        <f>car_price_prediction_[[#This Row],[Year2]]</f>
        <v>2023</v>
      </c>
      <c r="D878">
        <v>2023</v>
      </c>
      <c r="E878">
        <f>car_price_prediction_[[#This Row],[Engine Size]]/10</f>
        <v>1.5</v>
      </c>
      <c r="F878">
        <v>15</v>
      </c>
      <c r="G878" s="1" t="s">
        <v>29</v>
      </c>
      <c r="H878" s="1" t="s">
        <v>22</v>
      </c>
      <c r="I878" s="12">
        <f>car_price_prediction_[[#This Row],[Mileage]]/1000</f>
        <v>289.596</v>
      </c>
      <c r="J878" s="5">
        <v>289596</v>
      </c>
      <c r="K878" s="1" t="s">
        <v>13</v>
      </c>
      <c r="L878" s="5">
        <f>car_price_prediction_[[#This Row],[Price]]/100</f>
        <v>6740.34</v>
      </c>
      <c r="M878">
        <v>674034</v>
      </c>
      <c r="N878" s="1" t="s">
        <v>38</v>
      </c>
      <c r="O878" s="1">
        <f>IF(IFERROR(VLOOKUP(car_price_prediction_[[#This Row],[Car ID]],A879:A3378,1,FALSE),0),1,0)</f>
        <v>0</v>
      </c>
    </row>
    <row r="879" spans="1:15" x14ac:dyDescent="0.25">
      <c r="A879">
        <v>878</v>
      </c>
      <c r="B879" s="1" t="s">
        <v>36</v>
      </c>
      <c r="C879" s="1">
        <f>car_price_prediction_[[#This Row],[Year2]]</f>
        <v>2003</v>
      </c>
      <c r="D879">
        <v>2003</v>
      </c>
      <c r="E879">
        <f>car_price_prediction_[[#This Row],[Engine Size]]/10</f>
        <v>1.1000000000000001</v>
      </c>
      <c r="F879">
        <v>11</v>
      </c>
      <c r="G879" s="1" t="s">
        <v>21</v>
      </c>
      <c r="H879" s="1" t="s">
        <v>22</v>
      </c>
      <c r="I879" s="12">
        <f>car_price_prediction_[[#This Row],[Mileage]]/1000</f>
        <v>50.390999999999998</v>
      </c>
      <c r="J879" s="5">
        <v>50391</v>
      </c>
      <c r="K879" s="1" t="s">
        <v>17</v>
      </c>
      <c r="L879" s="5">
        <f>car_price_prediction_[[#This Row],[Price]]/100</f>
        <v>42007.55</v>
      </c>
      <c r="M879">
        <v>4200755</v>
      </c>
      <c r="N879" s="1" t="s">
        <v>40</v>
      </c>
      <c r="O879" s="1">
        <f>IF(IFERROR(VLOOKUP(car_price_prediction_[[#This Row],[Car ID]],A880:A3379,1,FALSE),0),1,0)</f>
        <v>0</v>
      </c>
    </row>
    <row r="880" spans="1:15" x14ac:dyDescent="0.25">
      <c r="A880">
        <v>879</v>
      </c>
      <c r="B880" s="1" t="s">
        <v>24</v>
      </c>
      <c r="C880" s="1">
        <f>car_price_prediction_[[#This Row],[Year2]]</f>
        <v>2020</v>
      </c>
      <c r="D880">
        <v>2020</v>
      </c>
      <c r="E880">
        <f>car_price_prediction_[[#This Row],[Engine Size]]/10</f>
        <v>4.3</v>
      </c>
      <c r="F880">
        <v>43</v>
      </c>
      <c r="G880" s="1" t="s">
        <v>11</v>
      </c>
      <c r="H880" s="1" t="s">
        <v>12</v>
      </c>
      <c r="I880" s="12">
        <f>car_price_prediction_[[#This Row],[Mileage]]/1000</f>
        <v>120.288</v>
      </c>
      <c r="J880" s="5">
        <v>120288</v>
      </c>
      <c r="K880" s="1" t="s">
        <v>17</v>
      </c>
      <c r="L880" s="5">
        <f>car_price_prediction_[[#This Row],[Price]]/100</f>
        <v>70678.240000000005</v>
      </c>
      <c r="M880">
        <v>7067824</v>
      </c>
      <c r="N880" s="1" t="s">
        <v>32</v>
      </c>
      <c r="O880" s="1">
        <f>IF(IFERROR(VLOOKUP(car_price_prediction_[[#This Row],[Car ID]],A881:A3380,1,FALSE),0),1,0)</f>
        <v>0</v>
      </c>
    </row>
    <row r="881" spans="1:15" x14ac:dyDescent="0.25">
      <c r="A881">
        <v>880</v>
      </c>
      <c r="B881" s="1" t="s">
        <v>19</v>
      </c>
      <c r="C881" s="1">
        <f>car_price_prediction_[[#This Row],[Year2]]</f>
        <v>2023</v>
      </c>
      <c r="D881">
        <v>2023</v>
      </c>
      <c r="E881">
        <f>car_price_prediction_[[#This Row],[Engine Size]]/10</f>
        <v>4</v>
      </c>
      <c r="F881">
        <v>40</v>
      </c>
      <c r="G881" s="1" t="s">
        <v>21</v>
      </c>
      <c r="H881" s="1" t="s">
        <v>22</v>
      </c>
      <c r="I881" s="12">
        <f>car_price_prediction_[[#This Row],[Mileage]]/1000</f>
        <v>206.13200000000001</v>
      </c>
      <c r="J881" s="5">
        <v>206132</v>
      </c>
      <c r="K881" s="1" t="s">
        <v>13</v>
      </c>
      <c r="L881" s="5">
        <f>car_price_prediction_[[#This Row],[Price]]/100</f>
        <v>71028.740000000005</v>
      </c>
      <c r="M881">
        <v>7102874</v>
      </c>
      <c r="N881" s="1" t="s">
        <v>38</v>
      </c>
      <c r="O881" s="1">
        <f>IF(IFERROR(VLOOKUP(car_price_prediction_[[#This Row],[Car ID]],A882:A3381,1,FALSE),0),1,0)</f>
        <v>0</v>
      </c>
    </row>
    <row r="882" spans="1:15" x14ac:dyDescent="0.25">
      <c r="A882">
        <v>881</v>
      </c>
      <c r="B882" s="1" t="s">
        <v>36</v>
      </c>
      <c r="C882" s="1">
        <f>car_price_prediction_[[#This Row],[Year2]]</f>
        <v>2011</v>
      </c>
      <c r="D882">
        <v>2011</v>
      </c>
      <c r="E882">
        <f>car_price_prediction_[[#This Row],[Engine Size]]/10</f>
        <v>1.8</v>
      </c>
      <c r="F882">
        <v>18</v>
      </c>
      <c r="G882" s="1" t="s">
        <v>21</v>
      </c>
      <c r="H882" s="1" t="s">
        <v>22</v>
      </c>
      <c r="I882" s="12">
        <f>car_price_prediction_[[#This Row],[Mileage]]/1000</f>
        <v>113.535</v>
      </c>
      <c r="J882" s="5">
        <v>113535</v>
      </c>
      <c r="K882" s="1" t="s">
        <v>13</v>
      </c>
      <c r="L882" s="5">
        <f>car_price_prediction_[[#This Row],[Price]]/100</f>
        <v>45861.24</v>
      </c>
      <c r="M882">
        <v>4586124</v>
      </c>
      <c r="N882" s="1" t="s">
        <v>46</v>
      </c>
      <c r="O882" s="1">
        <f>IF(IFERROR(VLOOKUP(car_price_prediction_[[#This Row],[Car ID]],A883:A3382,1,FALSE),0),1,0)</f>
        <v>0</v>
      </c>
    </row>
    <row r="883" spans="1:15" x14ac:dyDescent="0.25">
      <c r="A883">
        <v>882</v>
      </c>
      <c r="B883" s="1" t="s">
        <v>30</v>
      </c>
      <c r="C883" s="1">
        <f>car_price_prediction_[[#This Row],[Year2]]</f>
        <v>2009</v>
      </c>
      <c r="D883">
        <v>2009</v>
      </c>
      <c r="E883">
        <f>car_price_prediction_[[#This Row],[Engine Size]]/10</f>
        <v>2.2000000000000002</v>
      </c>
      <c r="F883">
        <v>22</v>
      </c>
      <c r="G883" s="1" t="s">
        <v>16</v>
      </c>
      <c r="H883" s="1" t="s">
        <v>12</v>
      </c>
      <c r="I883" s="12">
        <f>car_price_prediction_[[#This Row],[Mileage]]/1000</f>
        <v>142.77000000000001</v>
      </c>
      <c r="J883" s="5">
        <v>142770</v>
      </c>
      <c r="K883" s="1" t="s">
        <v>25</v>
      </c>
      <c r="L883" s="5">
        <f>car_price_prediction_[[#This Row],[Price]]/100</f>
        <v>70651.990000000005</v>
      </c>
      <c r="M883">
        <v>7065199</v>
      </c>
      <c r="N883" s="1" t="s">
        <v>42</v>
      </c>
      <c r="O883" s="1">
        <f>IF(IFERROR(VLOOKUP(car_price_prediction_[[#This Row],[Car ID]],A884:A3383,1,FALSE),0),1,0)</f>
        <v>0</v>
      </c>
    </row>
    <row r="884" spans="1:15" x14ac:dyDescent="0.25">
      <c r="A884">
        <v>883</v>
      </c>
      <c r="B884" s="1" t="s">
        <v>24</v>
      </c>
      <c r="C884" s="1">
        <f>car_price_prediction_[[#This Row],[Year2]]</f>
        <v>2021</v>
      </c>
      <c r="D884">
        <v>2021</v>
      </c>
      <c r="E884">
        <f>car_price_prediction_[[#This Row],[Engine Size]]/10</f>
        <v>1.1000000000000001</v>
      </c>
      <c r="F884">
        <v>11</v>
      </c>
      <c r="G884" s="1" t="s">
        <v>11</v>
      </c>
      <c r="H884" s="1" t="s">
        <v>12</v>
      </c>
      <c r="I884" s="12">
        <f>car_price_prediction_[[#This Row],[Mileage]]/1000</f>
        <v>239.947</v>
      </c>
      <c r="J884" s="5">
        <v>239947</v>
      </c>
      <c r="K884" s="1" t="s">
        <v>13</v>
      </c>
      <c r="L884" s="5">
        <f>car_price_prediction_[[#This Row],[Price]]/100</f>
        <v>54504.14</v>
      </c>
      <c r="M884">
        <v>5450414</v>
      </c>
      <c r="N884" s="1" t="s">
        <v>26</v>
      </c>
      <c r="O884" s="1">
        <f>IF(IFERROR(VLOOKUP(car_price_prediction_[[#This Row],[Car ID]],A885:A3384,1,FALSE),0),1,0)</f>
        <v>0</v>
      </c>
    </row>
    <row r="885" spans="1:15" x14ac:dyDescent="0.25">
      <c r="A885">
        <v>884</v>
      </c>
      <c r="B885" s="1" t="s">
        <v>19</v>
      </c>
      <c r="C885" s="1">
        <f>car_price_prediction_[[#This Row],[Year2]]</f>
        <v>2006</v>
      </c>
      <c r="D885">
        <v>2006</v>
      </c>
      <c r="E885">
        <f>car_price_prediction_[[#This Row],[Engine Size]]/10</f>
        <v>5.2</v>
      </c>
      <c r="F885">
        <v>52</v>
      </c>
      <c r="G885" s="1" t="s">
        <v>11</v>
      </c>
      <c r="H885" s="1" t="s">
        <v>12</v>
      </c>
      <c r="I885" s="12">
        <f>car_price_prediction_[[#This Row],[Mileage]]/1000</f>
        <v>86.710999999999999</v>
      </c>
      <c r="J885" s="5">
        <v>86711</v>
      </c>
      <c r="K885" s="1" t="s">
        <v>13</v>
      </c>
      <c r="L885" s="5">
        <f>car_price_prediction_[[#This Row],[Price]]/100</f>
        <v>97808.48</v>
      </c>
      <c r="M885">
        <v>9780848</v>
      </c>
      <c r="N885" s="1" t="s">
        <v>28</v>
      </c>
      <c r="O885" s="1">
        <f>IF(IFERROR(VLOOKUP(car_price_prediction_[[#This Row],[Car ID]],A886:A3385,1,FALSE),0),1,0)</f>
        <v>0</v>
      </c>
    </row>
    <row r="886" spans="1:15" x14ac:dyDescent="0.25">
      <c r="A886">
        <v>885</v>
      </c>
      <c r="B886" s="1" t="s">
        <v>10</v>
      </c>
      <c r="C886" s="1">
        <f>car_price_prediction_[[#This Row],[Year2]]</f>
        <v>2002</v>
      </c>
      <c r="D886">
        <v>2002</v>
      </c>
      <c r="E886">
        <f>car_price_prediction_[[#This Row],[Engine Size]]/10</f>
        <v>5.9</v>
      </c>
      <c r="F886">
        <v>59</v>
      </c>
      <c r="G886" s="1" t="s">
        <v>16</v>
      </c>
      <c r="H886" s="1" t="s">
        <v>12</v>
      </c>
      <c r="I886" s="12">
        <f>car_price_prediction_[[#This Row],[Mileage]]/1000</f>
        <v>264.50900000000001</v>
      </c>
      <c r="J886" s="5">
        <v>264509</v>
      </c>
      <c r="K886" s="1" t="s">
        <v>17</v>
      </c>
      <c r="L886" s="5">
        <f>car_price_prediction_[[#This Row],[Price]]/100</f>
        <v>20433.72</v>
      </c>
      <c r="M886">
        <v>2043372</v>
      </c>
      <c r="N886" s="1" t="s">
        <v>23</v>
      </c>
      <c r="O886" s="1">
        <f>IF(IFERROR(VLOOKUP(car_price_prediction_[[#This Row],[Car ID]],A887:A3386,1,FALSE),0),1,0)</f>
        <v>0</v>
      </c>
    </row>
    <row r="887" spans="1:15" x14ac:dyDescent="0.25">
      <c r="A887">
        <v>886</v>
      </c>
      <c r="B887" s="1" t="s">
        <v>43</v>
      </c>
      <c r="C887" s="1">
        <f>car_price_prediction_[[#This Row],[Year2]]</f>
        <v>2022</v>
      </c>
      <c r="D887">
        <v>2022</v>
      </c>
      <c r="E887">
        <f>car_price_prediction_[[#This Row],[Engine Size]]/10</f>
        <v>1.7</v>
      </c>
      <c r="F887">
        <v>17</v>
      </c>
      <c r="G887" s="1" t="s">
        <v>21</v>
      </c>
      <c r="H887" s="1" t="s">
        <v>12</v>
      </c>
      <c r="I887" s="12">
        <f>car_price_prediction_[[#This Row],[Mileage]]/1000</f>
        <v>228.625</v>
      </c>
      <c r="J887" s="5">
        <v>228625</v>
      </c>
      <c r="K887" s="1" t="s">
        <v>13</v>
      </c>
      <c r="L887" s="5">
        <f>car_price_prediction_[[#This Row],[Price]]/100</f>
        <v>62063.39</v>
      </c>
      <c r="M887">
        <v>6206339</v>
      </c>
      <c r="N887" s="1" t="s">
        <v>50</v>
      </c>
      <c r="O887" s="1">
        <f>IF(IFERROR(VLOOKUP(car_price_prediction_[[#This Row],[Car ID]],A888:A3387,1,FALSE),0),1,0)</f>
        <v>0</v>
      </c>
    </row>
    <row r="888" spans="1:15" x14ac:dyDescent="0.25">
      <c r="A888">
        <v>887</v>
      </c>
      <c r="B888" s="1" t="s">
        <v>30</v>
      </c>
      <c r="C888" s="1">
        <f>car_price_prediction_[[#This Row],[Year2]]</f>
        <v>2013</v>
      </c>
      <c r="D888">
        <v>2013</v>
      </c>
      <c r="E888">
        <f>car_price_prediction_[[#This Row],[Engine Size]]/10</f>
        <v>2.2000000000000002</v>
      </c>
      <c r="F888">
        <v>22</v>
      </c>
      <c r="G888" s="1" t="s">
        <v>16</v>
      </c>
      <c r="H888" s="1" t="s">
        <v>22</v>
      </c>
      <c r="I888" s="12">
        <f>car_price_prediction_[[#This Row],[Mileage]]/1000</f>
        <v>43.372</v>
      </c>
      <c r="J888" s="5">
        <v>43372</v>
      </c>
      <c r="K888" s="1" t="s">
        <v>25</v>
      </c>
      <c r="L888" s="5">
        <f>car_price_prediction_[[#This Row],[Price]]/100</f>
        <v>51667.68</v>
      </c>
      <c r="M888">
        <v>5166768</v>
      </c>
      <c r="N888" s="1" t="s">
        <v>31</v>
      </c>
      <c r="O888" s="1">
        <f>IF(IFERROR(VLOOKUP(car_price_prediction_[[#This Row],[Car ID]],A889:A3388,1,FALSE),0),1,0)</f>
        <v>0</v>
      </c>
    </row>
    <row r="889" spans="1:15" x14ac:dyDescent="0.25">
      <c r="A889">
        <v>888</v>
      </c>
      <c r="B889" s="1" t="s">
        <v>30</v>
      </c>
      <c r="C889" s="1">
        <f>car_price_prediction_[[#This Row],[Year2]]</f>
        <v>2023</v>
      </c>
      <c r="D889">
        <v>2023</v>
      </c>
      <c r="E889">
        <f>car_price_prediction_[[#This Row],[Engine Size]]/10</f>
        <v>5.3</v>
      </c>
      <c r="F889">
        <v>53</v>
      </c>
      <c r="G889" s="1" t="s">
        <v>29</v>
      </c>
      <c r="H889" s="1" t="s">
        <v>12</v>
      </c>
      <c r="I889" s="12">
        <f>car_price_prediction_[[#This Row],[Mileage]]/1000</f>
        <v>44.134</v>
      </c>
      <c r="J889" s="5">
        <v>44134</v>
      </c>
      <c r="K889" s="1" t="s">
        <v>17</v>
      </c>
      <c r="L889" s="5">
        <f>car_price_prediction_[[#This Row],[Price]]/100</f>
        <v>2347.4299999999998</v>
      </c>
      <c r="M889">
        <v>234743</v>
      </c>
      <c r="N889" s="1" t="s">
        <v>42</v>
      </c>
      <c r="O889" s="1">
        <f>IF(IFERROR(VLOOKUP(car_price_prediction_[[#This Row],[Car ID]],A890:A3389,1,FALSE),0),1,0)</f>
        <v>0</v>
      </c>
    </row>
    <row r="890" spans="1:15" x14ac:dyDescent="0.25">
      <c r="A890">
        <v>889</v>
      </c>
      <c r="B890" s="1" t="s">
        <v>36</v>
      </c>
      <c r="C890" s="1">
        <f>car_price_prediction_[[#This Row],[Year2]]</f>
        <v>2009</v>
      </c>
      <c r="D890">
        <v>2009</v>
      </c>
      <c r="E890">
        <f>car_price_prediction_[[#This Row],[Engine Size]]/10</f>
        <v>5.6</v>
      </c>
      <c r="F890">
        <v>56</v>
      </c>
      <c r="G890" s="1" t="s">
        <v>11</v>
      </c>
      <c r="H890" s="1" t="s">
        <v>22</v>
      </c>
      <c r="I890" s="12">
        <f>car_price_prediction_[[#This Row],[Mileage]]/1000</f>
        <v>299.96699999999998</v>
      </c>
      <c r="J890" s="5">
        <v>299967</v>
      </c>
      <c r="K890" s="1" t="s">
        <v>25</v>
      </c>
      <c r="L890" s="5">
        <f>car_price_prediction_[[#This Row],[Price]]/100</f>
        <v>76249.09</v>
      </c>
      <c r="M890">
        <v>7624909</v>
      </c>
      <c r="N890" s="1" t="s">
        <v>37</v>
      </c>
      <c r="O890" s="1">
        <f>IF(IFERROR(VLOOKUP(car_price_prediction_[[#This Row],[Car ID]],A891:A3390,1,FALSE),0),1,0)</f>
        <v>0</v>
      </c>
    </row>
    <row r="891" spans="1:15" x14ac:dyDescent="0.25">
      <c r="A891">
        <v>890</v>
      </c>
      <c r="B891" s="1" t="s">
        <v>30</v>
      </c>
      <c r="C891" s="1">
        <f>car_price_prediction_[[#This Row],[Year2]]</f>
        <v>2015</v>
      </c>
      <c r="D891">
        <v>2015</v>
      </c>
      <c r="E891">
        <f>car_price_prediction_[[#This Row],[Engine Size]]/10</f>
        <v>3.1</v>
      </c>
      <c r="F891">
        <v>31</v>
      </c>
      <c r="G891" s="1" t="s">
        <v>29</v>
      </c>
      <c r="H891" s="1" t="s">
        <v>22</v>
      </c>
      <c r="I891" s="12">
        <f>car_price_prediction_[[#This Row],[Mileage]]/1000</f>
        <v>71.158000000000001</v>
      </c>
      <c r="J891" s="5">
        <v>71158</v>
      </c>
      <c r="K891" s="1" t="s">
        <v>13</v>
      </c>
      <c r="L891" s="5">
        <f>car_price_prediction_[[#This Row],[Price]]/100</f>
        <v>31173.26</v>
      </c>
      <c r="M891">
        <v>3117326</v>
      </c>
      <c r="N891" s="1" t="s">
        <v>45</v>
      </c>
      <c r="O891" s="1">
        <f>IF(IFERROR(VLOOKUP(car_price_prediction_[[#This Row],[Car ID]],A892:A3391,1,FALSE),0),1,0)</f>
        <v>0</v>
      </c>
    </row>
    <row r="892" spans="1:15" x14ac:dyDescent="0.25">
      <c r="A892">
        <v>891</v>
      </c>
      <c r="B892" s="1" t="s">
        <v>24</v>
      </c>
      <c r="C892" s="1">
        <f>car_price_prediction_[[#This Row],[Year2]]</f>
        <v>2015</v>
      </c>
      <c r="D892">
        <v>2015</v>
      </c>
      <c r="E892">
        <f>car_price_prediction_[[#This Row],[Engine Size]]/10</f>
        <v>1.3</v>
      </c>
      <c r="F892">
        <v>13</v>
      </c>
      <c r="G892" s="1" t="s">
        <v>16</v>
      </c>
      <c r="H892" s="1" t="s">
        <v>12</v>
      </c>
      <c r="I892" s="12">
        <f>car_price_prediction_[[#This Row],[Mileage]]/1000</f>
        <v>237.15899999999999</v>
      </c>
      <c r="J892" s="5">
        <v>237159</v>
      </c>
      <c r="K892" s="1" t="s">
        <v>25</v>
      </c>
      <c r="L892" s="5">
        <f>car_price_prediction_[[#This Row],[Price]]/100</f>
        <v>41262.43</v>
      </c>
      <c r="M892">
        <v>4126243</v>
      </c>
      <c r="N892" s="1" t="s">
        <v>34</v>
      </c>
      <c r="O892" s="1">
        <f>IF(IFERROR(VLOOKUP(car_price_prediction_[[#This Row],[Car ID]],A893:A3392,1,FALSE),0),1,0)</f>
        <v>0</v>
      </c>
    </row>
    <row r="893" spans="1:15" x14ac:dyDescent="0.25">
      <c r="A893">
        <v>892</v>
      </c>
      <c r="B893" s="1" t="s">
        <v>19</v>
      </c>
      <c r="C893" s="1">
        <f>car_price_prediction_[[#This Row],[Year2]]</f>
        <v>2021</v>
      </c>
      <c r="D893">
        <v>2021</v>
      </c>
      <c r="E893">
        <f>car_price_prediction_[[#This Row],[Engine Size]]/10</f>
        <v>1.2</v>
      </c>
      <c r="F893">
        <v>12</v>
      </c>
      <c r="G893" s="1" t="s">
        <v>11</v>
      </c>
      <c r="H893" s="1" t="s">
        <v>22</v>
      </c>
      <c r="I893" s="12">
        <f>car_price_prediction_[[#This Row],[Mileage]]/1000</f>
        <v>133.02099999999999</v>
      </c>
      <c r="J893" s="5">
        <v>133021</v>
      </c>
      <c r="K893" s="1" t="s">
        <v>25</v>
      </c>
      <c r="L893" s="5">
        <f>car_price_prediction_[[#This Row],[Price]]/100</f>
        <v>4060.89</v>
      </c>
      <c r="M893">
        <v>406089</v>
      </c>
      <c r="N893" s="1" t="s">
        <v>38</v>
      </c>
      <c r="O893" s="1">
        <f>IF(IFERROR(VLOOKUP(car_price_prediction_[[#This Row],[Car ID]],A894:A3393,1,FALSE),0),1,0)</f>
        <v>0</v>
      </c>
    </row>
    <row r="894" spans="1:15" x14ac:dyDescent="0.25">
      <c r="A894">
        <v>893</v>
      </c>
      <c r="B894" s="1" t="s">
        <v>19</v>
      </c>
      <c r="C894" s="1">
        <f>car_price_prediction_[[#This Row],[Year2]]</f>
        <v>2009</v>
      </c>
      <c r="D894">
        <v>2009</v>
      </c>
      <c r="E894">
        <f>car_price_prediction_[[#This Row],[Engine Size]]/10</f>
        <v>3.9</v>
      </c>
      <c r="F894">
        <v>39</v>
      </c>
      <c r="G894" s="1" t="s">
        <v>29</v>
      </c>
      <c r="H894" s="1" t="s">
        <v>22</v>
      </c>
      <c r="I894" s="12">
        <f>car_price_prediction_[[#This Row],[Mileage]]/1000</f>
        <v>49.396000000000001</v>
      </c>
      <c r="J894" s="5">
        <v>49396</v>
      </c>
      <c r="K894" s="1" t="s">
        <v>13</v>
      </c>
      <c r="L894" s="5">
        <f>car_price_prediction_[[#This Row],[Price]]/100</f>
        <v>28199.42</v>
      </c>
      <c r="M894">
        <v>2819942</v>
      </c>
      <c r="N894" s="1" t="s">
        <v>27</v>
      </c>
      <c r="O894" s="1">
        <f>IF(IFERROR(VLOOKUP(car_price_prediction_[[#This Row],[Car ID]],A895:A3394,1,FALSE),0),1,0)</f>
        <v>0</v>
      </c>
    </row>
    <row r="895" spans="1:15" x14ac:dyDescent="0.25">
      <c r="A895">
        <v>894</v>
      </c>
      <c r="B895" s="1" t="s">
        <v>10</v>
      </c>
      <c r="C895" s="1">
        <f>car_price_prediction_[[#This Row],[Year2]]</f>
        <v>2012</v>
      </c>
      <c r="D895">
        <v>2012</v>
      </c>
      <c r="E895">
        <f>car_price_prediction_[[#This Row],[Engine Size]]/10</f>
        <v>3</v>
      </c>
      <c r="F895">
        <v>30</v>
      </c>
      <c r="G895" s="1" t="s">
        <v>29</v>
      </c>
      <c r="H895" s="1" t="s">
        <v>12</v>
      </c>
      <c r="I895" s="12">
        <f>car_price_prediction_[[#This Row],[Mileage]]/1000</f>
        <v>31.911999999999999</v>
      </c>
      <c r="J895" s="5">
        <v>31912</v>
      </c>
      <c r="K895" s="1" t="s">
        <v>13</v>
      </c>
      <c r="L895" s="5">
        <f>car_price_prediction_[[#This Row],[Price]]/100</f>
        <v>45917.01</v>
      </c>
      <c r="M895">
        <v>4591701</v>
      </c>
      <c r="N895" s="1" t="s">
        <v>49</v>
      </c>
      <c r="O895" s="1">
        <f>IF(IFERROR(VLOOKUP(car_price_prediction_[[#This Row],[Car ID]],A896:A3395,1,FALSE),0),1,0)</f>
        <v>0</v>
      </c>
    </row>
    <row r="896" spans="1:15" x14ac:dyDescent="0.25">
      <c r="A896">
        <v>895</v>
      </c>
      <c r="B896" s="1" t="s">
        <v>43</v>
      </c>
      <c r="C896" s="1">
        <f>car_price_prediction_[[#This Row],[Year2]]</f>
        <v>2005</v>
      </c>
      <c r="D896">
        <v>2005</v>
      </c>
      <c r="E896">
        <f>car_price_prediction_[[#This Row],[Engine Size]]/10</f>
        <v>1.1000000000000001</v>
      </c>
      <c r="F896">
        <v>11</v>
      </c>
      <c r="G896" s="1" t="s">
        <v>21</v>
      </c>
      <c r="H896" s="1" t="s">
        <v>22</v>
      </c>
      <c r="I896" s="12">
        <f>car_price_prediction_[[#This Row],[Mileage]]/1000</f>
        <v>56.947000000000003</v>
      </c>
      <c r="J896" s="5">
        <v>56947</v>
      </c>
      <c r="K896" s="1" t="s">
        <v>17</v>
      </c>
      <c r="L896" s="5">
        <f>car_price_prediction_[[#This Row],[Price]]/100</f>
        <v>49967.86</v>
      </c>
      <c r="M896">
        <v>4996786</v>
      </c>
      <c r="N896" s="1" t="s">
        <v>50</v>
      </c>
      <c r="O896" s="1">
        <f>IF(IFERROR(VLOOKUP(car_price_prediction_[[#This Row],[Car ID]],A897:A3396,1,FALSE),0),1,0)</f>
        <v>0</v>
      </c>
    </row>
    <row r="897" spans="1:15" x14ac:dyDescent="0.25">
      <c r="A897">
        <v>896</v>
      </c>
      <c r="B897" s="1" t="s">
        <v>36</v>
      </c>
      <c r="C897" s="1">
        <f>car_price_prediction_[[#This Row],[Year2]]</f>
        <v>2011</v>
      </c>
      <c r="D897">
        <v>2011</v>
      </c>
      <c r="E897">
        <f>car_price_prediction_[[#This Row],[Engine Size]]/10</f>
        <v>3.9</v>
      </c>
      <c r="F897">
        <v>39</v>
      </c>
      <c r="G897" s="1" t="s">
        <v>11</v>
      </c>
      <c r="H897" s="1" t="s">
        <v>12</v>
      </c>
      <c r="I897" s="12">
        <f>car_price_prediction_[[#This Row],[Mileage]]/1000</f>
        <v>44.387</v>
      </c>
      <c r="J897" s="5">
        <v>44387</v>
      </c>
      <c r="K897" s="1" t="s">
        <v>17</v>
      </c>
      <c r="L897" s="5">
        <f>car_price_prediction_[[#This Row],[Price]]/100</f>
        <v>75701.06</v>
      </c>
      <c r="M897">
        <v>7570106</v>
      </c>
      <c r="N897" s="1" t="s">
        <v>41</v>
      </c>
      <c r="O897" s="1">
        <f>IF(IFERROR(VLOOKUP(car_price_prediction_[[#This Row],[Car ID]],A898:A3397,1,FALSE),0),1,0)</f>
        <v>0</v>
      </c>
    </row>
    <row r="898" spans="1:15" x14ac:dyDescent="0.25">
      <c r="A898">
        <v>897</v>
      </c>
      <c r="B898" s="1" t="s">
        <v>43</v>
      </c>
      <c r="C898" s="1">
        <f>car_price_prediction_[[#This Row],[Year2]]</f>
        <v>2008</v>
      </c>
      <c r="D898">
        <v>2008</v>
      </c>
      <c r="E898">
        <f>car_price_prediction_[[#This Row],[Engine Size]]/10</f>
        <v>1.1000000000000001</v>
      </c>
      <c r="F898">
        <v>11</v>
      </c>
      <c r="G898" s="1" t="s">
        <v>29</v>
      </c>
      <c r="H898" s="1" t="s">
        <v>12</v>
      </c>
      <c r="I898" s="12">
        <f>car_price_prediction_[[#This Row],[Mileage]]/1000</f>
        <v>278.65199999999999</v>
      </c>
      <c r="J898" s="5">
        <v>278652</v>
      </c>
      <c r="K898" s="1" t="s">
        <v>17</v>
      </c>
      <c r="L898" s="5">
        <f>car_price_prediction_[[#This Row],[Price]]/100</f>
        <v>77681.509999999995</v>
      </c>
      <c r="M898">
        <v>7768151</v>
      </c>
      <c r="N898" s="1" t="s">
        <v>44</v>
      </c>
      <c r="O898" s="1">
        <f>IF(IFERROR(VLOOKUP(car_price_prediction_[[#This Row],[Car ID]],A899:A3398,1,FALSE),0),1,0)</f>
        <v>0</v>
      </c>
    </row>
    <row r="899" spans="1:15" x14ac:dyDescent="0.25">
      <c r="A899">
        <v>898</v>
      </c>
      <c r="B899" s="1" t="s">
        <v>30</v>
      </c>
      <c r="C899" s="1">
        <f>car_price_prediction_[[#This Row],[Year2]]</f>
        <v>2012</v>
      </c>
      <c r="D899">
        <v>2012</v>
      </c>
      <c r="E899">
        <f>car_price_prediction_[[#This Row],[Engine Size]]/10</f>
        <v>4.9000000000000004</v>
      </c>
      <c r="F899">
        <v>49</v>
      </c>
      <c r="G899" s="1" t="s">
        <v>29</v>
      </c>
      <c r="H899" s="1" t="s">
        <v>12</v>
      </c>
      <c r="I899" s="12">
        <f>car_price_prediction_[[#This Row],[Mileage]]/1000</f>
        <v>109.249</v>
      </c>
      <c r="J899" s="5">
        <v>109249</v>
      </c>
      <c r="K899" s="1" t="s">
        <v>13</v>
      </c>
      <c r="L899" s="5">
        <f>car_price_prediction_[[#This Row],[Price]]/100</f>
        <v>20062.82</v>
      </c>
      <c r="M899">
        <v>2006282</v>
      </c>
      <c r="N899" s="1" t="s">
        <v>31</v>
      </c>
      <c r="O899" s="1">
        <f>IF(IFERROR(VLOOKUP(car_price_prediction_[[#This Row],[Car ID]],A900:A3399,1,FALSE),0),1,0)</f>
        <v>0</v>
      </c>
    </row>
    <row r="900" spans="1:15" x14ac:dyDescent="0.25">
      <c r="A900">
        <v>899</v>
      </c>
      <c r="B900" s="1" t="s">
        <v>10</v>
      </c>
      <c r="C900" s="1">
        <f>car_price_prediction_[[#This Row],[Year2]]</f>
        <v>2003</v>
      </c>
      <c r="D900">
        <v>2003</v>
      </c>
      <c r="E900">
        <f>car_price_prediction_[[#This Row],[Engine Size]]/10</f>
        <v>2.5</v>
      </c>
      <c r="F900">
        <v>25</v>
      </c>
      <c r="G900" s="1" t="s">
        <v>21</v>
      </c>
      <c r="H900" s="1" t="s">
        <v>22</v>
      </c>
      <c r="I900" s="12">
        <f>car_price_prediction_[[#This Row],[Mileage]]/1000</f>
        <v>1.919</v>
      </c>
      <c r="J900" s="5">
        <v>1919</v>
      </c>
      <c r="K900" s="1" t="s">
        <v>25</v>
      </c>
      <c r="L900" s="5">
        <f>car_price_prediction_[[#This Row],[Price]]/100</f>
        <v>61313.37</v>
      </c>
      <c r="M900">
        <v>6131337</v>
      </c>
      <c r="N900" s="1" t="s">
        <v>33</v>
      </c>
      <c r="O900" s="1">
        <f>IF(IFERROR(VLOOKUP(car_price_prediction_[[#This Row],[Car ID]],A901:A3400,1,FALSE),0),1,0)</f>
        <v>0</v>
      </c>
    </row>
    <row r="901" spans="1:15" x14ac:dyDescent="0.25">
      <c r="A901">
        <v>900</v>
      </c>
      <c r="B901" s="1" t="s">
        <v>43</v>
      </c>
      <c r="C901" s="1">
        <f>car_price_prediction_[[#This Row],[Year2]]</f>
        <v>2023</v>
      </c>
      <c r="D901">
        <v>2023</v>
      </c>
      <c r="E901">
        <f>car_price_prediction_[[#This Row],[Engine Size]]/10</f>
        <v>1.2</v>
      </c>
      <c r="F901">
        <v>12</v>
      </c>
      <c r="G901" s="1" t="s">
        <v>29</v>
      </c>
      <c r="H901" s="1" t="s">
        <v>22</v>
      </c>
      <c r="I901" s="12">
        <f>car_price_prediction_[[#This Row],[Mileage]]/1000</f>
        <v>140.68899999999999</v>
      </c>
      <c r="J901" s="5">
        <v>140689</v>
      </c>
      <c r="K901" s="1" t="s">
        <v>25</v>
      </c>
      <c r="L901" s="5">
        <f>car_price_prediction_[[#This Row],[Price]]/100</f>
        <v>90138.79</v>
      </c>
      <c r="M901">
        <v>9013879</v>
      </c>
      <c r="N901" s="1" t="s">
        <v>47</v>
      </c>
      <c r="O901" s="1">
        <f>IF(IFERROR(VLOOKUP(car_price_prediction_[[#This Row],[Car ID]],A902:A3401,1,FALSE),0),1,0)</f>
        <v>0</v>
      </c>
    </row>
    <row r="902" spans="1:15" x14ac:dyDescent="0.25">
      <c r="A902">
        <v>901</v>
      </c>
      <c r="B902" s="1" t="s">
        <v>24</v>
      </c>
      <c r="C902" s="1">
        <f>car_price_prediction_[[#This Row],[Year2]]</f>
        <v>2010</v>
      </c>
      <c r="D902">
        <v>2010</v>
      </c>
      <c r="E902">
        <f>car_price_prediction_[[#This Row],[Engine Size]]/10</f>
        <v>3.9</v>
      </c>
      <c r="F902">
        <v>39</v>
      </c>
      <c r="G902" s="1" t="s">
        <v>29</v>
      </c>
      <c r="H902" s="1" t="s">
        <v>22</v>
      </c>
      <c r="I902" s="12">
        <f>car_price_prediction_[[#This Row],[Mileage]]/1000</f>
        <v>33.298000000000002</v>
      </c>
      <c r="J902" s="5">
        <v>33298</v>
      </c>
      <c r="K902" s="1" t="s">
        <v>17</v>
      </c>
      <c r="L902" s="5">
        <f>car_price_prediction_[[#This Row],[Price]]/100</f>
        <v>15334.73</v>
      </c>
      <c r="M902">
        <v>1533473</v>
      </c>
      <c r="N902" s="1" t="s">
        <v>26</v>
      </c>
      <c r="O902" s="1">
        <f>IF(IFERROR(VLOOKUP(car_price_prediction_[[#This Row],[Car ID]],A903:A3402,1,FALSE),0),1,0)</f>
        <v>0</v>
      </c>
    </row>
    <row r="903" spans="1:15" x14ac:dyDescent="0.25">
      <c r="A903">
        <v>902</v>
      </c>
      <c r="B903" s="1" t="s">
        <v>19</v>
      </c>
      <c r="C903" s="1">
        <f>car_price_prediction_[[#This Row],[Year2]]</f>
        <v>2019</v>
      </c>
      <c r="D903">
        <v>2019</v>
      </c>
      <c r="E903">
        <f>car_price_prediction_[[#This Row],[Engine Size]]/10</f>
        <v>3</v>
      </c>
      <c r="F903">
        <v>30</v>
      </c>
      <c r="G903" s="1" t="s">
        <v>29</v>
      </c>
      <c r="H903" s="1" t="s">
        <v>22</v>
      </c>
      <c r="I903" s="12">
        <f>car_price_prediction_[[#This Row],[Mileage]]/1000</f>
        <v>237.22499999999999</v>
      </c>
      <c r="J903" s="5">
        <v>237225</v>
      </c>
      <c r="K903" s="1" t="s">
        <v>17</v>
      </c>
      <c r="L903" s="5">
        <f>car_price_prediction_[[#This Row],[Price]]/100</f>
        <v>49926.83</v>
      </c>
      <c r="M903">
        <v>4992683</v>
      </c>
      <c r="N903" s="1" t="s">
        <v>38</v>
      </c>
      <c r="O903" s="1">
        <f>IF(IFERROR(VLOOKUP(car_price_prediction_[[#This Row],[Car ID]],A904:A3403,1,FALSE),0),1,0)</f>
        <v>0</v>
      </c>
    </row>
    <row r="904" spans="1:15" x14ac:dyDescent="0.25">
      <c r="A904">
        <v>903</v>
      </c>
      <c r="B904" s="1" t="s">
        <v>30</v>
      </c>
      <c r="C904" s="1">
        <f>car_price_prediction_[[#This Row],[Year2]]</f>
        <v>2017</v>
      </c>
      <c r="D904">
        <v>2017</v>
      </c>
      <c r="E904">
        <f>car_price_prediction_[[#This Row],[Engine Size]]/10</f>
        <v>5.9</v>
      </c>
      <c r="F904">
        <v>59</v>
      </c>
      <c r="G904" s="1" t="s">
        <v>21</v>
      </c>
      <c r="H904" s="1" t="s">
        <v>12</v>
      </c>
      <c r="I904" s="12">
        <f>car_price_prediction_[[#This Row],[Mileage]]/1000</f>
        <v>233.72499999999999</v>
      </c>
      <c r="J904" s="5">
        <v>233725</v>
      </c>
      <c r="K904" s="1" t="s">
        <v>13</v>
      </c>
      <c r="L904" s="5">
        <f>car_price_prediction_[[#This Row],[Price]]/100</f>
        <v>76283.55</v>
      </c>
      <c r="M904">
        <v>7628355</v>
      </c>
      <c r="N904" s="1" t="s">
        <v>48</v>
      </c>
      <c r="O904" s="1">
        <f>IF(IFERROR(VLOOKUP(car_price_prediction_[[#This Row],[Car ID]],A905:A3404,1,FALSE),0),1,0)</f>
        <v>0</v>
      </c>
    </row>
    <row r="905" spans="1:15" x14ac:dyDescent="0.25">
      <c r="A905">
        <v>904</v>
      </c>
      <c r="B905" s="1" t="s">
        <v>10</v>
      </c>
      <c r="C905" s="1">
        <f>car_price_prediction_[[#This Row],[Year2]]</f>
        <v>2010</v>
      </c>
      <c r="D905">
        <v>2010</v>
      </c>
      <c r="E905">
        <f>car_price_prediction_[[#This Row],[Engine Size]]/10</f>
        <v>3.7</v>
      </c>
      <c r="F905">
        <v>37</v>
      </c>
      <c r="G905" s="1" t="s">
        <v>29</v>
      </c>
      <c r="H905" s="1" t="s">
        <v>22</v>
      </c>
      <c r="I905" s="12">
        <f>car_price_prediction_[[#This Row],[Mileage]]/1000</f>
        <v>276.60000000000002</v>
      </c>
      <c r="J905" s="5">
        <v>276600</v>
      </c>
      <c r="K905" s="1" t="s">
        <v>25</v>
      </c>
      <c r="L905" s="5">
        <f>car_price_prediction_[[#This Row],[Price]]/100</f>
        <v>63091.68</v>
      </c>
      <c r="M905">
        <v>6309168</v>
      </c>
      <c r="N905" s="1" t="s">
        <v>14</v>
      </c>
      <c r="O905" s="1">
        <f>IF(IFERROR(VLOOKUP(car_price_prediction_[[#This Row],[Car ID]],A906:A3405,1,FALSE),0),1,0)</f>
        <v>0</v>
      </c>
    </row>
    <row r="906" spans="1:15" x14ac:dyDescent="0.25">
      <c r="A906">
        <v>905</v>
      </c>
      <c r="B906" s="1" t="s">
        <v>43</v>
      </c>
      <c r="C906" s="1">
        <f>car_price_prediction_[[#This Row],[Year2]]</f>
        <v>2020</v>
      </c>
      <c r="D906">
        <v>2020</v>
      </c>
      <c r="E906">
        <f>car_price_prediction_[[#This Row],[Engine Size]]/10</f>
        <v>2.4</v>
      </c>
      <c r="F906">
        <v>24</v>
      </c>
      <c r="G906" s="1" t="s">
        <v>29</v>
      </c>
      <c r="H906" s="1" t="s">
        <v>12</v>
      </c>
      <c r="I906" s="12">
        <f>car_price_prediction_[[#This Row],[Mileage]]/1000</f>
        <v>109.599</v>
      </c>
      <c r="J906" s="5">
        <v>109599</v>
      </c>
      <c r="K906" s="1" t="s">
        <v>17</v>
      </c>
      <c r="L906" s="5">
        <f>car_price_prediction_[[#This Row],[Price]]/100</f>
        <v>14555.64</v>
      </c>
      <c r="M906">
        <v>1455564</v>
      </c>
      <c r="N906" s="1" t="s">
        <v>44</v>
      </c>
      <c r="O906" s="1">
        <f>IF(IFERROR(VLOOKUP(car_price_prediction_[[#This Row],[Car ID]],A907:A3406,1,FALSE),0),1,0)</f>
        <v>0</v>
      </c>
    </row>
    <row r="907" spans="1:15" x14ac:dyDescent="0.25">
      <c r="A907">
        <v>906</v>
      </c>
      <c r="B907" s="1" t="s">
        <v>36</v>
      </c>
      <c r="C907" s="1">
        <f>car_price_prediction_[[#This Row],[Year2]]</f>
        <v>2003</v>
      </c>
      <c r="D907">
        <v>2003</v>
      </c>
      <c r="E907">
        <f>car_price_prediction_[[#This Row],[Engine Size]]/10</f>
        <v>4.5</v>
      </c>
      <c r="F907">
        <v>45</v>
      </c>
      <c r="G907" s="1" t="s">
        <v>11</v>
      </c>
      <c r="H907" s="1" t="s">
        <v>22</v>
      </c>
      <c r="I907" s="12">
        <f>car_price_prediction_[[#This Row],[Mileage]]/1000</f>
        <v>83.721000000000004</v>
      </c>
      <c r="J907" s="5">
        <v>83721</v>
      </c>
      <c r="K907" s="1" t="s">
        <v>13</v>
      </c>
      <c r="L907" s="5">
        <f>car_price_prediction_[[#This Row],[Price]]/100</f>
        <v>42677.58</v>
      </c>
      <c r="M907">
        <v>4267758</v>
      </c>
      <c r="N907" s="1" t="s">
        <v>46</v>
      </c>
      <c r="O907" s="1">
        <f>IF(IFERROR(VLOOKUP(car_price_prediction_[[#This Row],[Car ID]],A908:A3407,1,FALSE),0),1,0)</f>
        <v>0</v>
      </c>
    </row>
    <row r="908" spans="1:15" x14ac:dyDescent="0.25">
      <c r="A908">
        <v>907</v>
      </c>
      <c r="B908" s="1" t="s">
        <v>24</v>
      </c>
      <c r="C908" s="1">
        <f>car_price_prediction_[[#This Row],[Year2]]</f>
        <v>2017</v>
      </c>
      <c r="D908">
        <v>2017</v>
      </c>
      <c r="E908">
        <f>car_price_prediction_[[#This Row],[Engine Size]]/10</f>
        <v>2.4</v>
      </c>
      <c r="F908">
        <v>24</v>
      </c>
      <c r="G908" s="1" t="s">
        <v>11</v>
      </c>
      <c r="H908" s="1" t="s">
        <v>22</v>
      </c>
      <c r="I908" s="12">
        <f>car_price_prediction_[[#This Row],[Mileage]]/1000</f>
        <v>286.38400000000001</v>
      </c>
      <c r="J908" s="5">
        <v>286384</v>
      </c>
      <c r="K908" s="1" t="s">
        <v>17</v>
      </c>
      <c r="L908" s="5">
        <f>car_price_prediction_[[#This Row],[Price]]/100</f>
        <v>53187.75</v>
      </c>
      <c r="M908">
        <v>5318775</v>
      </c>
      <c r="N908" s="1" t="s">
        <v>32</v>
      </c>
      <c r="O908" s="1">
        <f>IF(IFERROR(VLOOKUP(car_price_prediction_[[#This Row],[Car ID]],A909:A3408,1,FALSE),0),1,0)</f>
        <v>0</v>
      </c>
    </row>
    <row r="909" spans="1:15" x14ac:dyDescent="0.25">
      <c r="A909">
        <v>908</v>
      </c>
      <c r="B909" s="1" t="s">
        <v>24</v>
      </c>
      <c r="C909" s="1">
        <f>car_price_prediction_[[#This Row],[Year2]]</f>
        <v>2000</v>
      </c>
      <c r="D909">
        <v>2000</v>
      </c>
      <c r="E909">
        <f>car_price_prediction_[[#This Row],[Engine Size]]/10</f>
        <v>5.5</v>
      </c>
      <c r="F909">
        <v>55</v>
      </c>
      <c r="G909" s="1" t="s">
        <v>21</v>
      </c>
      <c r="H909" s="1" t="s">
        <v>22</v>
      </c>
      <c r="I909" s="12">
        <f>car_price_prediction_[[#This Row],[Mileage]]/1000</f>
        <v>271.37200000000001</v>
      </c>
      <c r="J909" s="5">
        <v>271372</v>
      </c>
      <c r="K909" s="1" t="s">
        <v>13</v>
      </c>
      <c r="L909" s="5">
        <f>car_price_prediction_[[#This Row],[Price]]/100</f>
        <v>99605.33</v>
      </c>
      <c r="M909">
        <v>9960533</v>
      </c>
      <c r="N909" s="1" t="s">
        <v>53</v>
      </c>
      <c r="O909" s="1">
        <f>IF(IFERROR(VLOOKUP(car_price_prediction_[[#This Row],[Car ID]],A910:A3409,1,FALSE),0),1,0)</f>
        <v>0</v>
      </c>
    </row>
    <row r="910" spans="1:15" x14ac:dyDescent="0.25">
      <c r="A910">
        <v>909</v>
      </c>
      <c r="B910" s="1" t="s">
        <v>43</v>
      </c>
      <c r="C910" s="1">
        <f>car_price_prediction_[[#This Row],[Year2]]</f>
        <v>2006</v>
      </c>
      <c r="D910">
        <v>2006</v>
      </c>
      <c r="E910">
        <f>car_price_prediction_[[#This Row],[Engine Size]]/10</f>
        <v>2.9</v>
      </c>
      <c r="F910">
        <v>29</v>
      </c>
      <c r="G910" s="1" t="s">
        <v>16</v>
      </c>
      <c r="H910" s="1" t="s">
        <v>22</v>
      </c>
      <c r="I910" s="12">
        <f>car_price_prediction_[[#This Row],[Mileage]]/1000</f>
        <v>283.83</v>
      </c>
      <c r="J910" s="5">
        <v>283830</v>
      </c>
      <c r="K910" s="1" t="s">
        <v>25</v>
      </c>
      <c r="L910" s="5">
        <f>car_price_prediction_[[#This Row],[Price]]/100</f>
        <v>21967.75</v>
      </c>
      <c r="M910">
        <v>2196775</v>
      </c>
      <c r="N910" s="1" t="s">
        <v>44</v>
      </c>
      <c r="O910" s="1">
        <f>IF(IFERROR(VLOOKUP(car_price_prediction_[[#This Row],[Car ID]],A911:A3410,1,FALSE),0),1,0)</f>
        <v>0</v>
      </c>
    </row>
    <row r="911" spans="1:15" x14ac:dyDescent="0.25">
      <c r="A911">
        <v>910</v>
      </c>
      <c r="B911" s="1" t="s">
        <v>19</v>
      </c>
      <c r="C911" s="1">
        <f>car_price_prediction_[[#This Row],[Year2]]</f>
        <v>2005</v>
      </c>
      <c r="D911">
        <v>2005</v>
      </c>
      <c r="E911">
        <f>car_price_prediction_[[#This Row],[Engine Size]]/10</f>
        <v>3.7</v>
      </c>
      <c r="F911">
        <v>37</v>
      </c>
      <c r="G911" s="1" t="s">
        <v>11</v>
      </c>
      <c r="H911" s="1" t="s">
        <v>22</v>
      </c>
      <c r="I911" s="12">
        <f>car_price_prediction_[[#This Row],[Mileage]]/1000</f>
        <v>11.92</v>
      </c>
      <c r="J911" s="5">
        <v>11920</v>
      </c>
      <c r="K911" s="1" t="s">
        <v>13</v>
      </c>
      <c r="L911" s="5">
        <f>car_price_prediction_[[#This Row],[Price]]/100</f>
        <v>98330.26</v>
      </c>
      <c r="M911">
        <v>9833026</v>
      </c>
      <c r="N911" s="1" t="s">
        <v>27</v>
      </c>
      <c r="O911" s="1">
        <f>IF(IFERROR(VLOOKUP(car_price_prediction_[[#This Row],[Car ID]],A912:A3411,1,FALSE),0),1,0)</f>
        <v>0</v>
      </c>
    </row>
    <row r="912" spans="1:15" x14ac:dyDescent="0.25">
      <c r="A912">
        <v>911</v>
      </c>
      <c r="B912" s="1" t="s">
        <v>43</v>
      </c>
      <c r="C912" s="1">
        <f>car_price_prediction_[[#This Row],[Year2]]</f>
        <v>2014</v>
      </c>
      <c r="D912">
        <v>2014</v>
      </c>
      <c r="E912">
        <f>car_price_prediction_[[#This Row],[Engine Size]]/10</f>
        <v>1.3</v>
      </c>
      <c r="F912">
        <v>13</v>
      </c>
      <c r="G912" s="1" t="s">
        <v>21</v>
      </c>
      <c r="H912" s="1" t="s">
        <v>12</v>
      </c>
      <c r="I912" s="12">
        <f>car_price_prediction_[[#This Row],[Mileage]]/1000</f>
        <v>7.4320000000000004</v>
      </c>
      <c r="J912" s="5">
        <v>7432</v>
      </c>
      <c r="K912" s="1" t="s">
        <v>17</v>
      </c>
      <c r="L912" s="5">
        <f>car_price_prediction_[[#This Row],[Price]]/100</f>
        <v>40734.230000000003</v>
      </c>
      <c r="M912">
        <v>4073423</v>
      </c>
      <c r="N912" s="1" t="s">
        <v>44</v>
      </c>
      <c r="O912" s="1">
        <f>IF(IFERROR(VLOOKUP(car_price_prediction_[[#This Row],[Car ID]],A913:A3412,1,FALSE),0),1,0)</f>
        <v>0</v>
      </c>
    </row>
    <row r="913" spans="1:15" x14ac:dyDescent="0.25">
      <c r="A913">
        <v>912</v>
      </c>
      <c r="B913" s="1" t="s">
        <v>30</v>
      </c>
      <c r="C913" s="1">
        <f>car_price_prediction_[[#This Row],[Year2]]</f>
        <v>2017</v>
      </c>
      <c r="D913">
        <v>2017</v>
      </c>
      <c r="E913">
        <f>car_price_prediction_[[#This Row],[Engine Size]]/10</f>
        <v>3.1</v>
      </c>
      <c r="F913">
        <v>31</v>
      </c>
      <c r="G913" s="1" t="s">
        <v>29</v>
      </c>
      <c r="H913" s="1" t="s">
        <v>22</v>
      </c>
      <c r="I913" s="12">
        <f>car_price_prediction_[[#This Row],[Mileage]]/1000</f>
        <v>110.50700000000001</v>
      </c>
      <c r="J913" s="5">
        <v>110507</v>
      </c>
      <c r="K913" s="1" t="s">
        <v>17</v>
      </c>
      <c r="L913" s="5">
        <f>car_price_prediction_[[#This Row],[Price]]/100</f>
        <v>24030.45</v>
      </c>
      <c r="M913">
        <v>2403045</v>
      </c>
      <c r="N913" s="1" t="s">
        <v>31</v>
      </c>
      <c r="O913" s="1">
        <f>IF(IFERROR(VLOOKUP(car_price_prediction_[[#This Row],[Car ID]],A914:A3413,1,FALSE),0),1,0)</f>
        <v>0</v>
      </c>
    </row>
    <row r="914" spans="1:15" x14ac:dyDescent="0.25">
      <c r="A914">
        <v>913</v>
      </c>
      <c r="B914" s="1" t="s">
        <v>43</v>
      </c>
      <c r="C914" s="1">
        <f>car_price_prediction_[[#This Row],[Year2]]</f>
        <v>2023</v>
      </c>
      <c r="D914">
        <v>2023</v>
      </c>
      <c r="E914">
        <f>car_price_prediction_[[#This Row],[Engine Size]]/10</f>
        <v>5.2</v>
      </c>
      <c r="F914">
        <v>52</v>
      </c>
      <c r="G914" s="1" t="s">
        <v>29</v>
      </c>
      <c r="H914" s="1" t="s">
        <v>22</v>
      </c>
      <c r="I914" s="12">
        <f>car_price_prediction_[[#This Row],[Mileage]]/1000</f>
        <v>224.64699999999999</v>
      </c>
      <c r="J914" s="5">
        <v>224647</v>
      </c>
      <c r="K914" s="1" t="s">
        <v>25</v>
      </c>
      <c r="L914" s="5">
        <f>car_price_prediction_[[#This Row],[Price]]/100</f>
        <v>44340.36</v>
      </c>
      <c r="M914">
        <v>4434036</v>
      </c>
      <c r="N914" s="1" t="s">
        <v>47</v>
      </c>
      <c r="O914" s="1">
        <f>IF(IFERROR(VLOOKUP(car_price_prediction_[[#This Row],[Car ID]],A915:A3414,1,FALSE),0),1,0)</f>
        <v>0</v>
      </c>
    </row>
    <row r="915" spans="1:15" x14ac:dyDescent="0.25">
      <c r="A915">
        <v>914</v>
      </c>
      <c r="B915" s="1" t="s">
        <v>24</v>
      </c>
      <c r="C915" s="1">
        <f>car_price_prediction_[[#This Row],[Year2]]</f>
        <v>2010</v>
      </c>
      <c r="D915">
        <v>2010</v>
      </c>
      <c r="E915">
        <f>car_price_prediction_[[#This Row],[Engine Size]]/10</f>
        <v>5</v>
      </c>
      <c r="F915">
        <v>50</v>
      </c>
      <c r="G915" s="1" t="s">
        <v>21</v>
      </c>
      <c r="H915" s="1" t="s">
        <v>22</v>
      </c>
      <c r="I915" s="12">
        <f>car_price_prediction_[[#This Row],[Mileage]]/1000</f>
        <v>164.982</v>
      </c>
      <c r="J915" s="5">
        <v>164982</v>
      </c>
      <c r="K915" s="1" t="s">
        <v>25</v>
      </c>
      <c r="L915" s="5">
        <f>car_price_prediction_[[#This Row],[Price]]/100</f>
        <v>63329.54</v>
      </c>
      <c r="M915">
        <v>6332954</v>
      </c>
      <c r="N915" s="1" t="s">
        <v>53</v>
      </c>
      <c r="O915" s="1">
        <f>IF(IFERROR(VLOOKUP(car_price_prediction_[[#This Row],[Car ID]],A916:A3415,1,FALSE),0),1,0)</f>
        <v>0</v>
      </c>
    </row>
    <row r="916" spans="1:15" x14ac:dyDescent="0.25">
      <c r="A916">
        <v>915</v>
      </c>
      <c r="B916" s="1" t="s">
        <v>10</v>
      </c>
      <c r="C916" s="1">
        <f>car_price_prediction_[[#This Row],[Year2]]</f>
        <v>2019</v>
      </c>
      <c r="D916">
        <v>2019</v>
      </c>
      <c r="E916">
        <f>car_price_prediction_[[#This Row],[Engine Size]]/10</f>
        <v>2.1</v>
      </c>
      <c r="F916">
        <v>21</v>
      </c>
      <c r="G916" s="1" t="s">
        <v>29</v>
      </c>
      <c r="H916" s="1" t="s">
        <v>22</v>
      </c>
      <c r="I916" s="12">
        <f>car_price_prediction_[[#This Row],[Mileage]]/1000</f>
        <v>121.764</v>
      </c>
      <c r="J916" s="5">
        <v>121764</v>
      </c>
      <c r="K916" s="1" t="s">
        <v>17</v>
      </c>
      <c r="L916" s="5">
        <f>car_price_prediction_[[#This Row],[Price]]/100</f>
        <v>25282.25</v>
      </c>
      <c r="M916">
        <v>2528225</v>
      </c>
      <c r="N916" s="1" t="s">
        <v>14</v>
      </c>
      <c r="O916" s="1">
        <f>IF(IFERROR(VLOOKUP(car_price_prediction_[[#This Row],[Car ID]],A917:A3416,1,FALSE),0),1,0)</f>
        <v>0</v>
      </c>
    </row>
    <row r="917" spans="1:15" x14ac:dyDescent="0.25">
      <c r="A917">
        <v>916</v>
      </c>
      <c r="B917" s="1" t="s">
        <v>43</v>
      </c>
      <c r="C917" s="1">
        <f>car_price_prediction_[[#This Row],[Year2]]</f>
        <v>2023</v>
      </c>
      <c r="D917">
        <v>2023</v>
      </c>
      <c r="E917">
        <f>car_price_prediction_[[#This Row],[Engine Size]]/10</f>
        <v>2.1</v>
      </c>
      <c r="F917">
        <v>21</v>
      </c>
      <c r="G917" s="1" t="s">
        <v>29</v>
      </c>
      <c r="H917" s="1" t="s">
        <v>12</v>
      </c>
      <c r="I917" s="12">
        <f>car_price_prediction_[[#This Row],[Mileage]]/1000</f>
        <v>161.298</v>
      </c>
      <c r="J917" s="5">
        <v>161298</v>
      </c>
      <c r="K917" s="1" t="s">
        <v>17</v>
      </c>
      <c r="L917" s="5">
        <f>car_price_prediction_[[#This Row],[Price]]/100</f>
        <v>32686.71</v>
      </c>
      <c r="M917">
        <v>3268671</v>
      </c>
      <c r="N917" s="1" t="s">
        <v>52</v>
      </c>
      <c r="O917" s="1">
        <f>IF(IFERROR(VLOOKUP(car_price_prediction_[[#This Row],[Car ID]],A918:A3417,1,FALSE),0),1,0)</f>
        <v>0</v>
      </c>
    </row>
    <row r="918" spans="1:15" x14ac:dyDescent="0.25">
      <c r="A918">
        <v>917</v>
      </c>
      <c r="B918" s="1" t="s">
        <v>19</v>
      </c>
      <c r="C918" s="1">
        <f>car_price_prediction_[[#This Row],[Year2]]</f>
        <v>2014</v>
      </c>
      <c r="D918">
        <v>2014</v>
      </c>
      <c r="E918">
        <f>car_price_prediction_[[#This Row],[Engine Size]]/10</f>
        <v>5.0999999999999996</v>
      </c>
      <c r="F918">
        <v>51</v>
      </c>
      <c r="G918" s="1" t="s">
        <v>16</v>
      </c>
      <c r="H918" s="1" t="s">
        <v>22</v>
      </c>
      <c r="I918" s="12">
        <f>car_price_prediction_[[#This Row],[Mileage]]/1000</f>
        <v>204.22200000000001</v>
      </c>
      <c r="J918" s="5">
        <v>204222</v>
      </c>
      <c r="K918" s="1" t="s">
        <v>17</v>
      </c>
      <c r="L918" s="5">
        <f>car_price_prediction_[[#This Row],[Price]]/100</f>
        <v>86181.92</v>
      </c>
      <c r="M918">
        <v>8618192</v>
      </c>
      <c r="N918" s="1" t="s">
        <v>27</v>
      </c>
      <c r="O918" s="1">
        <f>IF(IFERROR(VLOOKUP(car_price_prediction_[[#This Row],[Car ID]],A919:A3418,1,FALSE),0),1,0)</f>
        <v>0</v>
      </c>
    </row>
    <row r="919" spans="1:15" x14ac:dyDescent="0.25">
      <c r="A919">
        <v>918</v>
      </c>
      <c r="B919" s="1" t="s">
        <v>10</v>
      </c>
      <c r="C919" s="1">
        <f>car_price_prediction_[[#This Row],[Year2]]</f>
        <v>2015</v>
      </c>
      <c r="D919">
        <v>2015</v>
      </c>
      <c r="E919">
        <f>car_price_prediction_[[#This Row],[Engine Size]]/10</f>
        <v>5.7</v>
      </c>
      <c r="F919">
        <v>57</v>
      </c>
      <c r="G919" s="1" t="s">
        <v>29</v>
      </c>
      <c r="H919" s="1" t="s">
        <v>12</v>
      </c>
      <c r="I919" s="12">
        <f>car_price_prediction_[[#This Row],[Mileage]]/1000</f>
        <v>112.557</v>
      </c>
      <c r="J919" s="5">
        <v>112557</v>
      </c>
      <c r="K919" s="1" t="s">
        <v>25</v>
      </c>
      <c r="L919" s="5">
        <f>car_price_prediction_[[#This Row],[Price]]/100</f>
        <v>9990.59</v>
      </c>
      <c r="M919">
        <v>999059</v>
      </c>
      <c r="N919" s="1" t="s">
        <v>49</v>
      </c>
      <c r="O919" s="1">
        <f>IF(IFERROR(VLOOKUP(car_price_prediction_[[#This Row],[Car ID]],A920:A3419,1,FALSE),0),1,0)</f>
        <v>0</v>
      </c>
    </row>
    <row r="920" spans="1:15" x14ac:dyDescent="0.25">
      <c r="A920">
        <v>919</v>
      </c>
      <c r="B920" s="1" t="s">
        <v>36</v>
      </c>
      <c r="C920" s="1">
        <f>car_price_prediction_[[#This Row],[Year2]]</f>
        <v>2006</v>
      </c>
      <c r="D920">
        <v>2006</v>
      </c>
      <c r="E920">
        <f>car_price_prediction_[[#This Row],[Engine Size]]/10</f>
        <v>1.5</v>
      </c>
      <c r="F920">
        <v>15</v>
      </c>
      <c r="G920" s="1" t="s">
        <v>11</v>
      </c>
      <c r="H920" s="1" t="s">
        <v>22</v>
      </c>
      <c r="I920" s="12">
        <f>car_price_prediction_[[#This Row],[Mileage]]/1000</f>
        <v>18.013000000000002</v>
      </c>
      <c r="J920" s="5">
        <v>18013</v>
      </c>
      <c r="K920" s="1" t="s">
        <v>17</v>
      </c>
      <c r="L920" s="5">
        <f>car_price_prediction_[[#This Row],[Price]]/100</f>
        <v>35226.410000000003</v>
      </c>
      <c r="M920">
        <v>3522641</v>
      </c>
      <c r="N920" s="1" t="s">
        <v>40</v>
      </c>
      <c r="O920" s="1">
        <f>IF(IFERROR(VLOOKUP(car_price_prediction_[[#This Row],[Car ID]],A921:A3420,1,FALSE),0),1,0)</f>
        <v>0</v>
      </c>
    </row>
    <row r="921" spans="1:15" x14ac:dyDescent="0.25">
      <c r="A921">
        <v>920</v>
      </c>
      <c r="B921" s="1" t="s">
        <v>15</v>
      </c>
      <c r="C921" s="1">
        <f>car_price_prediction_[[#This Row],[Year2]]</f>
        <v>2020</v>
      </c>
      <c r="D921">
        <v>2020</v>
      </c>
      <c r="E921">
        <f>car_price_prediction_[[#This Row],[Engine Size]]/10</f>
        <v>3.3</v>
      </c>
      <c r="F921">
        <v>33</v>
      </c>
      <c r="G921" s="1" t="s">
        <v>29</v>
      </c>
      <c r="H921" s="1" t="s">
        <v>12</v>
      </c>
      <c r="I921" s="12">
        <f>car_price_prediction_[[#This Row],[Mileage]]/1000</f>
        <v>21.446000000000002</v>
      </c>
      <c r="J921" s="5">
        <v>21446</v>
      </c>
      <c r="K921" s="1" t="s">
        <v>25</v>
      </c>
      <c r="L921" s="5">
        <f>car_price_prediction_[[#This Row],[Price]]/100</f>
        <v>1914.14</v>
      </c>
      <c r="M921">
        <v>191414</v>
      </c>
      <c r="N921" s="1" t="s">
        <v>51</v>
      </c>
      <c r="O921" s="1">
        <f>IF(IFERROR(VLOOKUP(car_price_prediction_[[#This Row],[Car ID]],A922:A3421,1,FALSE),0),1,0)</f>
        <v>0</v>
      </c>
    </row>
    <row r="922" spans="1:15" x14ac:dyDescent="0.25">
      <c r="A922">
        <v>921</v>
      </c>
      <c r="B922" s="1" t="s">
        <v>43</v>
      </c>
      <c r="C922" s="1">
        <f>car_price_prediction_[[#This Row],[Year2]]</f>
        <v>2009</v>
      </c>
      <c r="D922">
        <v>2009</v>
      </c>
      <c r="E922">
        <f>car_price_prediction_[[#This Row],[Engine Size]]/10</f>
        <v>2.7</v>
      </c>
      <c r="F922">
        <v>27</v>
      </c>
      <c r="G922" s="1" t="s">
        <v>21</v>
      </c>
      <c r="H922" s="1" t="s">
        <v>12</v>
      </c>
      <c r="I922" s="12">
        <f>car_price_prediction_[[#This Row],[Mileage]]/1000</f>
        <v>201.447</v>
      </c>
      <c r="J922" s="5">
        <v>201447</v>
      </c>
      <c r="K922" s="1" t="s">
        <v>17</v>
      </c>
      <c r="L922" s="5">
        <f>car_price_prediction_[[#This Row],[Price]]/100</f>
        <v>80351.23</v>
      </c>
      <c r="M922">
        <v>8035123</v>
      </c>
      <c r="N922" s="1" t="s">
        <v>47</v>
      </c>
      <c r="O922" s="1">
        <f>IF(IFERROR(VLOOKUP(car_price_prediction_[[#This Row],[Car ID]],A923:A3422,1,FALSE),0),1,0)</f>
        <v>0</v>
      </c>
    </row>
    <row r="923" spans="1:15" x14ac:dyDescent="0.25">
      <c r="A923">
        <v>922</v>
      </c>
      <c r="B923" s="1" t="s">
        <v>19</v>
      </c>
      <c r="C923" s="1">
        <f>car_price_prediction_[[#This Row],[Year2]]</f>
        <v>2011</v>
      </c>
      <c r="D923">
        <v>2011</v>
      </c>
      <c r="E923">
        <f>car_price_prediction_[[#This Row],[Engine Size]]/10</f>
        <v>5.4</v>
      </c>
      <c r="F923">
        <v>54</v>
      </c>
      <c r="G923" s="1" t="s">
        <v>16</v>
      </c>
      <c r="H923" s="1" t="s">
        <v>12</v>
      </c>
      <c r="I923" s="12">
        <f>car_price_prediction_[[#This Row],[Mileage]]/1000</f>
        <v>102.261</v>
      </c>
      <c r="J923" s="5">
        <v>102261</v>
      </c>
      <c r="K923" s="1" t="s">
        <v>13</v>
      </c>
      <c r="L923" s="5">
        <f>car_price_prediction_[[#This Row],[Price]]/100</f>
        <v>62043.29</v>
      </c>
      <c r="M923">
        <v>6204329</v>
      </c>
      <c r="N923" s="1" t="s">
        <v>28</v>
      </c>
      <c r="O923" s="1">
        <f>IF(IFERROR(VLOOKUP(car_price_prediction_[[#This Row],[Car ID]],A924:A3423,1,FALSE),0),1,0)</f>
        <v>0</v>
      </c>
    </row>
    <row r="924" spans="1:15" x14ac:dyDescent="0.25">
      <c r="A924">
        <v>923</v>
      </c>
      <c r="B924" s="1" t="s">
        <v>10</v>
      </c>
      <c r="C924" s="1">
        <f>car_price_prediction_[[#This Row],[Year2]]</f>
        <v>2023</v>
      </c>
      <c r="D924">
        <v>2023</v>
      </c>
      <c r="E924">
        <f>car_price_prediction_[[#This Row],[Engine Size]]/10</f>
        <v>1.4</v>
      </c>
      <c r="F924">
        <v>14</v>
      </c>
      <c r="G924" s="1" t="s">
        <v>29</v>
      </c>
      <c r="H924" s="1" t="s">
        <v>12</v>
      </c>
      <c r="I924" s="12">
        <f>car_price_prediction_[[#This Row],[Mileage]]/1000</f>
        <v>262.70100000000002</v>
      </c>
      <c r="J924" s="5">
        <v>262701</v>
      </c>
      <c r="K924" s="1" t="s">
        <v>13</v>
      </c>
      <c r="L924" s="5">
        <f>car_price_prediction_[[#This Row],[Price]]/100</f>
        <v>14538.11</v>
      </c>
      <c r="M924">
        <v>1453811</v>
      </c>
      <c r="N924" s="1" t="s">
        <v>14</v>
      </c>
      <c r="O924" s="1">
        <f>IF(IFERROR(VLOOKUP(car_price_prediction_[[#This Row],[Car ID]],A925:A3424,1,FALSE),0),1,0)</f>
        <v>0</v>
      </c>
    </row>
    <row r="925" spans="1:15" x14ac:dyDescent="0.25">
      <c r="A925">
        <v>924</v>
      </c>
      <c r="B925" s="1" t="s">
        <v>19</v>
      </c>
      <c r="C925" s="1">
        <f>car_price_prediction_[[#This Row],[Year2]]</f>
        <v>2013</v>
      </c>
      <c r="D925">
        <v>2013</v>
      </c>
      <c r="E925">
        <f>car_price_prediction_[[#This Row],[Engine Size]]/10</f>
        <v>2.1</v>
      </c>
      <c r="F925">
        <v>21</v>
      </c>
      <c r="G925" s="1" t="s">
        <v>21</v>
      </c>
      <c r="H925" s="1" t="s">
        <v>12</v>
      </c>
      <c r="I925" s="12">
        <f>car_price_prediction_[[#This Row],[Mileage]]/1000</f>
        <v>168.46100000000001</v>
      </c>
      <c r="J925" s="5">
        <v>168461</v>
      </c>
      <c r="K925" s="1" t="s">
        <v>17</v>
      </c>
      <c r="L925" s="5">
        <f>car_price_prediction_[[#This Row],[Price]]/100</f>
        <v>94943.29</v>
      </c>
      <c r="M925">
        <v>9494329</v>
      </c>
      <c r="N925" s="1" t="s">
        <v>27</v>
      </c>
      <c r="O925" s="1">
        <f>IF(IFERROR(VLOOKUP(car_price_prediction_[[#This Row],[Car ID]],A926:A3425,1,FALSE),0),1,0)</f>
        <v>0</v>
      </c>
    </row>
    <row r="926" spans="1:15" x14ac:dyDescent="0.25">
      <c r="A926">
        <v>925</v>
      </c>
      <c r="B926" s="1" t="s">
        <v>36</v>
      </c>
      <c r="C926" s="1">
        <f>car_price_prediction_[[#This Row],[Year2]]</f>
        <v>2004</v>
      </c>
      <c r="D926">
        <v>2004</v>
      </c>
      <c r="E926">
        <f>car_price_prediction_[[#This Row],[Engine Size]]/10</f>
        <v>4.8</v>
      </c>
      <c r="F926">
        <v>48</v>
      </c>
      <c r="G926" s="1" t="s">
        <v>11</v>
      </c>
      <c r="H926" s="1" t="s">
        <v>22</v>
      </c>
      <c r="I926" s="12">
        <f>car_price_prediction_[[#This Row],[Mileage]]/1000</f>
        <v>178.77199999999999</v>
      </c>
      <c r="J926" s="5">
        <v>178772</v>
      </c>
      <c r="K926" s="1" t="s">
        <v>13</v>
      </c>
      <c r="L926" s="5">
        <f>car_price_prediction_[[#This Row],[Price]]/100</f>
        <v>12414.71</v>
      </c>
      <c r="M926">
        <v>1241471</v>
      </c>
      <c r="N926" s="1" t="s">
        <v>46</v>
      </c>
      <c r="O926" s="1">
        <f>IF(IFERROR(VLOOKUP(car_price_prediction_[[#This Row],[Car ID]],A927:A3426,1,FALSE),0),1,0)</f>
        <v>0</v>
      </c>
    </row>
    <row r="927" spans="1:15" x14ac:dyDescent="0.25">
      <c r="A927">
        <v>926</v>
      </c>
      <c r="B927" s="1" t="s">
        <v>24</v>
      </c>
      <c r="C927" s="1">
        <f>car_price_prediction_[[#This Row],[Year2]]</f>
        <v>2020</v>
      </c>
      <c r="D927">
        <v>2020</v>
      </c>
      <c r="E927">
        <f>car_price_prediction_[[#This Row],[Engine Size]]/10</f>
        <v>1.3</v>
      </c>
      <c r="F927">
        <v>13</v>
      </c>
      <c r="G927" s="1" t="s">
        <v>29</v>
      </c>
      <c r="H927" s="1" t="s">
        <v>12</v>
      </c>
      <c r="I927" s="12">
        <f>car_price_prediction_[[#This Row],[Mileage]]/1000</f>
        <v>130.87799999999999</v>
      </c>
      <c r="J927" s="5">
        <v>130878</v>
      </c>
      <c r="K927" s="1" t="s">
        <v>25</v>
      </c>
      <c r="L927" s="5">
        <f>car_price_prediction_[[#This Row],[Price]]/100</f>
        <v>64408.86</v>
      </c>
      <c r="M927">
        <v>6440886</v>
      </c>
      <c r="N927" s="1" t="s">
        <v>32</v>
      </c>
      <c r="O927" s="1">
        <f>IF(IFERROR(VLOOKUP(car_price_prediction_[[#This Row],[Car ID]],A928:A3427,1,FALSE),0),1,0)</f>
        <v>0</v>
      </c>
    </row>
    <row r="928" spans="1:15" x14ac:dyDescent="0.25">
      <c r="A928">
        <v>927</v>
      </c>
      <c r="B928" s="1" t="s">
        <v>19</v>
      </c>
      <c r="C928" s="1">
        <f>car_price_prediction_[[#This Row],[Year2]]</f>
        <v>2017</v>
      </c>
      <c r="D928">
        <v>2017</v>
      </c>
      <c r="E928">
        <f>car_price_prediction_[[#This Row],[Engine Size]]/10</f>
        <v>3.5</v>
      </c>
      <c r="F928">
        <v>35</v>
      </c>
      <c r="G928" s="1" t="s">
        <v>16</v>
      </c>
      <c r="H928" s="1" t="s">
        <v>22</v>
      </c>
      <c r="I928" s="12">
        <f>car_price_prediction_[[#This Row],[Mileage]]/1000</f>
        <v>99.143000000000001</v>
      </c>
      <c r="J928" s="5">
        <v>99143</v>
      </c>
      <c r="K928" s="1" t="s">
        <v>13</v>
      </c>
      <c r="L928" s="5">
        <f>car_price_prediction_[[#This Row],[Price]]/100</f>
        <v>45274.04</v>
      </c>
      <c r="M928">
        <v>4527404</v>
      </c>
      <c r="N928" s="1" t="s">
        <v>38</v>
      </c>
      <c r="O928" s="1">
        <f>IF(IFERROR(VLOOKUP(car_price_prediction_[[#This Row],[Car ID]],A929:A3428,1,FALSE),0),1,0)</f>
        <v>0</v>
      </c>
    </row>
    <row r="929" spans="1:15" x14ac:dyDescent="0.25">
      <c r="A929">
        <v>928</v>
      </c>
      <c r="B929" s="1" t="s">
        <v>10</v>
      </c>
      <c r="C929" s="1">
        <f>car_price_prediction_[[#This Row],[Year2]]</f>
        <v>2004</v>
      </c>
      <c r="D929">
        <v>2004</v>
      </c>
      <c r="E929">
        <f>car_price_prediction_[[#This Row],[Engine Size]]/10</f>
        <v>3.2</v>
      </c>
      <c r="F929">
        <v>32</v>
      </c>
      <c r="G929" s="1" t="s">
        <v>29</v>
      </c>
      <c r="H929" s="1" t="s">
        <v>12</v>
      </c>
      <c r="I929" s="12">
        <f>car_price_prediction_[[#This Row],[Mileage]]/1000</f>
        <v>24.577999999999999</v>
      </c>
      <c r="J929" s="5">
        <v>24578</v>
      </c>
      <c r="K929" s="1" t="s">
        <v>13</v>
      </c>
      <c r="L929" s="5">
        <f>car_price_prediction_[[#This Row],[Price]]/100</f>
        <v>57879.27</v>
      </c>
      <c r="M929">
        <v>5787927</v>
      </c>
      <c r="N929" s="1" t="s">
        <v>33</v>
      </c>
      <c r="O929" s="1">
        <f>IF(IFERROR(VLOOKUP(car_price_prediction_[[#This Row],[Car ID]],A930:A3429,1,FALSE),0),1,0)</f>
        <v>0</v>
      </c>
    </row>
    <row r="930" spans="1:15" x14ac:dyDescent="0.25">
      <c r="A930">
        <v>929</v>
      </c>
      <c r="B930" s="1" t="s">
        <v>19</v>
      </c>
      <c r="C930" s="1">
        <f>car_price_prediction_[[#This Row],[Year2]]</f>
        <v>2002</v>
      </c>
      <c r="D930">
        <v>2002</v>
      </c>
      <c r="E930">
        <f>car_price_prediction_[[#This Row],[Engine Size]]/10</f>
        <v>2.7</v>
      </c>
      <c r="F930">
        <v>27</v>
      </c>
      <c r="G930" s="1" t="s">
        <v>21</v>
      </c>
      <c r="H930" s="1" t="s">
        <v>12</v>
      </c>
      <c r="I930" s="12">
        <f>car_price_prediction_[[#This Row],[Mileage]]/1000</f>
        <v>74.778999999999996</v>
      </c>
      <c r="J930" s="5">
        <v>74779</v>
      </c>
      <c r="K930" s="1" t="s">
        <v>25</v>
      </c>
      <c r="L930" s="5">
        <f>car_price_prediction_[[#This Row],[Price]]/100</f>
        <v>25255.35</v>
      </c>
      <c r="M930">
        <v>2525535</v>
      </c>
      <c r="N930" s="1" t="s">
        <v>20</v>
      </c>
      <c r="O930" s="1">
        <f>IF(IFERROR(VLOOKUP(car_price_prediction_[[#This Row],[Car ID]],A931:A3430,1,FALSE),0),1,0)</f>
        <v>0</v>
      </c>
    </row>
    <row r="931" spans="1:15" x14ac:dyDescent="0.25">
      <c r="A931">
        <v>930</v>
      </c>
      <c r="B931" s="1" t="s">
        <v>19</v>
      </c>
      <c r="C931" s="1">
        <f>car_price_prediction_[[#This Row],[Year2]]</f>
        <v>2022</v>
      </c>
      <c r="D931">
        <v>2022</v>
      </c>
      <c r="E931">
        <f>car_price_prediction_[[#This Row],[Engine Size]]/10</f>
        <v>3</v>
      </c>
      <c r="F931">
        <v>30</v>
      </c>
      <c r="G931" s="1" t="s">
        <v>16</v>
      </c>
      <c r="H931" s="1" t="s">
        <v>22</v>
      </c>
      <c r="I931" s="12">
        <f>car_price_prediction_[[#This Row],[Mileage]]/1000</f>
        <v>140.66800000000001</v>
      </c>
      <c r="J931" s="5">
        <v>140668</v>
      </c>
      <c r="K931" s="1" t="s">
        <v>13</v>
      </c>
      <c r="L931" s="5">
        <f>car_price_prediction_[[#This Row],[Price]]/100</f>
        <v>70370.490000000005</v>
      </c>
      <c r="M931">
        <v>7037049</v>
      </c>
      <c r="N931" s="1" t="s">
        <v>38</v>
      </c>
      <c r="O931" s="1">
        <f>IF(IFERROR(VLOOKUP(car_price_prediction_[[#This Row],[Car ID]],A932:A3431,1,FALSE),0),1,0)</f>
        <v>0</v>
      </c>
    </row>
    <row r="932" spans="1:15" x14ac:dyDescent="0.25">
      <c r="A932">
        <v>931</v>
      </c>
      <c r="B932" s="1" t="s">
        <v>19</v>
      </c>
      <c r="C932" s="1">
        <f>car_price_prediction_[[#This Row],[Year2]]</f>
        <v>2004</v>
      </c>
      <c r="D932">
        <v>2004</v>
      </c>
      <c r="E932">
        <f>car_price_prediction_[[#This Row],[Engine Size]]/10</f>
        <v>3.6</v>
      </c>
      <c r="F932">
        <v>36</v>
      </c>
      <c r="G932" s="1" t="s">
        <v>29</v>
      </c>
      <c r="H932" s="1" t="s">
        <v>12</v>
      </c>
      <c r="I932" s="12">
        <f>car_price_prediction_[[#This Row],[Mileage]]/1000</f>
        <v>72.534000000000006</v>
      </c>
      <c r="J932" s="5">
        <v>72534</v>
      </c>
      <c r="K932" s="1" t="s">
        <v>13</v>
      </c>
      <c r="L932" s="5">
        <f>car_price_prediction_[[#This Row],[Price]]/100</f>
        <v>96173.37</v>
      </c>
      <c r="M932">
        <v>9617337</v>
      </c>
      <c r="N932" s="1" t="s">
        <v>27</v>
      </c>
      <c r="O932" s="1">
        <f>IF(IFERROR(VLOOKUP(car_price_prediction_[[#This Row],[Car ID]],A933:A3432,1,FALSE),0),1,0)</f>
        <v>0</v>
      </c>
    </row>
    <row r="933" spans="1:15" x14ac:dyDescent="0.25">
      <c r="A933">
        <v>932</v>
      </c>
      <c r="B933" s="1" t="s">
        <v>30</v>
      </c>
      <c r="C933" s="1">
        <f>car_price_prediction_[[#This Row],[Year2]]</f>
        <v>2023</v>
      </c>
      <c r="D933">
        <v>2023</v>
      </c>
      <c r="E933">
        <f>car_price_prediction_[[#This Row],[Engine Size]]/10</f>
        <v>1.8</v>
      </c>
      <c r="F933">
        <v>18</v>
      </c>
      <c r="G933" s="1" t="s">
        <v>11</v>
      </c>
      <c r="H933" s="1" t="s">
        <v>12</v>
      </c>
      <c r="I933" s="12">
        <f>car_price_prediction_[[#This Row],[Mileage]]/1000</f>
        <v>272.27300000000002</v>
      </c>
      <c r="J933" s="5">
        <v>272273</v>
      </c>
      <c r="K933" s="1" t="s">
        <v>17</v>
      </c>
      <c r="L933" s="5">
        <f>car_price_prediction_[[#This Row],[Price]]/100</f>
        <v>48550.46</v>
      </c>
      <c r="M933">
        <v>4855046</v>
      </c>
      <c r="N933" s="1" t="s">
        <v>42</v>
      </c>
      <c r="O933" s="1">
        <f>IF(IFERROR(VLOOKUP(car_price_prediction_[[#This Row],[Car ID]],A934:A3433,1,FALSE),0),1,0)</f>
        <v>0</v>
      </c>
    </row>
    <row r="934" spans="1:15" x14ac:dyDescent="0.25">
      <c r="A934">
        <v>933</v>
      </c>
      <c r="B934" s="1" t="s">
        <v>30</v>
      </c>
      <c r="C934" s="1">
        <f>car_price_prediction_[[#This Row],[Year2]]</f>
        <v>2016</v>
      </c>
      <c r="D934">
        <v>2016</v>
      </c>
      <c r="E934">
        <f>car_price_prediction_[[#This Row],[Engine Size]]/10</f>
        <v>3.9</v>
      </c>
      <c r="F934">
        <v>39</v>
      </c>
      <c r="G934" s="1" t="s">
        <v>16</v>
      </c>
      <c r="H934" s="1" t="s">
        <v>12</v>
      </c>
      <c r="I934" s="12">
        <f>car_price_prediction_[[#This Row],[Mileage]]/1000</f>
        <v>197.11799999999999</v>
      </c>
      <c r="J934" s="5">
        <v>197118</v>
      </c>
      <c r="K934" s="1" t="s">
        <v>25</v>
      </c>
      <c r="L934" s="5">
        <f>car_price_prediction_[[#This Row],[Price]]/100</f>
        <v>54681.04</v>
      </c>
      <c r="M934">
        <v>5468104</v>
      </c>
      <c r="N934" s="1" t="s">
        <v>42</v>
      </c>
      <c r="O934" s="1">
        <f>IF(IFERROR(VLOOKUP(car_price_prediction_[[#This Row],[Car ID]],A935:A3434,1,FALSE),0),1,0)</f>
        <v>0</v>
      </c>
    </row>
    <row r="935" spans="1:15" x14ac:dyDescent="0.25">
      <c r="A935">
        <v>934</v>
      </c>
      <c r="B935" s="1" t="s">
        <v>24</v>
      </c>
      <c r="C935" s="1">
        <f>car_price_prediction_[[#This Row],[Year2]]</f>
        <v>2018</v>
      </c>
      <c r="D935">
        <v>2018</v>
      </c>
      <c r="E935">
        <f>car_price_prediction_[[#This Row],[Engine Size]]/10</f>
        <v>5</v>
      </c>
      <c r="F935">
        <v>50</v>
      </c>
      <c r="G935" s="1" t="s">
        <v>11</v>
      </c>
      <c r="H935" s="1" t="s">
        <v>12</v>
      </c>
      <c r="I935" s="12">
        <f>car_price_prediction_[[#This Row],[Mileage]]/1000</f>
        <v>273.74</v>
      </c>
      <c r="J935" s="5">
        <v>273740</v>
      </c>
      <c r="K935" s="1" t="s">
        <v>25</v>
      </c>
      <c r="L935" s="5">
        <f>car_price_prediction_[[#This Row],[Price]]/100</f>
        <v>27782.11</v>
      </c>
      <c r="M935">
        <v>2778211</v>
      </c>
      <c r="N935" s="1" t="s">
        <v>34</v>
      </c>
      <c r="O935" s="1">
        <f>IF(IFERROR(VLOOKUP(car_price_prediction_[[#This Row],[Car ID]],A936:A3435,1,FALSE),0),1,0)</f>
        <v>0</v>
      </c>
    </row>
    <row r="936" spans="1:15" x14ac:dyDescent="0.25">
      <c r="A936">
        <v>935</v>
      </c>
      <c r="B936" s="1" t="s">
        <v>43</v>
      </c>
      <c r="C936" s="1">
        <f>car_price_prediction_[[#This Row],[Year2]]</f>
        <v>2018</v>
      </c>
      <c r="D936">
        <v>2018</v>
      </c>
      <c r="E936">
        <f>car_price_prediction_[[#This Row],[Engine Size]]/10</f>
        <v>4.8</v>
      </c>
      <c r="F936">
        <v>48</v>
      </c>
      <c r="G936" s="1" t="s">
        <v>21</v>
      </c>
      <c r="H936" s="1" t="s">
        <v>22</v>
      </c>
      <c r="I936" s="12">
        <f>car_price_prediction_[[#This Row],[Mileage]]/1000</f>
        <v>65.355000000000004</v>
      </c>
      <c r="J936" s="5">
        <v>65355</v>
      </c>
      <c r="K936" s="1" t="s">
        <v>17</v>
      </c>
      <c r="L936" s="5">
        <f>car_price_prediction_[[#This Row],[Price]]/100</f>
        <v>89727.46</v>
      </c>
      <c r="M936">
        <v>8972746</v>
      </c>
      <c r="N936" s="1" t="s">
        <v>52</v>
      </c>
      <c r="O936" s="1">
        <f>IF(IFERROR(VLOOKUP(car_price_prediction_[[#This Row],[Car ID]],A937:A3436,1,FALSE),0),1,0)</f>
        <v>0</v>
      </c>
    </row>
    <row r="937" spans="1:15" x14ac:dyDescent="0.25">
      <c r="A937">
        <v>936</v>
      </c>
      <c r="B937" s="1" t="s">
        <v>19</v>
      </c>
      <c r="C937" s="1">
        <f>car_price_prediction_[[#This Row],[Year2]]</f>
        <v>2020</v>
      </c>
      <c r="D937">
        <v>2020</v>
      </c>
      <c r="E937">
        <f>car_price_prediction_[[#This Row],[Engine Size]]/10</f>
        <v>1.8</v>
      </c>
      <c r="F937">
        <v>18</v>
      </c>
      <c r="G937" s="1" t="s">
        <v>29</v>
      </c>
      <c r="H937" s="1" t="s">
        <v>12</v>
      </c>
      <c r="I937" s="12">
        <f>car_price_prediction_[[#This Row],[Mileage]]/1000</f>
        <v>12.974</v>
      </c>
      <c r="J937" s="5">
        <v>12974</v>
      </c>
      <c r="K937" s="1" t="s">
        <v>17</v>
      </c>
      <c r="L937" s="5">
        <f>car_price_prediction_[[#This Row],[Price]]/100</f>
        <v>97261.57</v>
      </c>
      <c r="M937">
        <v>9726157</v>
      </c>
      <c r="N937" s="1" t="s">
        <v>28</v>
      </c>
      <c r="O937" s="1">
        <f>IF(IFERROR(VLOOKUP(car_price_prediction_[[#This Row],[Car ID]],A938:A3437,1,FALSE),0),1,0)</f>
        <v>0</v>
      </c>
    </row>
    <row r="938" spans="1:15" x14ac:dyDescent="0.25">
      <c r="A938">
        <v>937</v>
      </c>
      <c r="B938" s="1" t="s">
        <v>36</v>
      </c>
      <c r="C938" s="1">
        <f>car_price_prediction_[[#This Row],[Year2]]</f>
        <v>2011</v>
      </c>
      <c r="D938">
        <v>2011</v>
      </c>
      <c r="E938">
        <f>car_price_prediction_[[#This Row],[Engine Size]]/10</f>
        <v>1.7</v>
      </c>
      <c r="F938">
        <v>17</v>
      </c>
      <c r="G938" s="1" t="s">
        <v>11</v>
      </c>
      <c r="H938" s="1" t="s">
        <v>12</v>
      </c>
      <c r="I938" s="12">
        <f>car_price_prediction_[[#This Row],[Mileage]]/1000</f>
        <v>197.745</v>
      </c>
      <c r="J938" s="5">
        <v>197745</v>
      </c>
      <c r="K938" s="1" t="s">
        <v>13</v>
      </c>
      <c r="L938" s="5">
        <f>car_price_prediction_[[#This Row],[Price]]/100</f>
        <v>7969.82</v>
      </c>
      <c r="M938">
        <v>796982</v>
      </c>
      <c r="N938" s="1" t="s">
        <v>40</v>
      </c>
      <c r="O938" s="1">
        <f>IF(IFERROR(VLOOKUP(car_price_prediction_[[#This Row],[Car ID]],A939:A3438,1,FALSE),0),1,0)</f>
        <v>0</v>
      </c>
    </row>
    <row r="939" spans="1:15" x14ac:dyDescent="0.25">
      <c r="A939">
        <v>938</v>
      </c>
      <c r="B939" s="1" t="s">
        <v>43</v>
      </c>
      <c r="C939" s="1">
        <f>car_price_prediction_[[#This Row],[Year2]]</f>
        <v>2008</v>
      </c>
      <c r="D939">
        <v>2008</v>
      </c>
      <c r="E939">
        <f>car_price_prediction_[[#This Row],[Engine Size]]/10</f>
        <v>2.2999999999999998</v>
      </c>
      <c r="F939">
        <v>23</v>
      </c>
      <c r="G939" s="1" t="s">
        <v>21</v>
      </c>
      <c r="H939" s="1" t="s">
        <v>22</v>
      </c>
      <c r="I939" s="12">
        <f>car_price_prediction_[[#This Row],[Mileage]]/1000</f>
        <v>251.36600000000001</v>
      </c>
      <c r="J939" s="5">
        <v>251366</v>
      </c>
      <c r="K939" s="1" t="s">
        <v>13</v>
      </c>
      <c r="L939" s="5">
        <f>car_price_prediction_[[#This Row],[Price]]/100</f>
        <v>56563.48</v>
      </c>
      <c r="M939">
        <v>5656348</v>
      </c>
      <c r="N939" s="1" t="s">
        <v>52</v>
      </c>
      <c r="O939" s="1">
        <f>IF(IFERROR(VLOOKUP(car_price_prediction_[[#This Row],[Car ID]],A940:A3439,1,FALSE),0),1,0)</f>
        <v>0</v>
      </c>
    </row>
    <row r="940" spans="1:15" x14ac:dyDescent="0.25">
      <c r="A940">
        <v>939</v>
      </c>
      <c r="B940" s="1" t="s">
        <v>36</v>
      </c>
      <c r="C940" s="1">
        <f>car_price_prediction_[[#This Row],[Year2]]</f>
        <v>2000</v>
      </c>
      <c r="D940">
        <v>2000</v>
      </c>
      <c r="E940">
        <f>car_price_prediction_[[#This Row],[Engine Size]]/10</f>
        <v>2.8</v>
      </c>
      <c r="F940">
        <v>28</v>
      </c>
      <c r="G940" s="1" t="s">
        <v>29</v>
      </c>
      <c r="H940" s="1" t="s">
        <v>22</v>
      </c>
      <c r="I940" s="12">
        <f>car_price_prediction_[[#This Row],[Mileage]]/1000</f>
        <v>74.441999999999993</v>
      </c>
      <c r="J940" s="5">
        <v>74442</v>
      </c>
      <c r="K940" s="1" t="s">
        <v>13</v>
      </c>
      <c r="L940" s="5">
        <f>car_price_prediction_[[#This Row],[Price]]/100</f>
        <v>9589.57</v>
      </c>
      <c r="M940">
        <v>958957</v>
      </c>
      <c r="N940" s="1" t="s">
        <v>37</v>
      </c>
      <c r="O940" s="1">
        <f>IF(IFERROR(VLOOKUP(car_price_prediction_[[#This Row],[Car ID]],A941:A3440,1,FALSE),0),1,0)</f>
        <v>0</v>
      </c>
    </row>
    <row r="941" spans="1:15" x14ac:dyDescent="0.25">
      <c r="A941">
        <v>940</v>
      </c>
      <c r="B941" s="1" t="s">
        <v>43</v>
      </c>
      <c r="C941" s="1">
        <f>car_price_prediction_[[#This Row],[Year2]]</f>
        <v>2017</v>
      </c>
      <c r="D941">
        <v>2017</v>
      </c>
      <c r="E941">
        <f>car_price_prediction_[[#This Row],[Engine Size]]/10</f>
        <v>3</v>
      </c>
      <c r="F941">
        <v>30</v>
      </c>
      <c r="G941" s="1" t="s">
        <v>21</v>
      </c>
      <c r="H941" s="1" t="s">
        <v>12</v>
      </c>
      <c r="I941" s="12">
        <f>car_price_prediction_[[#This Row],[Mileage]]/1000</f>
        <v>152.88999999999999</v>
      </c>
      <c r="J941" s="5">
        <v>152890</v>
      </c>
      <c r="K941" s="1" t="s">
        <v>17</v>
      </c>
      <c r="L941" s="5">
        <f>car_price_prediction_[[#This Row],[Price]]/100</f>
        <v>19615.759999999998</v>
      </c>
      <c r="M941">
        <v>1961576</v>
      </c>
      <c r="N941" s="1" t="s">
        <v>50</v>
      </c>
      <c r="O941" s="1">
        <f>IF(IFERROR(VLOOKUP(car_price_prediction_[[#This Row],[Car ID]],A942:A3441,1,FALSE),0),1,0)</f>
        <v>0</v>
      </c>
    </row>
    <row r="942" spans="1:15" x14ac:dyDescent="0.25">
      <c r="A942">
        <v>941</v>
      </c>
      <c r="B942" s="1" t="s">
        <v>24</v>
      </c>
      <c r="C942" s="1">
        <f>car_price_prediction_[[#This Row],[Year2]]</f>
        <v>2020</v>
      </c>
      <c r="D942">
        <v>2020</v>
      </c>
      <c r="E942">
        <f>car_price_prediction_[[#This Row],[Engine Size]]/10</f>
        <v>4.4000000000000004</v>
      </c>
      <c r="F942">
        <v>44</v>
      </c>
      <c r="G942" s="1" t="s">
        <v>11</v>
      </c>
      <c r="H942" s="1" t="s">
        <v>12</v>
      </c>
      <c r="I942" s="12">
        <f>car_price_prediction_[[#This Row],[Mileage]]/1000</f>
        <v>55.597999999999999</v>
      </c>
      <c r="J942" s="5">
        <v>55598</v>
      </c>
      <c r="K942" s="1" t="s">
        <v>25</v>
      </c>
      <c r="L942" s="5">
        <f>car_price_prediction_[[#This Row],[Price]]/100</f>
        <v>50456.63</v>
      </c>
      <c r="M942">
        <v>5045663</v>
      </c>
      <c r="N942" s="1" t="s">
        <v>53</v>
      </c>
      <c r="O942" s="1">
        <f>IF(IFERROR(VLOOKUP(car_price_prediction_[[#This Row],[Car ID]],A943:A3442,1,FALSE),0),1,0)</f>
        <v>0</v>
      </c>
    </row>
    <row r="943" spans="1:15" x14ac:dyDescent="0.25">
      <c r="A943">
        <v>942</v>
      </c>
      <c r="B943" s="1" t="s">
        <v>19</v>
      </c>
      <c r="C943" s="1">
        <f>car_price_prediction_[[#This Row],[Year2]]</f>
        <v>2003</v>
      </c>
      <c r="D943">
        <v>2003</v>
      </c>
      <c r="E943">
        <f>car_price_prediction_[[#This Row],[Engine Size]]/10</f>
        <v>1.3</v>
      </c>
      <c r="F943">
        <v>13</v>
      </c>
      <c r="G943" s="1" t="s">
        <v>21</v>
      </c>
      <c r="H943" s="1" t="s">
        <v>22</v>
      </c>
      <c r="I943" s="12">
        <f>car_price_prediction_[[#This Row],[Mileage]]/1000</f>
        <v>133.726</v>
      </c>
      <c r="J943" s="5">
        <v>133726</v>
      </c>
      <c r="K943" s="1" t="s">
        <v>13</v>
      </c>
      <c r="L943" s="5">
        <f>car_price_prediction_[[#This Row],[Price]]/100</f>
        <v>56072.54</v>
      </c>
      <c r="M943">
        <v>5607254</v>
      </c>
      <c r="N943" s="1" t="s">
        <v>20</v>
      </c>
      <c r="O943" s="1">
        <f>IF(IFERROR(VLOOKUP(car_price_prediction_[[#This Row],[Car ID]],A944:A3443,1,FALSE),0),1,0)</f>
        <v>0</v>
      </c>
    </row>
    <row r="944" spans="1:15" x14ac:dyDescent="0.25">
      <c r="A944">
        <v>943</v>
      </c>
      <c r="B944" s="1" t="s">
        <v>19</v>
      </c>
      <c r="C944" s="1">
        <f>car_price_prediction_[[#This Row],[Year2]]</f>
        <v>2009</v>
      </c>
      <c r="D944">
        <v>2009</v>
      </c>
      <c r="E944">
        <f>car_price_prediction_[[#This Row],[Engine Size]]/10</f>
        <v>1.2</v>
      </c>
      <c r="F944">
        <v>12</v>
      </c>
      <c r="G944" s="1" t="s">
        <v>16</v>
      </c>
      <c r="H944" s="1" t="s">
        <v>12</v>
      </c>
      <c r="I944" s="12">
        <f>car_price_prediction_[[#This Row],[Mileage]]/1000</f>
        <v>33.758000000000003</v>
      </c>
      <c r="J944" s="5">
        <v>33758</v>
      </c>
      <c r="K944" s="1" t="s">
        <v>17</v>
      </c>
      <c r="L944" s="5">
        <f>car_price_prediction_[[#This Row],[Price]]/100</f>
        <v>51732.06</v>
      </c>
      <c r="M944">
        <v>5173206</v>
      </c>
      <c r="N944" s="1" t="s">
        <v>27</v>
      </c>
      <c r="O944" s="1">
        <f>IF(IFERROR(VLOOKUP(car_price_prediction_[[#This Row],[Car ID]],A945:A3444,1,FALSE),0),1,0)</f>
        <v>0</v>
      </c>
    </row>
    <row r="945" spans="1:15" x14ac:dyDescent="0.25">
      <c r="A945">
        <v>944</v>
      </c>
      <c r="B945" s="1" t="s">
        <v>15</v>
      </c>
      <c r="C945" s="1">
        <f>car_price_prediction_[[#This Row],[Year2]]</f>
        <v>2006</v>
      </c>
      <c r="D945">
        <v>2006</v>
      </c>
      <c r="E945">
        <f>car_price_prediction_[[#This Row],[Engine Size]]/10</f>
        <v>3</v>
      </c>
      <c r="F945">
        <v>30</v>
      </c>
      <c r="G945" s="1" t="s">
        <v>29</v>
      </c>
      <c r="H945" s="1" t="s">
        <v>22</v>
      </c>
      <c r="I945" s="12">
        <f>car_price_prediction_[[#This Row],[Mileage]]/1000</f>
        <v>286.34800000000001</v>
      </c>
      <c r="J945" s="5">
        <v>286348</v>
      </c>
      <c r="K945" s="1" t="s">
        <v>25</v>
      </c>
      <c r="L945" s="5">
        <f>car_price_prediction_[[#This Row],[Price]]/100</f>
        <v>81229.740000000005</v>
      </c>
      <c r="M945">
        <v>8122974</v>
      </c>
      <c r="N945" s="1" t="s">
        <v>18</v>
      </c>
      <c r="O945" s="1">
        <f>IF(IFERROR(VLOOKUP(car_price_prediction_[[#This Row],[Car ID]],A946:A3445,1,FALSE),0),1,0)</f>
        <v>0</v>
      </c>
    </row>
    <row r="946" spans="1:15" x14ac:dyDescent="0.25">
      <c r="A946">
        <v>945</v>
      </c>
      <c r="B946" s="1" t="s">
        <v>36</v>
      </c>
      <c r="C946" s="1">
        <f>car_price_prediction_[[#This Row],[Year2]]</f>
        <v>2021</v>
      </c>
      <c r="D946">
        <v>2021</v>
      </c>
      <c r="E946">
        <f>car_price_prediction_[[#This Row],[Engine Size]]/10</f>
        <v>4.5</v>
      </c>
      <c r="F946">
        <v>45</v>
      </c>
      <c r="G946" s="1" t="s">
        <v>21</v>
      </c>
      <c r="H946" s="1" t="s">
        <v>12</v>
      </c>
      <c r="I946" s="12">
        <f>car_price_prediction_[[#This Row],[Mileage]]/1000</f>
        <v>127.309</v>
      </c>
      <c r="J946" s="5">
        <v>127309</v>
      </c>
      <c r="K946" s="1" t="s">
        <v>17</v>
      </c>
      <c r="L946" s="5">
        <f>car_price_prediction_[[#This Row],[Price]]/100</f>
        <v>68688.27</v>
      </c>
      <c r="M946">
        <v>6868827</v>
      </c>
      <c r="N946" s="1" t="s">
        <v>40</v>
      </c>
      <c r="O946" s="1">
        <f>IF(IFERROR(VLOOKUP(car_price_prediction_[[#This Row],[Car ID]],A947:A3446,1,FALSE),0),1,0)</f>
        <v>0</v>
      </c>
    </row>
    <row r="947" spans="1:15" x14ac:dyDescent="0.25">
      <c r="A947">
        <v>946</v>
      </c>
      <c r="B947" s="1" t="s">
        <v>43</v>
      </c>
      <c r="C947" s="1">
        <f>car_price_prediction_[[#This Row],[Year2]]</f>
        <v>2022</v>
      </c>
      <c r="D947">
        <v>2022</v>
      </c>
      <c r="E947">
        <f>car_price_prediction_[[#This Row],[Engine Size]]/10</f>
        <v>2</v>
      </c>
      <c r="F947">
        <v>20</v>
      </c>
      <c r="G947" s="1" t="s">
        <v>11</v>
      </c>
      <c r="H947" s="1" t="s">
        <v>22</v>
      </c>
      <c r="I947" s="12">
        <f>car_price_prediction_[[#This Row],[Mileage]]/1000</f>
        <v>166</v>
      </c>
      <c r="J947" s="5">
        <v>166000</v>
      </c>
      <c r="K947" s="1" t="s">
        <v>13</v>
      </c>
      <c r="L947" s="5">
        <f>car_price_prediction_[[#This Row],[Price]]/100</f>
        <v>17032.55</v>
      </c>
      <c r="M947">
        <v>1703255</v>
      </c>
      <c r="N947" s="1" t="s">
        <v>52</v>
      </c>
      <c r="O947" s="1">
        <f>IF(IFERROR(VLOOKUP(car_price_prediction_[[#This Row],[Car ID]],A948:A3447,1,FALSE),0),1,0)</f>
        <v>0</v>
      </c>
    </row>
    <row r="948" spans="1:15" x14ac:dyDescent="0.25">
      <c r="A948">
        <v>947</v>
      </c>
      <c r="B948" s="1" t="s">
        <v>43</v>
      </c>
      <c r="C948" s="1">
        <f>car_price_prediction_[[#This Row],[Year2]]</f>
        <v>2000</v>
      </c>
      <c r="D948">
        <v>2000</v>
      </c>
      <c r="E948">
        <f>car_price_prediction_[[#This Row],[Engine Size]]/10</f>
        <v>4.2</v>
      </c>
      <c r="F948">
        <v>42</v>
      </c>
      <c r="G948" s="1" t="s">
        <v>29</v>
      </c>
      <c r="H948" s="1" t="s">
        <v>22</v>
      </c>
      <c r="I948" s="12">
        <f>car_price_prediction_[[#This Row],[Mileage]]/1000</f>
        <v>184.68100000000001</v>
      </c>
      <c r="J948" s="5">
        <v>184681</v>
      </c>
      <c r="K948" s="1" t="s">
        <v>17</v>
      </c>
      <c r="L948" s="5">
        <f>car_price_prediction_[[#This Row],[Price]]/100</f>
        <v>37912.870000000003</v>
      </c>
      <c r="M948">
        <v>3791287</v>
      </c>
      <c r="N948" s="1" t="s">
        <v>44</v>
      </c>
      <c r="O948" s="1">
        <f>IF(IFERROR(VLOOKUP(car_price_prediction_[[#This Row],[Car ID]],A949:A3448,1,FALSE),0),1,0)</f>
        <v>0</v>
      </c>
    </row>
    <row r="949" spans="1:15" x14ac:dyDescent="0.25">
      <c r="A949">
        <v>948</v>
      </c>
      <c r="B949" s="1" t="s">
        <v>30</v>
      </c>
      <c r="C949" s="1">
        <f>car_price_prediction_[[#This Row],[Year2]]</f>
        <v>2016</v>
      </c>
      <c r="D949">
        <v>2016</v>
      </c>
      <c r="E949">
        <f>car_price_prediction_[[#This Row],[Engine Size]]/10</f>
        <v>2.2999999999999998</v>
      </c>
      <c r="F949">
        <v>23</v>
      </c>
      <c r="G949" s="1" t="s">
        <v>16</v>
      </c>
      <c r="H949" s="1" t="s">
        <v>22</v>
      </c>
      <c r="I949" s="12">
        <f>car_price_prediction_[[#This Row],[Mileage]]/1000</f>
        <v>30.552</v>
      </c>
      <c r="J949" s="5">
        <v>30552</v>
      </c>
      <c r="K949" s="1" t="s">
        <v>17</v>
      </c>
      <c r="L949" s="5">
        <f>car_price_prediction_[[#This Row],[Price]]/100</f>
        <v>3721.23</v>
      </c>
      <c r="M949">
        <v>372123</v>
      </c>
      <c r="N949" s="1" t="s">
        <v>31</v>
      </c>
      <c r="O949" s="1">
        <f>IF(IFERROR(VLOOKUP(car_price_prediction_[[#This Row],[Car ID]],A950:A3449,1,FALSE),0),1,0)</f>
        <v>0</v>
      </c>
    </row>
    <row r="950" spans="1:15" x14ac:dyDescent="0.25">
      <c r="A950">
        <v>949</v>
      </c>
      <c r="B950" s="1" t="s">
        <v>15</v>
      </c>
      <c r="C950" s="1">
        <f>car_price_prediction_[[#This Row],[Year2]]</f>
        <v>2023</v>
      </c>
      <c r="D950">
        <v>2023</v>
      </c>
      <c r="E950">
        <f>car_price_prediction_[[#This Row],[Engine Size]]/10</f>
        <v>5.4</v>
      </c>
      <c r="F950">
        <v>54</v>
      </c>
      <c r="G950" s="1" t="s">
        <v>29</v>
      </c>
      <c r="H950" s="1" t="s">
        <v>12</v>
      </c>
      <c r="I950" s="12">
        <f>car_price_prediction_[[#This Row],[Mileage]]/1000</f>
        <v>147.27799999999999</v>
      </c>
      <c r="J950" s="5">
        <v>147278</v>
      </c>
      <c r="K950" s="1" t="s">
        <v>17</v>
      </c>
      <c r="L950" s="5">
        <f>car_price_prediction_[[#This Row],[Price]]/100</f>
        <v>58735.06</v>
      </c>
      <c r="M950">
        <v>5873506</v>
      </c>
      <c r="N950" s="1" t="s">
        <v>35</v>
      </c>
      <c r="O950" s="1">
        <f>IF(IFERROR(VLOOKUP(car_price_prediction_[[#This Row],[Car ID]],A951:A3450,1,FALSE),0),1,0)</f>
        <v>0</v>
      </c>
    </row>
    <row r="951" spans="1:15" x14ac:dyDescent="0.25">
      <c r="A951">
        <v>950</v>
      </c>
      <c r="B951" s="1" t="s">
        <v>10</v>
      </c>
      <c r="C951" s="1">
        <f>car_price_prediction_[[#This Row],[Year2]]</f>
        <v>2001</v>
      </c>
      <c r="D951">
        <v>2001</v>
      </c>
      <c r="E951">
        <f>car_price_prediction_[[#This Row],[Engine Size]]/10</f>
        <v>5.5</v>
      </c>
      <c r="F951">
        <v>55</v>
      </c>
      <c r="G951" s="1" t="s">
        <v>16</v>
      </c>
      <c r="H951" s="1" t="s">
        <v>12</v>
      </c>
      <c r="I951" s="12">
        <f>car_price_prediction_[[#This Row],[Mileage]]/1000</f>
        <v>34.831000000000003</v>
      </c>
      <c r="J951" s="5">
        <v>34831</v>
      </c>
      <c r="K951" s="1" t="s">
        <v>17</v>
      </c>
      <c r="L951" s="5">
        <f>car_price_prediction_[[#This Row],[Price]]/100</f>
        <v>32688.55</v>
      </c>
      <c r="M951">
        <v>3268855</v>
      </c>
      <c r="N951" s="1" t="s">
        <v>23</v>
      </c>
      <c r="O951" s="1">
        <f>IF(IFERROR(VLOOKUP(car_price_prediction_[[#This Row],[Car ID]],A952:A3451,1,FALSE),0),1,0)</f>
        <v>0</v>
      </c>
    </row>
    <row r="952" spans="1:15" x14ac:dyDescent="0.25">
      <c r="A952">
        <v>951</v>
      </c>
      <c r="B952" s="1" t="s">
        <v>10</v>
      </c>
      <c r="C952" s="1">
        <f>car_price_prediction_[[#This Row],[Year2]]</f>
        <v>2010</v>
      </c>
      <c r="D952">
        <v>2010</v>
      </c>
      <c r="E952">
        <f>car_price_prediction_[[#This Row],[Engine Size]]/10</f>
        <v>2.5</v>
      </c>
      <c r="F952">
        <v>25</v>
      </c>
      <c r="G952" s="1" t="s">
        <v>29</v>
      </c>
      <c r="H952" s="1" t="s">
        <v>12</v>
      </c>
      <c r="I952" s="12">
        <f>car_price_prediction_[[#This Row],[Mileage]]/1000</f>
        <v>43.563000000000002</v>
      </c>
      <c r="J952" s="5">
        <v>43563</v>
      </c>
      <c r="K952" s="1" t="s">
        <v>25</v>
      </c>
      <c r="L952" s="5">
        <f>car_price_prediction_[[#This Row],[Price]]/100</f>
        <v>16140.82</v>
      </c>
      <c r="M952">
        <v>1614082</v>
      </c>
      <c r="N952" s="1" t="s">
        <v>23</v>
      </c>
      <c r="O952" s="1">
        <f>IF(IFERROR(VLOOKUP(car_price_prediction_[[#This Row],[Car ID]],A953:A3452,1,FALSE),0),1,0)</f>
        <v>0</v>
      </c>
    </row>
    <row r="953" spans="1:15" x14ac:dyDescent="0.25">
      <c r="A953">
        <v>952</v>
      </c>
      <c r="B953" s="1" t="s">
        <v>30</v>
      </c>
      <c r="C953" s="1">
        <f>car_price_prediction_[[#This Row],[Year2]]</f>
        <v>2008</v>
      </c>
      <c r="D953">
        <v>2008</v>
      </c>
      <c r="E953">
        <f>car_price_prediction_[[#This Row],[Engine Size]]/10</f>
        <v>2.1</v>
      </c>
      <c r="F953">
        <v>21</v>
      </c>
      <c r="G953" s="1" t="s">
        <v>21</v>
      </c>
      <c r="H953" s="1" t="s">
        <v>12</v>
      </c>
      <c r="I953" s="12">
        <f>car_price_prediction_[[#This Row],[Mileage]]/1000</f>
        <v>18.361000000000001</v>
      </c>
      <c r="J953" s="5">
        <v>18361</v>
      </c>
      <c r="K953" s="1" t="s">
        <v>13</v>
      </c>
      <c r="L953" s="5">
        <f>car_price_prediction_[[#This Row],[Price]]/100</f>
        <v>67099.850000000006</v>
      </c>
      <c r="M953">
        <v>6709985</v>
      </c>
      <c r="N953" s="1" t="s">
        <v>31</v>
      </c>
      <c r="O953" s="1">
        <f>IF(IFERROR(VLOOKUP(car_price_prediction_[[#This Row],[Car ID]],A954:A3453,1,FALSE),0),1,0)</f>
        <v>0</v>
      </c>
    </row>
    <row r="954" spans="1:15" x14ac:dyDescent="0.25">
      <c r="A954">
        <v>953</v>
      </c>
      <c r="B954" s="1" t="s">
        <v>30</v>
      </c>
      <c r="C954" s="1">
        <f>car_price_prediction_[[#This Row],[Year2]]</f>
        <v>2006</v>
      </c>
      <c r="D954">
        <v>2006</v>
      </c>
      <c r="E954">
        <f>car_price_prediction_[[#This Row],[Engine Size]]/10</f>
        <v>3.1</v>
      </c>
      <c r="F954">
        <v>31</v>
      </c>
      <c r="G954" s="1" t="s">
        <v>21</v>
      </c>
      <c r="H954" s="1" t="s">
        <v>22</v>
      </c>
      <c r="I954" s="12">
        <f>car_price_prediction_[[#This Row],[Mileage]]/1000</f>
        <v>74.468999999999994</v>
      </c>
      <c r="J954" s="5">
        <v>74469</v>
      </c>
      <c r="K954" s="1" t="s">
        <v>25</v>
      </c>
      <c r="L954" s="5">
        <f>car_price_prediction_[[#This Row],[Price]]/100</f>
        <v>85848.51</v>
      </c>
      <c r="M954">
        <v>8584851</v>
      </c>
      <c r="N954" s="1" t="s">
        <v>42</v>
      </c>
      <c r="O954" s="1">
        <f>IF(IFERROR(VLOOKUP(car_price_prediction_[[#This Row],[Car ID]],A955:A3454,1,FALSE),0),1,0)</f>
        <v>0</v>
      </c>
    </row>
    <row r="955" spans="1:15" x14ac:dyDescent="0.25">
      <c r="A955">
        <v>954</v>
      </c>
      <c r="B955" s="1" t="s">
        <v>30</v>
      </c>
      <c r="C955" s="1">
        <f>car_price_prediction_[[#This Row],[Year2]]</f>
        <v>2021</v>
      </c>
      <c r="D955">
        <v>2021</v>
      </c>
      <c r="E955">
        <f>car_price_prediction_[[#This Row],[Engine Size]]/10</f>
        <v>2.2000000000000002</v>
      </c>
      <c r="F955">
        <v>22</v>
      </c>
      <c r="G955" s="1" t="s">
        <v>11</v>
      </c>
      <c r="H955" s="1" t="s">
        <v>22</v>
      </c>
      <c r="I955" s="12">
        <f>car_price_prediction_[[#This Row],[Mileage]]/1000</f>
        <v>25.815999999999999</v>
      </c>
      <c r="J955" s="5">
        <v>25816</v>
      </c>
      <c r="K955" s="1" t="s">
        <v>17</v>
      </c>
      <c r="L955" s="5">
        <f>car_price_prediction_[[#This Row],[Price]]/100</f>
        <v>93502.77</v>
      </c>
      <c r="M955">
        <v>9350277</v>
      </c>
      <c r="N955" s="1" t="s">
        <v>48</v>
      </c>
      <c r="O955" s="1">
        <f>IF(IFERROR(VLOOKUP(car_price_prediction_[[#This Row],[Car ID]],A956:A3455,1,FALSE),0),1,0)</f>
        <v>0</v>
      </c>
    </row>
    <row r="956" spans="1:15" x14ac:dyDescent="0.25">
      <c r="A956">
        <v>955</v>
      </c>
      <c r="B956" s="1" t="s">
        <v>36</v>
      </c>
      <c r="C956" s="1">
        <f>car_price_prediction_[[#This Row],[Year2]]</f>
        <v>2016</v>
      </c>
      <c r="D956">
        <v>2016</v>
      </c>
      <c r="E956">
        <f>car_price_prediction_[[#This Row],[Engine Size]]/10</f>
        <v>4.4000000000000004</v>
      </c>
      <c r="F956">
        <v>44</v>
      </c>
      <c r="G956" s="1" t="s">
        <v>16</v>
      </c>
      <c r="H956" s="1" t="s">
        <v>22</v>
      </c>
      <c r="I956" s="12">
        <f>car_price_prediction_[[#This Row],[Mileage]]/1000</f>
        <v>257.42200000000003</v>
      </c>
      <c r="J956" s="5">
        <v>257422</v>
      </c>
      <c r="K956" s="1" t="s">
        <v>17</v>
      </c>
      <c r="L956" s="5">
        <f>car_price_prediction_[[#This Row],[Price]]/100</f>
        <v>97394.95</v>
      </c>
      <c r="M956">
        <v>9739495</v>
      </c>
      <c r="N956" s="1" t="s">
        <v>41</v>
      </c>
      <c r="O956" s="1">
        <f>IF(IFERROR(VLOOKUP(car_price_prediction_[[#This Row],[Car ID]],A957:A3456,1,FALSE),0),1,0)</f>
        <v>0</v>
      </c>
    </row>
    <row r="957" spans="1:15" x14ac:dyDescent="0.25">
      <c r="A957">
        <v>956</v>
      </c>
      <c r="B957" s="1" t="s">
        <v>36</v>
      </c>
      <c r="C957" s="1">
        <f>car_price_prediction_[[#This Row],[Year2]]</f>
        <v>2016</v>
      </c>
      <c r="D957">
        <v>2016</v>
      </c>
      <c r="E957">
        <f>car_price_prediction_[[#This Row],[Engine Size]]/10</f>
        <v>5.0999999999999996</v>
      </c>
      <c r="F957">
        <v>51</v>
      </c>
      <c r="G957" s="1" t="s">
        <v>11</v>
      </c>
      <c r="H957" s="1" t="s">
        <v>12</v>
      </c>
      <c r="I957" s="12">
        <f>car_price_prediction_[[#This Row],[Mileage]]/1000</f>
        <v>146.691</v>
      </c>
      <c r="J957" s="5">
        <v>146691</v>
      </c>
      <c r="K957" s="1" t="s">
        <v>13</v>
      </c>
      <c r="L957" s="5">
        <f>car_price_prediction_[[#This Row],[Price]]/100</f>
        <v>7920.61</v>
      </c>
      <c r="M957">
        <v>792061</v>
      </c>
      <c r="N957" s="1" t="s">
        <v>46</v>
      </c>
      <c r="O957" s="1">
        <f>IF(IFERROR(VLOOKUP(car_price_prediction_[[#This Row],[Car ID]],A958:A3457,1,FALSE),0),1,0)</f>
        <v>0</v>
      </c>
    </row>
    <row r="958" spans="1:15" x14ac:dyDescent="0.25">
      <c r="A958">
        <v>957</v>
      </c>
      <c r="B958" s="1" t="s">
        <v>24</v>
      </c>
      <c r="C958" s="1">
        <f>car_price_prediction_[[#This Row],[Year2]]</f>
        <v>2001</v>
      </c>
      <c r="D958">
        <v>2001</v>
      </c>
      <c r="E958">
        <f>car_price_prediction_[[#This Row],[Engine Size]]/10</f>
        <v>4.4000000000000004</v>
      </c>
      <c r="F958">
        <v>44</v>
      </c>
      <c r="G958" s="1" t="s">
        <v>21</v>
      </c>
      <c r="H958" s="1" t="s">
        <v>12</v>
      </c>
      <c r="I958" s="12">
        <f>car_price_prediction_[[#This Row],[Mileage]]/1000</f>
        <v>234.29499999999999</v>
      </c>
      <c r="J958" s="5">
        <v>234295</v>
      </c>
      <c r="K958" s="1" t="s">
        <v>13</v>
      </c>
      <c r="L958" s="5">
        <f>car_price_prediction_[[#This Row],[Price]]/100</f>
        <v>18271.73</v>
      </c>
      <c r="M958">
        <v>1827173</v>
      </c>
      <c r="N958" s="1" t="s">
        <v>53</v>
      </c>
      <c r="O958" s="1">
        <f>IF(IFERROR(VLOOKUP(car_price_prediction_[[#This Row],[Car ID]],A959:A3458,1,FALSE),0),1,0)</f>
        <v>0</v>
      </c>
    </row>
    <row r="959" spans="1:15" x14ac:dyDescent="0.25">
      <c r="A959">
        <v>958</v>
      </c>
      <c r="B959" s="1" t="s">
        <v>24</v>
      </c>
      <c r="C959" s="1">
        <f>car_price_prediction_[[#This Row],[Year2]]</f>
        <v>2005</v>
      </c>
      <c r="D959">
        <v>2005</v>
      </c>
      <c r="E959">
        <f>car_price_prediction_[[#This Row],[Engine Size]]/10</f>
        <v>5.0999999999999996</v>
      </c>
      <c r="F959">
        <v>51</v>
      </c>
      <c r="G959" s="1" t="s">
        <v>16</v>
      </c>
      <c r="H959" s="1" t="s">
        <v>12</v>
      </c>
      <c r="I959" s="12">
        <f>car_price_prediction_[[#This Row],[Mileage]]/1000</f>
        <v>92.478999999999999</v>
      </c>
      <c r="J959" s="5">
        <v>92479</v>
      </c>
      <c r="K959" s="1" t="s">
        <v>25</v>
      </c>
      <c r="L959" s="5">
        <f>car_price_prediction_[[#This Row],[Price]]/100</f>
        <v>86045.62</v>
      </c>
      <c r="M959">
        <v>8604562</v>
      </c>
      <c r="N959" s="1" t="s">
        <v>32</v>
      </c>
      <c r="O959" s="1">
        <f>IF(IFERROR(VLOOKUP(car_price_prediction_[[#This Row],[Car ID]],A960:A3459,1,FALSE),0),1,0)</f>
        <v>0</v>
      </c>
    </row>
    <row r="960" spans="1:15" x14ac:dyDescent="0.25">
      <c r="A960">
        <v>959</v>
      </c>
      <c r="B960" s="1" t="s">
        <v>30</v>
      </c>
      <c r="C960" s="1">
        <f>car_price_prediction_[[#This Row],[Year2]]</f>
        <v>2013</v>
      </c>
      <c r="D960">
        <v>2013</v>
      </c>
      <c r="E960">
        <f>car_price_prediction_[[#This Row],[Engine Size]]/10</f>
        <v>3</v>
      </c>
      <c r="F960">
        <v>30</v>
      </c>
      <c r="G960" s="1" t="s">
        <v>11</v>
      </c>
      <c r="H960" s="1" t="s">
        <v>22</v>
      </c>
      <c r="I960" s="12">
        <f>car_price_prediction_[[#This Row],[Mileage]]/1000</f>
        <v>26.818999999999999</v>
      </c>
      <c r="J960" s="5">
        <v>26819</v>
      </c>
      <c r="K960" s="1" t="s">
        <v>25</v>
      </c>
      <c r="L960" s="5">
        <f>car_price_prediction_[[#This Row],[Price]]/100</f>
        <v>42996.21</v>
      </c>
      <c r="M960">
        <v>4299621</v>
      </c>
      <c r="N960" s="1" t="s">
        <v>42</v>
      </c>
      <c r="O960" s="1">
        <f>IF(IFERROR(VLOOKUP(car_price_prediction_[[#This Row],[Car ID]],A961:A3460,1,FALSE),0),1,0)</f>
        <v>0</v>
      </c>
    </row>
    <row r="961" spans="1:15" x14ac:dyDescent="0.25">
      <c r="A961">
        <v>960</v>
      </c>
      <c r="B961" s="1" t="s">
        <v>15</v>
      </c>
      <c r="C961" s="1">
        <f>car_price_prediction_[[#This Row],[Year2]]</f>
        <v>2005</v>
      </c>
      <c r="D961">
        <v>2005</v>
      </c>
      <c r="E961">
        <f>car_price_prediction_[[#This Row],[Engine Size]]/10</f>
        <v>1.8</v>
      </c>
      <c r="F961">
        <v>18</v>
      </c>
      <c r="G961" s="1" t="s">
        <v>11</v>
      </c>
      <c r="H961" s="1" t="s">
        <v>12</v>
      </c>
      <c r="I961" s="12">
        <f>car_price_prediction_[[#This Row],[Mileage]]/1000</f>
        <v>8.798</v>
      </c>
      <c r="J961" s="5">
        <v>8798</v>
      </c>
      <c r="K961" s="1" t="s">
        <v>13</v>
      </c>
      <c r="L961" s="5">
        <f>car_price_prediction_[[#This Row],[Price]]/100</f>
        <v>74341.570000000007</v>
      </c>
      <c r="M961">
        <v>7434157</v>
      </c>
      <c r="N961" s="1" t="s">
        <v>18</v>
      </c>
      <c r="O961" s="1">
        <f>IF(IFERROR(VLOOKUP(car_price_prediction_[[#This Row],[Car ID]],A962:A3461,1,FALSE),0),1,0)</f>
        <v>0</v>
      </c>
    </row>
    <row r="962" spans="1:15" x14ac:dyDescent="0.25">
      <c r="A962">
        <v>961</v>
      </c>
      <c r="B962" s="1" t="s">
        <v>43</v>
      </c>
      <c r="C962" s="1">
        <f>car_price_prediction_[[#This Row],[Year2]]</f>
        <v>2001</v>
      </c>
      <c r="D962">
        <v>2001</v>
      </c>
      <c r="E962">
        <f>car_price_prediction_[[#This Row],[Engine Size]]/10</f>
        <v>4.7</v>
      </c>
      <c r="F962">
        <v>47</v>
      </c>
      <c r="G962" s="1" t="s">
        <v>11</v>
      </c>
      <c r="H962" s="1" t="s">
        <v>12</v>
      </c>
      <c r="I962" s="12">
        <f>car_price_prediction_[[#This Row],[Mileage]]/1000</f>
        <v>156.215</v>
      </c>
      <c r="J962" s="5">
        <v>156215</v>
      </c>
      <c r="K962" s="1" t="s">
        <v>25</v>
      </c>
      <c r="L962" s="5">
        <f>car_price_prediction_[[#This Row],[Price]]/100</f>
        <v>55470.46</v>
      </c>
      <c r="M962">
        <v>5547046</v>
      </c>
      <c r="N962" s="1" t="s">
        <v>52</v>
      </c>
      <c r="O962" s="1">
        <f>IF(IFERROR(VLOOKUP(car_price_prediction_[[#This Row],[Car ID]],A963:A3462,1,FALSE),0),1,0)</f>
        <v>0</v>
      </c>
    </row>
    <row r="963" spans="1:15" x14ac:dyDescent="0.25">
      <c r="A963">
        <v>962</v>
      </c>
      <c r="B963" s="1" t="s">
        <v>36</v>
      </c>
      <c r="C963" s="1">
        <f>car_price_prediction_[[#This Row],[Year2]]</f>
        <v>2000</v>
      </c>
      <c r="D963">
        <v>2000</v>
      </c>
      <c r="E963">
        <f>car_price_prediction_[[#This Row],[Engine Size]]/10</f>
        <v>2.8</v>
      </c>
      <c r="F963">
        <v>28</v>
      </c>
      <c r="G963" s="1" t="s">
        <v>11</v>
      </c>
      <c r="H963" s="1" t="s">
        <v>22</v>
      </c>
      <c r="I963" s="12">
        <f>car_price_prediction_[[#This Row],[Mileage]]/1000</f>
        <v>243.94200000000001</v>
      </c>
      <c r="J963" s="5">
        <v>243942</v>
      </c>
      <c r="K963" s="1" t="s">
        <v>17</v>
      </c>
      <c r="L963" s="5">
        <f>car_price_prediction_[[#This Row],[Price]]/100</f>
        <v>83717.58</v>
      </c>
      <c r="M963">
        <v>8371758</v>
      </c>
      <c r="N963" s="1" t="s">
        <v>46</v>
      </c>
      <c r="O963" s="1">
        <f>IF(IFERROR(VLOOKUP(car_price_prediction_[[#This Row],[Car ID]],A964:A3463,1,FALSE),0),1,0)</f>
        <v>0</v>
      </c>
    </row>
    <row r="964" spans="1:15" x14ac:dyDescent="0.25">
      <c r="A964">
        <v>963</v>
      </c>
      <c r="B964" s="1" t="s">
        <v>15</v>
      </c>
      <c r="C964" s="1">
        <f>car_price_prediction_[[#This Row],[Year2]]</f>
        <v>2009</v>
      </c>
      <c r="D964">
        <v>2009</v>
      </c>
      <c r="E964">
        <f>car_price_prediction_[[#This Row],[Engine Size]]/10</f>
        <v>4.4000000000000004</v>
      </c>
      <c r="F964">
        <v>44</v>
      </c>
      <c r="G964" s="1" t="s">
        <v>11</v>
      </c>
      <c r="H964" s="1" t="s">
        <v>22</v>
      </c>
      <c r="I964" s="12">
        <f>car_price_prediction_[[#This Row],[Mileage]]/1000</f>
        <v>230.25899999999999</v>
      </c>
      <c r="J964" s="5">
        <v>230259</v>
      </c>
      <c r="K964" s="1" t="s">
        <v>17</v>
      </c>
      <c r="L964" s="5">
        <f>car_price_prediction_[[#This Row],[Price]]/100</f>
        <v>45423.040000000001</v>
      </c>
      <c r="M964">
        <v>4542304</v>
      </c>
      <c r="N964" s="1" t="s">
        <v>18</v>
      </c>
      <c r="O964" s="1">
        <f>IF(IFERROR(VLOOKUP(car_price_prediction_[[#This Row],[Car ID]],A965:A3464,1,FALSE),0),1,0)</f>
        <v>0</v>
      </c>
    </row>
    <row r="965" spans="1:15" x14ac:dyDescent="0.25">
      <c r="A965">
        <v>964</v>
      </c>
      <c r="B965" s="1" t="s">
        <v>19</v>
      </c>
      <c r="C965" s="1">
        <f>car_price_prediction_[[#This Row],[Year2]]</f>
        <v>2020</v>
      </c>
      <c r="D965">
        <v>2020</v>
      </c>
      <c r="E965">
        <f>car_price_prediction_[[#This Row],[Engine Size]]/10</f>
        <v>2.4</v>
      </c>
      <c r="F965">
        <v>24</v>
      </c>
      <c r="G965" s="1" t="s">
        <v>16</v>
      </c>
      <c r="H965" s="1" t="s">
        <v>12</v>
      </c>
      <c r="I965" s="12">
        <f>car_price_prediction_[[#This Row],[Mileage]]/1000</f>
        <v>129.54400000000001</v>
      </c>
      <c r="J965" s="5">
        <v>129544</v>
      </c>
      <c r="K965" s="1" t="s">
        <v>13</v>
      </c>
      <c r="L965" s="5">
        <f>car_price_prediction_[[#This Row],[Price]]/100</f>
        <v>10870.41</v>
      </c>
      <c r="M965">
        <v>1087041</v>
      </c>
      <c r="N965" s="1" t="s">
        <v>28</v>
      </c>
      <c r="O965" s="1">
        <f>IF(IFERROR(VLOOKUP(car_price_prediction_[[#This Row],[Car ID]],A966:A3465,1,FALSE),0),1,0)</f>
        <v>0</v>
      </c>
    </row>
    <row r="966" spans="1:15" x14ac:dyDescent="0.25">
      <c r="A966">
        <v>965</v>
      </c>
      <c r="B966" s="1" t="s">
        <v>36</v>
      </c>
      <c r="C966" s="1">
        <f>car_price_prediction_[[#This Row],[Year2]]</f>
        <v>2004</v>
      </c>
      <c r="D966">
        <v>2004</v>
      </c>
      <c r="E966">
        <f>car_price_prediction_[[#This Row],[Engine Size]]/10</f>
        <v>1.4</v>
      </c>
      <c r="F966">
        <v>14</v>
      </c>
      <c r="G966" s="1" t="s">
        <v>11</v>
      </c>
      <c r="H966" s="1" t="s">
        <v>22</v>
      </c>
      <c r="I966" s="12">
        <f>car_price_prediction_[[#This Row],[Mileage]]/1000</f>
        <v>152.25399999999999</v>
      </c>
      <c r="J966" s="5">
        <v>152254</v>
      </c>
      <c r="K966" s="1" t="s">
        <v>25</v>
      </c>
      <c r="L966" s="5">
        <f>car_price_prediction_[[#This Row],[Price]]/100</f>
        <v>57898.25</v>
      </c>
      <c r="M966">
        <v>5789825</v>
      </c>
      <c r="N966" s="1" t="s">
        <v>37</v>
      </c>
      <c r="O966" s="1">
        <f>IF(IFERROR(VLOOKUP(car_price_prediction_[[#This Row],[Car ID]],A967:A3466,1,FALSE),0),1,0)</f>
        <v>0</v>
      </c>
    </row>
    <row r="967" spans="1:15" x14ac:dyDescent="0.25">
      <c r="A967">
        <v>966</v>
      </c>
      <c r="B967" s="1" t="s">
        <v>36</v>
      </c>
      <c r="C967" s="1">
        <f>car_price_prediction_[[#This Row],[Year2]]</f>
        <v>2001</v>
      </c>
      <c r="D967">
        <v>2001</v>
      </c>
      <c r="E967">
        <f>car_price_prediction_[[#This Row],[Engine Size]]/10</f>
        <v>6</v>
      </c>
      <c r="F967">
        <v>60</v>
      </c>
      <c r="G967" s="1" t="s">
        <v>16</v>
      </c>
      <c r="H967" s="1" t="s">
        <v>12</v>
      </c>
      <c r="I967" s="12">
        <f>car_price_prediction_[[#This Row],[Mileage]]/1000</f>
        <v>253.8</v>
      </c>
      <c r="J967" s="5">
        <v>253800</v>
      </c>
      <c r="K967" s="1" t="s">
        <v>17</v>
      </c>
      <c r="L967" s="5">
        <f>car_price_prediction_[[#This Row],[Price]]/100</f>
        <v>2127.2600000000002</v>
      </c>
      <c r="M967">
        <v>212726</v>
      </c>
      <c r="N967" s="1" t="s">
        <v>40</v>
      </c>
      <c r="O967" s="1">
        <f>IF(IFERROR(VLOOKUP(car_price_prediction_[[#This Row],[Car ID]],A968:A3467,1,FALSE),0),1,0)</f>
        <v>0</v>
      </c>
    </row>
    <row r="968" spans="1:15" x14ac:dyDescent="0.25">
      <c r="A968">
        <v>967</v>
      </c>
      <c r="B968" s="1" t="s">
        <v>24</v>
      </c>
      <c r="C968" s="1">
        <f>car_price_prediction_[[#This Row],[Year2]]</f>
        <v>2021</v>
      </c>
      <c r="D968">
        <v>2021</v>
      </c>
      <c r="E968">
        <f>car_price_prediction_[[#This Row],[Engine Size]]/10</f>
        <v>1.8</v>
      </c>
      <c r="F968">
        <v>18</v>
      </c>
      <c r="G968" s="1" t="s">
        <v>11</v>
      </c>
      <c r="H968" s="1" t="s">
        <v>22</v>
      </c>
      <c r="I968" s="12">
        <f>car_price_prediction_[[#This Row],[Mileage]]/1000</f>
        <v>9.4149999999999991</v>
      </c>
      <c r="J968" s="5">
        <v>9415</v>
      </c>
      <c r="K968" s="1" t="s">
        <v>13</v>
      </c>
      <c r="L968" s="5">
        <f>car_price_prediction_[[#This Row],[Price]]/100</f>
        <v>96724.18</v>
      </c>
      <c r="M968">
        <v>9672418</v>
      </c>
      <c r="N968" s="1" t="s">
        <v>53</v>
      </c>
      <c r="O968" s="1">
        <f>IF(IFERROR(VLOOKUP(car_price_prediction_[[#This Row],[Car ID]],A969:A3468,1,FALSE),0),1,0)</f>
        <v>0</v>
      </c>
    </row>
    <row r="969" spans="1:15" x14ac:dyDescent="0.25">
      <c r="A969">
        <v>968</v>
      </c>
      <c r="B969" s="1" t="s">
        <v>43</v>
      </c>
      <c r="C969" s="1">
        <f>car_price_prediction_[[#This Row],[Year2]]</f>
        <v>2015</v>
      </c>
      <c r="D969">
        <v>2015</v>
      </c>
      <c r="E969">
        <f>car_price_prediction_[[#This Row],[Engine Size]]/10</f>
        <v>5.9</v>
      </c>
      <c r="F969">
        <v>59</v>
      </c>
      <c r="G969" s="1" t="s">
        <v>21</v>
      </c>
      <c r="H969" s="1" t="s">
        <v>22</v>
      </c>
      <c r="I969" s="12">
        <f>car_price_prediction_[[#This Row],[Mileage]]/1000</f>
        <v>87.638000000000005</v>
      </c>
      <c r="J969" s="5">
        <v>87638</v>
      </c>
      <c r="K969" s="1" t="s">
        <v>25</v>
      </c>
      <c r="L969" s="5">
        <f>car_price_prediction_[[#This Row],[Price]]/100</f>
        <v>55061.49</v>
      </c>
      <c r="M969">
        <v>5506149</v>
      </c>
      <c r="N969" s="1" t="s">
        <v>44</v>
      </c>
      <c r="O969" s="1">
        <f>IF(IFERROR(VLOOKUP(car_price_prediction_[[#This Row],[Car ID]],A970:A3469,1,FALSE),0),1,0)</f>
        <v>0</v>
      </c>
    </row>
    <row r="970" spans="1:15" x14ac:dyDescent="0.25">
      <c r="A970">
        <v>969</v>
      </c>
      <c r="B970" s="1" t="s">
        <v>43</v>
      </c>
      <c r="C970" s="1">
        <f>car_price_prediction_[[#This Row],[Year2]]</f>
        <v>2001</v>
      </c>
      <c r="D970">
        <v>2001</v>
      </c>
      <c r="E970">
        <f>car_price_prediction_[[#This Row],[Engine Size]]/10</f>
        <v>5.9</v>
      </c>
      <c r="F970">
        <v>59</v>
      </c>
      <c r="G970" s="1" t="s">
        <v>21</v>
      </c>
      <c r="H970" s="1" t="s">
        <v>22</v>
      </c>
      <c r="I970" s="12">
        <f>car_price_prediction_[[#This Row],[Mileage]]/1000</f>
        <v>18.452000000000002</v>
      </c>
      <c r="J970" s="5">
        <v>18452</v>
      </c>
      <c r="K970" s="1" t="s">
        <v>17</v>
      </c>
      <c r="L970" s="5">
        <f>car_price_prediction_[[#This Row],[Price]]/100</f>
        <v>57588.09</v>
      </c>
      <c r="M970">
        <v>5758809</v>
      </c>
      <c r="N970" s="1" t="s">
        <v>52</v>
      </c>
      <c r="O970" s="1">
        <f>IF(IFERROR(VLOOKUP(car_price_prediction_[[#This Row],[Car ID]],A971:A3470,1,FALSE),0),1,0)</f>
        <v>0</v>
      </c>
    </row>
    <row r="971" spans="1:15" x14ac:dyDescent="0.25">
      <c r="A971">
        <v>970</v>
      </c>
      <c r="B971" s="1" t="s">
        <v>10</v>
      </c>
      <c r="C971" s="1">
        <f>car_price_prediction_[[#This Row],[Year2]]</f>
        <v>2009</v>
      </c>
      <c r="D971">
        <v>2009</v>
      </c>
      <c r="E971">
        <f>car_price_prediction_[[#This Row],[Engine Size]]/10</f>
        <v>5</v>
      </c>
      <c r="F971">
        <v>50</v>
      </c>
      <c r="G971" s="1" t="s">
        <v>11</v>
      </c>
      <c r="H971" s="1" t="s">
        <v>12</v>
      </c>
      <c r="I971" s="12">
        <f>car_price_prediction_[[#This Row],[Mileage]]/1000</f>
        <v>195.45699999999999</v>
      </c>
      <c r="J971" s="5">
        <v>195457</v>
      </c>
      <c r="K971" s="1" t="s">
        <v>25</v>
      </c>
      <c r="L971" s="5">
        <f>car_price_prediction_[[#This Row],[Price]]/100</f>
        <v>91190.24</v>
      </c>
      <c r="M971">
        <v>9119024</v>
      </c>
      <c r="N971" s="1" t="s">
        <v>23</v>
      </c>
      <c r="O971" s="1">
        <f>IF(IFERROR(VLOOKUP(car_price_prediction_[[#This Row],[Car ID]],A972:A3471,1,FALSE),0),1,0)</f>
        <v>0</v>
      </c>
    </row>
    <row r="972" spans="1:15" x14ac:dyDescent="0.25">
      <c r="A972">
        <v>971</v>
      </c>
      <c r="B972" s="1" t="s">
        <v>10</v>
      </c>
      <c r="C972" s="1">
        <f>car_price_prediction_[[#This Row],[Year2]]</f>
        <v>2001</v>
      </c>
      <c r="D972">
        <v>2001</v>
      </c>
      <c r="E972">
        <f>car_price_prediction_[[#This Row],[Engine Size]]/10</f>
        <v>4.3</v>
      </c>
      <c r="F972">
        <v>43</v>
      </c>
      <c r="G972" s="1" t="s">
        <v>29</v>
      </c>
      <c r="H972" s="1" t="s">
        <v>12</v>
      </c>
      <c r="I972" s="12">
        <f>car_price_prediction_[[#This Row],[Mileage]]/1000</f>
        <v>110.205</v>
      </c>
      <c r="J972" s="5">
        <v>110205</v>
      </c>
      <c r="K972" s="1" t="s">
        <v>25</v>
      </c>
      <c r="L972" s="5">
        <f>car_price_prediction_[[#This Row],[Price]]/100</f>
        <v>6433.56</v>
      </c>
      <c r="M972">
        <v>643356</v>
      </c>
      <c r="N972" s="1" t="s">
        <v>23</v>
      </c>
      <c r="O972" s="1">
        <f>IF(IFERROR(VLOOKUP(car_price_prediction_[[#This Row],[Car ID]],A973:A3472,1,FALSE),0),1,0)</f>
        <v>0</v>
      </c>
    </row>
    <row r="973" spans="1:15" x14ac:dyDescent="0.25">
      <c r="A973">
        <v>972</v>
      </c>
      <c r="B973" s="1" t="s">
        <v>10</v>
      </c>
      <c r="C973" s="1">
        <f>car_price_prediction_[[#This Row],[Year2]]</f>
        <v>2015</v>
      </c>
      <c r="D973">
        <v>2015</v>
      </c>
      <c r="E973">
        <f>car_price_prediction_[[#This Row],[Engine Size]]/10</f>
        <v>3.9</v>
      </c>
      <c r="F973">
        <v>39</v>
      </c>
      <c r="G973" s="1" t="s">
        <v>21</v>
      </c>
      <c r="H973" s="1" t="s">
        <v>12</v>
      </c>
      <c r="I973" s="12">
        <f>car_price_prediction_[[#This Row],[Mileage]]/1000</f>
        <v>18.170000000000002</v>
      </c>
      <c r="J973" s="5">
        <v>18170</v>
      </c>
      <c r="K973" s="1" t="s">
        <v>25</v>
      </c>
      <c r="L973" s="5">
        <f>car_price_prediction_[[#This Row],[Price]]/100</f>
        <v>33759.29</v>
      </c>
      <c r="M973">
        <v>3375929</v>
      </c>
      <c r="N973" s="1" t="s">
        <v>33</v>
      </c>
      <c r="O973" s="1">
        <f>IF(IFERROR(VLOOKUP(car_price_prediction_[[#This Row],[Car ID]],A974:A3473,1,FALSE),0),1,0)</f>
        <v>0</v>
      </c>
    </row>
    <row r="974" spans="1:15" x14ac:dyDescent="0.25">
      <c r="A974">
        <v>973</v>
      </c>
      <c r="B974" s="1" t="s">
        <v>10</v>
      </c>
      <c r="C974" s="1">
        <f>car_price_prediction_[[#This Row],[Year2]]</f>
        <v>2015</v>
      </c>
      <c r="D974">
        <v>2015</v>
      </c>
      <c r="E974">
        <f>car_price_prediction_[[#This Row],[Engine Size]]/10</f>
        <v>5.3</v>
      </c>
      <c r="F974">
        <v>53</v>
      </c>
      <c r="G974" s="1" t="s">
        <v>16</v>
      </c>
      <c r="H974" s="1" t="s">
        <v>22</v>
      </c>
      <c r="I974" s="12">
        <f>car_price_prediction_[[#This Row],[Mileage]]/1000</f>
        <v>16.259</v>
      </c>
      <c r="J974" s="5">
        <v>16259</v>
      </c>
      <c r="K974" s="1" t="s">
        <v>13</v>
      </c>
      <c r="L974" s="5">
        <f>car_price_prediction_[[#This Row],[Price]]/100</f>
        <v>33128.99</v>
      </c>
      <c r="M974">
        <v>3312899</v>
      </c>
      <c r="N974" s="1" t="s">
        <v>23</v>
      </c>
      <c r="O974" s="1">
        <f>IF(IFERROR(VLOOKUP(car_price_prediction_[[#This Row],[Car ID]],A975:A3474,1,FALSE),0),1,0)</f>
        <v>0</v>
      </c>
    </row>
    <row r="975" spans="1:15" x14ac:dyDescent="0.25">
      <c r="A975">
        <v>974</v>
      </c>
      <c r="B975" s="1" t="s">
        <v>19</v>
      </c>
      <c r="C975" s="1">
        <f>car_price_prediction_[[#This Row],[Year2]]</f>
        <v>2018</v>
      </c>
      <c r="D975">
        <v>2018</v>
      </c>
      <c r="E975">
        <f>car_price_prediction_[[#This Row],[Engine Size]]/10</f>
        <v>2.4</v>
      </c>
      <c r="F975">
        <v>24</v>
      </c>
      <c r="G975" s="1" t="s">
        <v>11</v>
      </c>
      <c r="H975" s="1" t="s">
        <v>22</v>
      </c>
      <c r="I975" s="12">
        <f>car_price_prediction_[[#This Row],[Mileage]]/1000</f>
        <v>284.24299999999999</v>
      </c>
      <c r="J975" s="5">
        <v>284243</v>
      </c>
      <c r="K975" s="1" t="s">
        <v>17</v>
      </c>
      <c r="L975" s="5">
        <f>car_price_prediction_[[#This Row],[Price]]/100</f>
        <v>52649.97</v>
      </c>
      <c r="M975">
        <v>5264997</v>
      </c>
      <c r="N975" s="1" t="s">
        <v>28</v>
      </c>
      <c r="O975" s="1">
        <f>IF(IFERROR(VLOOKUP(car_price_prediction_[[#This Row],[Car ID]],A976:A3475,1,FALSE),0),1,0)</f>
        <v>0</v>
      </c>
    </row>
    <row r="976" spans="1:15" x14ac:dyDescent="0.25">
      <c r="A976">
        <v>975</v>
      </c>
      <c r="B976" s="1" t="s">
        <v>19</v>
      </c>
      <c r="C976" s="1">
        <f>car_price_prediction_[[#This Row],[Year2]]</f>
        <v>2006</v>
      </c>
      <c r="D976">
        <v>2006</v>
      </c>
      <c r="E976">
        <f>car_price_prediction_[[#This Row],[Engine Size]]/10</f>
        <v>3.3</v>
      </c>
      <c r="F976">
        <v>33</v>
      </c>
      <c r="G976" s="1" t="s">
        <v>16</v>
      </c>
      <c r="H976" s="1" t="s">
        <v>22</v>
      </c>
      <c r="I976" s="12">
        <f>car_price_prediction_[[#This Row],[Mileage]]/1000</f>
        <v>140.721</v>
      </c>
      <c r="J976" s="5">
        <v>140721</v>
      </c>
      <c r="K976" s="1" t="s">
        <v>13</v>
      </c>
      <c r="L976" s="5">
        <f>car_price_prediction_[[#This Row],[Price]]/100</f>
        <v>87327.78</v>
      </c>
      <c r="M976">
        <v>8732778</v>
      </c>
      <c r="N976" s="1" t="s">
        <v>20</v>
      </c>
      <c r="O976" s="1">
        <f>IF(IFERROR(VLOOKUP(car_price_prediction_[[#This Row],[Car ID]],A977:A3476,1,FALSE),0),1,0)</f>
        <v>0</v>
      </c>
    </row>
    <row r="977" spans="1:15" x14ac:dyDescent="0.25">
      <c r="A977">
        <v>976</v>
      </c>
      <c r="B977" s="1" t="s">
        <v>36</v>
      </c>
      <c r="C977" s="1">
        <f>car_price_prediction_[[#This Row],[Year2]]</f>
        <v>2021</v>
      </c>
      <c r="D977">
        <v>2021</v>
      </c>
      <c r="E977">
        <f>car_price_prediction_[[#This Row],[Engine Size]]/10</f>
        <v>4.0999999999999996</v>
      </c>
      <c r="F977">
        <v>41</v>
      </c>
      <c r="G977" s="1" t="s">
        <v>29</v>
      </c>
      <c r="H977" s="1" t="s">
        <v>22</v>
      </c>
      <c r="I977" s="12">
        <f>car_price_prediction_[[#This Row],[Mileage]]/1000</f>
        <v>129.39400000000001</v>
      </c>
      <c r="J977" s="5">
        <v>129394</v>
      </c>
      <c r="K977" s="1" t="s">
        <v>17</v>
      </c>
      <c r="L977" s="5">
        <f>car_price_prediction_[[#This Row],[Price]]/100</f>
        <v>80499.289999999994</v>
      </c>
      <c r="M977">
        <v>8049929</v>
      </c>
      <c r="N977" s="1" t="s">
        <v>37</v>
      </c>
      <c r="O977" s="1">
        <f>IF(IFERROR(VLOOKUP(car_price_prediction_[[#This Row],[Car ID]],A978:A3477,1,FALSE),0),1,0)</f>
        <v>0</v>
      </c>
    </row>
    <row r="978" spans="1:15" x14ac:dyDescent="0.25">
      <c r="A978">
        <v>977</v>
      </c>
      <c r="B978" s="1" t="s">
        <v>30</v>
      </c>
      <c r="C978" s="1">
        <f>car_price_prediction_[[#This Row],[Year2]]</f>
        <v>2011</v>
      </c>
      <c r="D978">
        <v>2011</v>
      </c>
      <c r="E978">
        <f>car_price_prediction_[[#This Row],[Engine Size]]/10</f>
        <v>3.1</v>
      </c>
      <c r="F978">
        <v>31</v>
      </c>
      <c r="G978" s="1" t="s">
        <v>11</v>
      </c>
      <c r="H978" s="1" t="s">
        <v>12</v>
      </c>
      <c r="I978" s="12">
        <f>car_price_prediction_[[#This Row],[Mileage]]/1000</f>
        <v>172.10900000000001</v>
      </c>
      <c r="J978" s="5">
        <v>172109</v>
      </c>
      <c r="K978" s="1" t="s">
        <v>17</v>
      </c>
      <c r="L978" s="5">
        <f>car_price_prediction_[[#This Row],[Price]]/100</f>
        <v>96460.36</v>
      </c>
      <c r="M978">
        <v>9646036</v>
      </c>
      <c r="N978" s="1" t="s">
        <v>48</v>
      </c>
      <c r="O978" s="1">
        <f>IF(IFERROR(VLOOKUP(car_price_prediction_[[#This Row],[Car ID]],A979:A3478,1,FALSE),0),1,0)</f>
        <v>0</v>
      </c>
    </row>
    <row r="979" spans="1:15" x14ac:dyDescent="0.25">
      <c r="A979">
        <v>978</v>
      </c>
      <c r="B979" s="1" t="s">
        <v>24</v>
      </c>
      <c r="C979" s="1">
        <f>car_price_prediction_[[#This Row],[Year2]]</f>
        <v>2023</v>
      </c>
      <c r="D979">
        <v>2023</v>
      </c>
      <c r="E979">
        <f>car_price_prediction_[[#This Row],[Engine Size]]/10</f>
        <v>3.1</v>
      </c>
      <c r="F979">
        <v>31</v>
      </c>
      <c r="G979" s="1" t="s">
        <v>21</v>
      </c>
      <c r="H979" s="1" t="s">
        <v>12</v>
      </c>
      <c r="I979" s="12">
        <f>car_price_prediction_[[#This Row],[Mileage]]/1000</f>
        <v>273.94900000000001</v>
      </c>
      <c r="J979" s="5">
        <v>273949</v>
      </c>
      <c r="K979" s="1" t="s">
        <v>13</v>
      </c>
      <c r="L979" s="5">
        <f>car_price_prediction_[[#This Row],[Price]]/100</f>
        <v>11829.18</v>
      </c>
      <c r="M979">
        <v>1182918</v>
      </c>
      <c r="N979" s="1" t="s">
        <v>53</v>
      </c>
      <c r="O979" s="1">
        <f>IF(IFERROR(VLOOKUP(car_price_prediction_[[#This Row],[Car ID]],A980:A3479,1,FALSE),0),1,0)</f>
        <v>0</v>
      </c>
    </row>
    <row r="980" spans="1:15" x14ac:dyDescent="0.25">
      <c r="A980">
        <v>979</v>
      </c>
      <c r="B980" s="1" t="s">
        <v>24</v>
      </c>
      <c r="C980" s="1">
        <f>car_price_prediction_[[#This Row],[Year2]]</f>
        <v>2014</v>
      </c>
      <c r="D980">
        <v>2014</v>
      </c>
      <c r="E980">
        <f>car_price_prediction_[[#This Row],[Engine Size]]/10</f>
        <v>2.7</v>
      </c>
      <c r="F980">
        <v>27</v>
      </c>
      <c r="G980" s="1" t="s">
        <v>16</v>
      </c>
      <c r="H980" s="1" t="s">
        <v>12</v>
      </c>
      <c r="I980" s="12">
        <f>car_price_prediction_[[#This Row],[Mileage]]/1000</f>
        <v>254.59899999999999</v>
      </c>
      <c r="J980" s="5">
        <v>254599</v>
      </c>
      <c r="K980" s="1" t="s">
        <v>13</v>
      </c>
      <c r="L980" s="5">
        <f>car_price_prediction_[[#This Row],[Price]]/100</f>
        <v>30490.98</v>
      </c>
      <c r="M980">
        <v>3049098</v>
      </c>
      <c r="N980" s="1" t="s">
        <v>53</v>
      </c>
      <c r="O980" s="1">
        <f>IF(IFERROR(VLOOKUP(car_price_prediction_[[#This Row],[Car ID]],A981:A3480,1,FALSE),0),1,0)</f>
        <v>0</v>
      </c>
    </row>
    <row r="981" spans="1:15" x14ac:dyDescent="0.25">
      <c r="A981">
        <v>980</v>
      </c>
      <c r="B981" s="1" t="s">
        <v>10</v>
      </c>
      <c r="C981" s="1">
        <f>car_price_prediction_[[#This Row],[Year2]]</f>
        <v>2007</v>
      </c>
      <c r="D981">
        <v>2007</v>
      </c>
      <c r="E981">
        <f>car_price_prediction_[[#This Row],[Engine Size]]/10</f>
        <v>3.8</v>
      </c>
      <c r="F981">
        <v>38</v>
      </c>
      <c r="G981" s="1" t="s">
        <v>21</v>
      </c>
      <c r="H981" s="1" t="s">
        <v>22</v>
      </c>
      <c r="I981" s="12">
        <f>car_price_prediction_[[#This Row],[Mileage]]/1000</f>
        <v>43.146999999999998</v>
      </c>
      <c r="J981" s="5">
        <v>43147</v>
      </c>
      <c r="K981" s="1" t="s">
        <v>17</v>
      </c>
      <c r="L981" s="5">
        <f>car_price_prediction_[[#This Row],[Price]]/100</f>
        <v>12619.73</v>
      </c>
      <c r="M981">
        <v>1261973</v>
      </c>
      <c r="N981" s="1" t="s">
        <v>49</v>
      </c>
      <c r="O981" s="1">
        <f>IF(IFERROR(VLOOKUP(car_price_prediction_[[#This Row],[Car ID]],A982:A3481,1,FALSE),0),1,0)</f>
        <v>0</v>
      </c>
    </row>
    <row r="982" spans="1:15" x14ac:dyDescent="0.25">
      <c r="A982">
        <v>981</v>
      </c>
      <c r="B982" s="1" t="s">
        <v>36</v>
      </c>
      <c r="C982" s="1">
        <f>car_price_prediction_[[#This Row],[Year2]]</f>
        <v>2005</v>
      </c>
      <c r="D982">
        <v>2005</v>
      </c>
      <c r="E982">
        <f>car_price_prediction_[[#This Row],[Engine Size]]/10</f>
        <v>5.3</v>
      </c>
      <c r="F982">
        <v>53</v>
      </c>
      <c r="G982" s="1" t="s">
        <v>21</v>
      </c>
      <c r="H982" s="1" t="s">
        <v>22</v>
      </c>
      <c r="I982" s="12">
        <f>car_price_prediction_[[#This Row],[Mileage]]/1000</f>
        <v>74.28</v>
      </c>
      <c r="J982" s="5">
        <v>74280</v>
      </c>
      <c r="K982" s="1" t="s">
        <v>17</v>
      </c>
      <c r="L982" s="5">
        <f>car_price_prediction_[[#This Row],[Price]]/100</f>
        <v>76352.52</v>
      </c>
      <c r="M982">
        <v>7635252</v>
      </c>
      <c r="N982" s="1" t="s">
        <v>40</v>
      </c>
      <c r="O982" s="1">
        <f>IF(IFERROR(VLOOKUP(car_price_prediction_[[#This Row],[Car ID]],A983:A3482,1,FALSE),0),1,0)</f>
        <v>0</v>
      </c>
    </row>
    <row r="983" spans="1:15" x14ac:dyDescent="0.25">
      <c r="A983">
        <v>982</v>
      </c>
      <c r="B983" s="1" t="s">
        <v>15</v>
      </c>
      <c r="C983" s="1">
        <f>car_price_prediction_[[#This Row],[Year2]]</f>
        <v>2009</v>
      </c>
      <c r="D983">
        <v>2009</v>
      </c>
      <c r="E983">
        <f>car_price_prediction_[[#This Row],[Engine Size]]/10</f>
        <v>2</v>
      </c>
      <c r="F983">
        <v>20</v>
      </c>
      <c r="G983" s="1" t="s">
        <v>11</v>
      </c>
      <c r="H983" s="1" t="s">
        <v>12</v>
      </c>
      <c r="I983" s="12">
        <f>car_price_prediction_[[#This Row],[Mileage]]/1000</f>
        <v>177.125</v>
      </c>
      <c r="J983" s="5">
        <v>177125</v>
      </c>
      <c r="K983" s="1" t="s">
        <v>17</v>
      </c>
      <c r="L983" s="5">
        <f>car_price_prediction_[[#This Row],[Price]]/100</f>
        <v>1837.92</v>
      </c>
      <c r="M983">
        <v>183792</v>
      </c>
      <c r="N983" s="1" t="s">
        <v>35</v>
      </c>
      <c r="O983" s="1">
        <f>IF(IFERROR(VLOOKUP(car_price_prediction_[[#This Row],[Car ID]],A984:A3483,1,FALSE),0),1,0)</f>
        <v>0</v>
      </c>
    </row>
    <row r="984" spans="1:15" x14ac:dyDescent="0.25">
      <c r="A984">
        <v>983</v>
      </c>
      <c r="B984" s="1" t="s">
        <v>30</v>
      </c>
      <c r="C984" s="1">
        <f>car_price_prediction_[[#This Row],[Year2]]</f>
        <v>2002</v>
      </c>
      <c r="D984">
        <v>2002</v>
      </c>
      <c r="E984">
        <f>car_price_prediction_[[#This Row],[Engine Size]]/10</f>
        <v>5.7</v>
      </c>
      <c r="F984">
        <v>57</v>
      </c>
      <c r="G984" s="1" t="s">
        <v>16</v>
      </c>
      <c r="H984" s="1" t="s">
        <v>22</v>
      </c>
      <c r="I984" s="12">
        <f>car_price_prediction_[[#This Row],[Mileage]]/1000</f>
        <v>97.840999999999994</v>
      </c>
      <c r="J984" s="5">
        <v>97841</v>
      </c>
      <c r="K984" s="1" t="s">
        <v>25</v>
      </c>
      <c r="L984" s="5">
        <f>car_price_prediction_[[#This Row],[Price]]/100</f>
        <v>1448.92</v>
      </c>
      <c r="M984">
        <v>144892</v>
      </c>
      <c r="N984" s="1" t="s">
        <v>48</v>
      </c>
      <c r="O984" s="1">
        <f>IF(IFERROR(VLOOKUP(car_price_prediction_[[#This Row],[Car ID]],A985:A3484,1,FALSE),0),1,0)</f>
        <v>0</v>
      </c>
    </row>
    <row r="985" spans="1:15" x14ac:dyDescent="0.25">
      <c r="A985">
        <v>984</v>
      </c>
      <c r="B985" s="1" t="s">
        <v>36</v>
      </c>
      <c r="C985" s="1">
        <f>car_price_prediction_[[#This Row],[Year2]]</f>
        <v>2018</v>
      </c>
      <c r="D985">
        <v>2018</v>
      </c>
      <c r="E985">
        <f>car_price_prediction_[[#This Row],[Engine Size]]/10</f>
        <v>4.4000000000000004</v>
      </c>
      <c r="F985">
        <v>44</v>
      </c>
      <c r="G985" s="1" t="s">
        <v>29</v>
      </c>
      <c r="H985" s="1" t="s">
        <v>12</v>
      </c>
      <c r="I985" s="12">
        <f>car_price_prediction_[[#This Row],[Mileage]]/1000</f>
        <v>124.726</v>
      </c>
      <c r="J985" s="5">
        <v>124726</v>
      </c>
      <c r="K985" s="1" t="s">
        <v>17</v>
      </c>
      <c r="L985" s="5">
        <f>car_price_prediction_[[#This Row],[Price]]/100</f>
        <v>58358.86</v>
      </c>
      <c r="M985">
        <v>5835886</v>
      </c>
      <c r="N985" s="1" t="s">
        <v>41</v>
      </c>
      <c r="O985" s="1">
        <f>IF(IFERROR(VLOOKUP(car_price_prediction_[[#This Row],[Car ID]],A986:A3485,1,FALSE),0),1,0)</f>
        <v>0</v>
      </c>
    </row>
    <row r="986" spans="1:15" x14ac:dyDescent="0.25">
      <c r="A986">
        <v>985</v>
      </c>
      <c r="B986" s="1" t="s">
        <v>30</v>
      </c>
      <c r="C986" s="1">
        <f>car_price_prediction_[[#This Row],[Year2]]</f>
        <v>2016</v>
      </c>
      <c r="D986">
        <v>2016</v>
      </c>
      <c r="E986">
        <f>car_price_prediction_[[#This Row],[Engine Size]]/10</f>
        <v>5.0999999999999996</v>
      </c>
      <c r="F986">
        <v>51</v>
      </c>
      <c r="G986" s="1" t="s">
        <v>21</v>
      </c>
      <c r="H986" s="1" t="s">
        <v>22</v>
      </c>
      <c r="I986" s="12">
        <f>car_price_prediction_[[#This Row],[Mileage]]/1000</f>
        <v>76.215000000000003</v>
      </c>
      <c r="J986" s="5">
        <v>76215</v>
      </c>
      <c r="K986" s="1" t="s">
        <v>13</v>
      </c>
      <c r="L986" s="5">
        <f>car_price_prediction_[[#This Row],[Price]]/100</f>
        <v>44091.05</v>
      </c>
      <c r="M986">
        <v>4409105</v>
      </c>
      <c r="N986" s="1" t="s">
        <v>48</v>
      </c>
      <c r="O986" s="1">
        <f>IF(IFERROR(VLOOKUP(car_price_prediction_[[#This Row],[Car ID]],A987:A3486,1,FALSE),0),1,0)</f>
        <v>0</v>
      </c>
    </row>
    <row r="987" spans="1:15" x14ac:dyDescent="0.25">
      <c r="A987">
        <v>986</v>
      </c>
      <c r="B987" s="1" t="s">
        <v>30</v>
      </c>
      <c r="C987" s="1">
        <f>car_price_prediction_[[#This Row],[Year2]]</f>
        <v>2006</v>
      </c>
      <c r="D987">
        <v>2006</v>
      </c>
      <c r="E987">
        <f>car_price_prediction_[[#This Row],[Engine Size]]/10</f>
        <v>3.8</v>
      </c>
      <c r="F987">
        <v>38</v>
      </c>
      <c r="G987" s="1" t="s">
        <v>11</v>
      </c>
      <c r="H987" s="1" t="s">
        <v>22</v>
      </c>
      <c r="I987" s="12">
        <f>car_price_prediction_[[#This Row],[Mileage]]/1000</f>
        <v>112.90900000000001</v>
      </c>
      <c r="J987" s="5">
        <v>112909</v>
      </c>
      <c r="K987" s="1" t="s">
        <v>13</v>
      </c>
      <c r="L987" s="5">
        <f>car_price_prediction_[[#This Row],[Price]]/100</f>
        <v>72934.63</v>
      </c>
      <c r="M987">
        <v>7293463</v>
      </c>
      <c r="N987" s="1" t="s">
        <v>48</v>
      </c>
      <c r="O987" s="1">
        <f>IF(IFERROR(VLOOKUP(car_price_prediction_[[#This Row],[Car ID]],A988:A3487,1,FALSE),0),1,0)</f>
        <v>0</v>
      </c>
    </row>
    <row r="988" spans="1:15" x14ac:dyDescent="0.25">
      <c r="A988">
        <v>987</v>
      </c>
      <c r="B988" s="1" t="s">
        <v>30</v>
      </c>
      <c r="C988" s="1">
        <f>car_price_prediction_[[#This Row],[Year2]]</f>
        <v>2020</v>
      </c>
      <c r="D988">
        <v>2020</v>
      </c>
      <c r="E988">
        <f>car_price_prediction_[[#This Row],[Engine Size]]/10</f>
        <v>4.9000000000000004</v>
      </c>
      <c r="F988">
        <v>49</v>
      </c>
      <c r="G988" s="1" t="s">
        <v>11</v>
      </c>
      <c r="H988" s="1" t="s">
        <v>12</v>
      </c>
      <c r="I988" s="12">
        <f>car_price_prediction_[[#This Row],[Mileage]]/1000</f>
        <v>273.12900000000002</v>
      </c>
      <c r="J988" s="5">
        <v>273129</v>
      </c>
      <c r="K988" s="1" t="s">
        <v>13</v>
      </c>
      <c r="L988" s="5">
        <f>car_price_prediction_[[#This Row],[Price]]/100</f>
        <v>51266.46</v>
      </c>
      <c r="M988">
        <v>5126646</v>
      </c>
      <c r="N988" s="1" t="s">
        <v>48</v>
      </c>
      <c r="O988" s="1">
        <f>IF(IFERROR(VLOOKUP(car_price_prediction_[[#This Row],[Car ID]],A989:A3488,1,FALSE),0),1,0)</f>
        <v>0</v>
      </c>
    </row>
    <row r="989" spans="1:15" x14ac:dyDescent="0.25">
      <c r="A989">
        <v>988</v>
      </c>
      <c r="B989" s="1" t="s">
        <v>36</v>
      </c>
      <c r="C989" s="1">
        <f>car_price_prediction_[[#This Row],[Year2]]</f>
        <v>2019</v>
      </c>
      <c r="D989">
        <v>2019</v>
      </c>
      <c r="E989">
        <f>car_price_prediction_[[#This Row],[Engine Size]]/10</f>
        <v>1.1000000000000001</v>
      </c>
      <c r="F989">
        <v>11</v>
      </c>
      <c r="G989" s="1" t="s">
        <v>29</v>
      </c>
      <c r="H989" s="1" t="s">
        <v>12</v>
      </c>
      <c r="I989" s="12">
        <f>car_price_prediction_[[#This Row],[Mileage]]/1000</f>
        <v>274.53500000000003</v>
      </c>
      <c r="J989" s="5">
        <v>274535</v>
      </c>
      <c r="K989" s="1" t="s">
        <v>17</v>
      </c>
      <c r="L989" s="5">
        <f>car_price_prediction_[[#This Row],[Price]]/100</f>
        <v>45406.79</v>
      </c>
      <c r="M989">
        <v>4540679</v>
      </c>
      <c r="N989" s="1" t="s">
        <v>40</v>
      </c>
      <c r="O989" s="1">
        <f>IF(IFERROR(VLOOKUP(car_price_prediction_[[#This Row],[Car ID]],A990:A3489,1,FALSE),0),1,0)</f>
        <v>0</v>
      </c>
    </row>
    <row r="990" spans="1:15" x14ac:dyDescent="0.25">
      <c r="A990">
        <v>989</v>
      </c>
      <c r="B990" s="1" t="s">
        <v>10</v>
      </c>
      <c r="C990" s="1">
        <f>car_price_prediction_[[#This Row],[Year2]]</f>
        <v>2003</v>
      </c>
      <c r="D990">
        <v>2003</v>
      </c>
      <c r="E990">
        <f>car_price_prediction_[[#This Row],[Engine Size]]/10</f>
        <v>5.0999999999999996</v>
      </c>
      <c r="F990">
        <v>51</v>
      </c>
      <c r="G990" s="1" t="s">
        <v>11</v>
      </c>
      <c r="H990" s="1" t="s">
        <v>22</v>
      </c>
      <c r="I990" s="12">
        <f>car_price_prediction_[[#This Row],[Mileage]]/1000</f>
        <v>4.8609999999999998</v>
      </c>
      <c r="J990" s="5">
        <v>4861</v>
      </c>
      <c r="K990" s="1" t="s">
        <v>17</v>
      </c>
      <c r="L990" s="5">
        <f>car_price_prediction_[[#This Row],[Price]]/100</f>
        <v>45422.54</v>
      </c>
      <c r="M990">
        <v>4542254</v>
      </c>
      <c r="N990" s="1" t="s">
        <v>49</v>
      </c>
      <c r="O990" s="1">
        <f>IF(IFERROR(VLOOKUP(car_price_prediction_[[#This Row],[Car ID]],A991:A3490,1,FALSE),0),1,0)</f>
        <v>0</v>
      </c>
    </row>
    <row r="991" spans="1:15" x14ac:dyDescent="0.25">
      <c r="A991">
        <v>990</v>
      </c>
      <c r="B991" s="1" t="s">
        <v>24</v>
      </c>
      <c r="C991" s="1">
        <f>car_price_prediction_[[#This Row],[Year2]]</f>
        <v>2013</v>
      </c>
      <c r="D991">
        <v>2013</v>
      </c>
      <c r="E991">
        <f>car_price_prediction_[[#This Row],[Engine Size]]/10</f>
        <v>1.2</v>
      </c>
      <c r="F991">
        <v>12</v>
      </c>
      <c r="G991" s="1" t="s">
        <v>21</v>
      </c>
      <c r="H991" s="1" t="s">
        <v>12</v>
      </c>
      <c r="I991" s="12">
        <f>car_price_prediction_[[#This Row],[Mileage]]/1000</f>
        <v>261.96800000000002</v>
      </c>
      <c r="J991" s="5">
        <v>261968</v>
      </c>
      <c r="K991" s="1" t="s">
        <v>25</v>
      </c>
      <c r="L991" s="5">
        <f>car_price_prediction_[[#This Row],[Price]]/100</f>
        <v>87828.26</v>
      </c>
      <c r="M991">
        <v>8782826</v>
      </c>
      <c r="N991" s="1" t="s">
        <v>32</v>
      </c>
      <c r="O991" s="1">
        <f>IF(IFERROR(VLOOKUP(car_price_prediction_[[#This Row],[Car ID]],A992:A3491,1,FALSE),0),1,0)</f>
        <v>0</v>
      </c>
    </row>
    <row r="992" spans="1:15" x14ac:dyDescent="0.25">
      <c r="A992">
        <v>991</v>
      </c>
      <c r="B992" s="1" t="s">
        <v>24</v>
      </c>
      <c r="C992" s="1">
        <f>car_price_prediction_[[#This Row],[Year2]]</f>
        <v>2019</v>
      </c>
      <c r="D992">
        <v>2019</v>
      </c>
      <c r="E992">
        <f>car_price_prediction_[[#This Row],[Engine Size]]/10</f>
        <v>5.4</v>
      </c>
      <c r="F992">
        <v>54</v>
      </c>
      <c r="G992" s="1" t="s">
        <v>11</v>
      </c>
      <c r="H992" s="1" t="s">
        <v>12</v>
      </c>
      <c r="I992" s="12">
        <f>car_price_prediction_[[#This Row],[Mileage]]/1000</f>
        <v>183</v>
      </c>
      <c r="J992" s="5">
        <v>183000</v>
      </c>
      <c r="K992" s="1" t="s">
        <v>25</v>
      </c>
      <c r="L992" s="5">
        <f>car_price_prediction_[[#This Row],[Price]]/100</f>
        <v>42546.44</v>
      </c>
      <c r="M992">
        <v>4254644</v>
      </c>
      <c r="N992" s="1" t="s">
        <v>34</v>
      </c>
      <c r="O992" s="1">
        <f>IF(IFERROR(VLOOKUP(car_price_prediction_[[#This Row],[Car ID]],A993:A3492,1,FALSE),0),1,0)</f>
        <v>0</v>
      </c>
    </row>
    <row r="993" spans="1:15" x14ac:dyDescent="0.25">
      <c r="A993">
        <v>992</v>
      </c>
      <c r="B993" s="1" t="s">
        <v>10</v>
      </c>
      <c r="C993" s="1">
        <f>car_price_prediction_[[#This Row],[Year2]]</f>
        <v>2021</v>
      </c>
      <c r="D993">
        <v>2021</v>
      </c>
      <c r="E993">
        <f>car_price_prediction_[[#This Row],[Engine Size]]/10</f>
        <v>6</v>
      </c>
      <c r="F993">
        <v>60</v>
      </c>
      <c r="G993" s="1" t="s">
        <v>16</v>
      </c>
      <c r="H993" s="1" t="s">
        <v>22</v>
      </c>
      <c r="I993" s="12">
        <f>car_price_prediction_[[#This Row],[Mileage]]/1000</f>
        <v>296.50799999999998</v>
      </c>
      <c r="J993" s="5">
        <v>296508</v>
      </c>
      <c r="K993" s="1" t="s">
        <v>13</v>
      </c>
      <c r="L993" s="5">
        <f>car_price_prediction_[[#This Row],[Price]]/100</f>
        <v>36672.730000000003</v>
      </c>
      <c r="M993">
        <v>3667273</v>
      </c>
      <c r="N993" s="1" t="s">
        <v>14</v>
      </c>
      <c r="O993" s="1">
        <f>IF(IFERROR(VLOOKUP(car_price_prediction_[[#This Row],[Car ID]],A994:A3493,1,FALSE),0),1,0)</f>
        <v>0</v>
      </c>
    </row>
    <row r="994" spans="1:15" x14ac:dyDescent="0.25">
      <c r="A994">
        <v>993</v>
      </c>
      <c r="B994" s="1" t="s">
        <v>30</v>
      </c>
      <c r="C994" s="1">
        <f>car_price_prediction_[[#This Row],[Year2]]</f>
        <v>2014</v>
      </c>
      <c r="D994">
        <v>2014</v>
      </c>
      <c r="E994">
        <f>car_price_prediction_[[#This Row],[Engine Size]]/10</f>
        <v>2.5</v>
      </c>
      <c r="F994">
        <v>25</v>
      </c>
      <c r="G994" s="1" t="s">
        <v>16</v>
      </c>
      <c r="H994" s="1" t="s">
        <v>22</v>
      </c>
      <c r="I994" s="12">
        <f>car_price_prediction_[[#This Row],[Mileage]]/1000</f>
        <v>249.072</v>
      </c>
      <c r="J994" s="5">
        <v>249072</v>
      </c>
      <c r="K994" s="1" t="s">
        <v>25</v>
      </c>
      <c r="L994" s="5">
        <f>car_price_prediction_[[#This Row],[Price]]/100</f>
        <v>37160.83</v>
      </c>
      <c r="M994">
        <v>3716083</v>
      </c>
      <c r="N994" s="1" t="s">
        <v>42</v>
      </c>
      <c r="O994" s="1">
        <f>IF(IFERROR(VLOOKUP(car_price_prediction_[[#This Row],[Car ID]],A995:A3494,1,FALSE),0),1,0)</f>
        <v>0</v>
      </c>
    </row>
    <row r="995" spans="1:15" x14ac:dyDescent="0.25">
      <c r="A995">
        <v>994</v>
      </c>
      <c r="B995" s="1" t="s">
        <v>15</v>
      </c>
      <c r="C995" s="1">
        <f>car_price_prediction_[[#This Row],[Year2]]</f>
        <v>2023</v>
      </c>
      <c r="D995">
        <v>2023</v>
      </c>
      <c r="E995">
        <f>car_price_prediction_[[#This Row],[Engine Size]]/10</f>
        <v>2.1</v>
      </c>
      <c r="F995">
        <v>21</v>
      </c>
      <c r="G995" s="1" t="s">
        <v>21</v>
      </c>
      <c r="H995" s="1" t="s">
        <v>22</v>
      </c>
      <c r="I995" s="12">
        <f>car_price_prediction_[[#This Row],[Mileage]]/1000</f>
        <v>224.40199999999999</v>
      </c>
      <c r="J995" s="5">
        <v>224402</v>
      </c>
      <c r="K995" s="1" t="s">
        <v>25</v>
      </c>
      <c r="L995" s="5">
        <f>car_price_prediction_[[#This Row],[Price]]/100</f>
        <v>23677.08</v>
      </c>
      <c r="M995">
        <v>2367708</v>
      </c>
      <c r="N995" s="1" t="s">
        <v>18</v>
      </c>
      <c r="O995" s="1">
        <f>IF(IFERROR(VLOOKUP(car_price_prediction_[[#This Row],[Car ID]],A996:A3495,1,FALSE),0),1,0)</f>
        <v>0</v>
      </c>
    </row>
    <row r="996" spans="1:15" x14ac:dyDescent="0.25">
      <c r="A996">
        <v>995</v>
      </c>
      <c r="B996" s="1" t="s">
        <v>43</v>
      </c>
      <c r="C996" s="1">
        <f>car_price_prediction_[[#This Row],[Year2]]</f>
        <v>2007</v>
      </c>
      <c r="D996">
        <v>2007</v>
      </c>
      <c r="E996">
        <f>car_price_prediction_[[#This Row],[Engine Size]]/10</f>
        <v>4.8</v>
      </c>
      <c r="F996">
        <v>48</v>
      </c>
      <c r="G996" s="1" t="s">
        <v>16</v>
      </c>
      <c r="H996" s="1" t="s">
        <v>12</v>
      </c>
      <c r="I996" s="12">
        <f>car_price_prediction_[[#This Row],[Mileage]]/1000</f>
        <v>42.923000000000002</v>
      </c>
      <c r="J996" s="5">
        <v>42923</v>
      </c>
      <c r="K996" s="1" t="s">
        <v>13</v>
      </c>
      <c r="L996" s="5">
        <f>car_price_prediction_[[#This Row],[Price]]/100</f>
        <v>86765.440000000002</v>
      </c>
      <c r="M996">
        <v>8676544</v>
      </c>
      <c r="N996" s="1" t="s">
        <v>52</v>
      </c>
      <c r="O996" s="1">
        <f>IF(IFERROR(VLOOKUP(car_price_prediction_[[#This Row],[Car ID]],A997:A3496,1,FALSE),0),1,0)</f>
        <v>0</v>
      </c>
    </row>
    <row r="997" spans="1:15" x14ac:dyDescent="0.25">
      <c r="A997">
        <v>996</v>
      </c>
      <c r="B997" s="1" t="s">
        <v>36</v>
      </c>
      <c r="C997" s="1">
        <f>car_price_prediction_[[#This Row],[Year2]]</f>
        <v>2020</v>
      </c>
      <c r="D997">
        <v>2020</v>
      </c>
      <c r="E997">
        <f>car_price_prediction_[[#This Row],[Engine Size]]/10</f>
        <v>2.2999999999999998</v>
      </c>
      <c r="F997">
        <v>23</v>
      </c>
      <c r="G997" s="1" t="s">
        <v>29</v>
      </c>
      <c r="H997" s="1" t="s">
        <v>22</v>
      </c>
      <c r="I997" s="12">
        <f>car_price_prediction_[[#This Row],[Mileage]]/1000</f>
        <v>186.96799999999999</v>
      </c>
      <c r="J997" s="5">
        <v>186968</v>
      </c>
      <c r="K997" s="1" t="s">
        <v>17</v>
      </c>
      <c r="L997" s="5">
        <f>car_price_prediction_[[#This Row],[Price]]/100</f>
        <v>18929.93</v>
      </c>
      <c r="M997">
        <v>1892993</v>
      </c>
      <c r="N997" s="1" t="s">
        <v>41</v>
      </c>
      <c r="O997" s="1">
        <f>IF(IFERROR(VLOOKUP(car_price_prediction_[[#This Row],[Car ID]],A998:A3497,1,FALSE),0),1,0)</f>
        <v>0</v>
      </c>
    </row>
    <row r="998" spans="1:15" x14ac:dyDescent="0.25">
      <c r="A998">
        <v>997</v>
      </c>
      <c r="B998" s="1" t="s">
        <v>43</v>
      </c>
      <c r="C998" s="1">
        <f>car_price_prediction_[[#This Row],[Year2]]</f>
        <v>2014</v>
      </c>
      <c r="D998">
        <v>2014</v>
      </c>
      <c r="E998">
        <f>car_price_prediction_[[#This Row],[Engine Size]]/10</f>
        <v>5.3</v>
      </c>
      <c r="F998">
        <v>53</v>
      </c>
      <c r="G998" s="1" t="s">
        <v>11</v>
      </c>
      <c r="H998" s="1" t="s">
        <v>22</v>
      </c>
      <c r="I998" s="12">
        <f>car_price_prediction_[[#This Row],[Mileage]]/1000</f>
        <v>165.91200000000001</v>
      </c>
      <c r="J998" s="5">
        <v>165912</v>
      </c>
      <c r="K998" s="1" t="s">
        <v>25</v>
      </c>
      <c r="L998" s="5">
        <f>car_price_prediction_[[#This Row],[Price]]/100</f>
        <v>91318.02</v>
      </c>
      <c r="M998">
        <v>9131802</v>
      </c>
      <c r="N998" s="1" t="s">
        <v>47</v>
      </c>
      <c r="O998" s="1">
        <f>IF(IFERROR(VLOOKUP(car_price_prediction_[[#This Row],[Car ID]],A999:A3498,1,FALSE),0),1,0)</f>
        <v>0</v>
      </c>
    </row>
    <row r="999" spans="1:15" x14ac:dyDescent="0.25">
      <c r="A999">
        <v>998</v>
      </c>
      <c r="B999" s="1" t="s">
        <v>10</v>
      </c>
      <c r="C999" s="1">
        <f>car_price_prediction_[[#This Row],[Year2]]</f>
        <v>2021</v>
      </c>
      <c r="D999">
        <v>2021</v>
      </c>
      <c r="E999">
        <f>car_price_prediction_[[#This Row],[Engine Size]]/10</f>
        <v>1.5</v>
      </c>
      <c r="F999">
        <v>15</v>
      </c>
      <c r="G999" s="1" t="s">
        <v>21</v>
      </c>
      <c r="H999" s="1" t="s">
        <v>22</v>
      </c>
      <c r="I999" s="12">
        <f>car_price_prediction_[[#This Row],[Mileage]]/1000</f>
        <v>173.327</v>
      </c>
      <c r="J999" s="5">
        <v>173327</v>
      </c>
      <c r="K999" s="1" t="s">
        <v>17</v>
      </c>
      <c r="L999" s="5">
        <f>car_price_prediction_[[#This Row],[Price]]/100</f>
        <v>31929.43</v>
      </c>
      <c r="M999">
        <v>3192943</v>
      </c>
      <c r="N999" s="1" t="s">
        <v>23</v>
      </c>
      <c r="O999" s="1">
        <f>IF(IFERROR(VLOOKUP(car_price_prediction_[[#This Row],[Car ID]],A1000:A3499,1,FALSE),0),1,0)</f>
        <v>0</v>
      </c>
    </row>
    <row r="1000" spans="1:15" x14ac:dyDescent="0.25">
      <c r="A1000">
        <v>999</v>
      </c>
      <c r="B1000" s="1" t="s">
        <v>15</v>
      </c>
      <c r="C1000" s="1">
        <f>car_price_prediction_[[#This Row],[Year2]]</f>
        <v>2019</v>
      </c>
      <c r="D1000">
        <v>2019</v>
      </c>
      <c r="E1000">
        <f>car_price_prediction_[[#This Row],[Engine Size]]/10</f>
        <v>1.6</v>
      </c>
      <c r="F1000">
        <v>16</v>
      </c>
      <c r="G1000" s="1" t="s">
        <v>29</v>
      </c>
      <c r="H1000" s="1" t="s">
        <v>22</v>
      </c>
      <c r="I1000" s="12">
        <f>car_price_prediction_[[#This Row],[Mileage]]/1000</f>
        <v>128.16499999999999</v>
      </c>
      <c r="J1000" s="5">
        <v>128165</v>
      </c>
      <c r="K1000" s="1" t="s">
        <v>13</v>
      </c>
      <c r="L1000" s="5">
        <f>car_price_prediction_[[#This Row],[Price]]/100</f>
        <v>90445.55</v>
      </c>
      <c r="M1000">
        <v>9044555</v>
      </c>
      <c r="N1000" s="1" t="s">
        <v>35</v>
      </c>
      <c r="O1000" s="1">
        <f>IF(IFERROR(VLOOKUP(car_price_prediction_[[#This Row],[Car ID]],A1001:A3500,1,FALSE),0),1,0)</f>
        <v>0</v>
      </c>
    </row>
    <row r="1001" spans="1:15" x14ac:dyDescent="0.25">
      <c r="A1001">
        <v>1000</v>
      </c>
      <c r="B1001" s="1" t="s">
        <v>36</v>
      </c>
      <c r="C1001" s="1">
        <f>car_price_prediction_[[#This Row],[Year2]]</f>
        <v>2013</v>
      </c>
      <c r="D1001">
        <v>2013</v>
      </c>
      <c r="E1001">
        <f>car_price_prediction_[[#This Row],[Engine Size]]/10</f>
        <v>5.9</v>
      </c>
      <c r="F1001">
        <v>59</v>
      </c>
      <c r="G1001" s="1" t="s">
        <v>11</v>
      </c>
      <c r="H1001" s="1" t="s">
        <v>22</v>
      </c>
      <c r="I1001" s="12">
        <f>car_price_prediction_[[#This Row],[Mileage]]/1000</f>
        <v>230.31399999999999</v>
      </c>
      <c r="J1001" s="5">
        <v>230314</v>
      </c>
      <c r="K1001" s="1" t="s">
        <v>13</v>
      </c>
      <c r="L1001" s="5">
        <f>car_price_prediction_[[#This Row],[Price]]/100</f>
        <v>80127.960000000006</v>
      </c>
      <c r="M1001">
        <v>8012796</v>
      </c>
      <c r="N1001" s="1" t="s">
        <v>37</v>
      </c>
      <c r="O1001" s="1">
        <f>IF(IFERROR(VLOOKUP(car_price_prediction_[[#This Row],[Car ID]],A1002:A3501,1,FALSE),0),1,0)</f>
        <v>0</v>
      </c>
    </row>
    <row r="1002" spans="1:15" x14ac:dyDescent="0.25">
      <c r="A1002">
        <v>1001</v>
      </c>
      <c r="B1002" s="1" t="s">
        <v>10</v>
      </c>
      <c r="C1002" s="1">
        <f>car_price_prediction_[[#This Row],[Year2]]</f>
        <v>2008</v>
      </c>
      <c r="D1002">
        <v>2008</v>
      </c>
      <c r="E1002">
        <f>car_price_prediction_[[#This Row],[Engine Size]]/10</f>
        <v>4.4000000000000004</v>
      </c>
      <c r="F1002">
        <v>44</v>
      </c>
      <c r="G1002" s="1" t="s">
        <v>29</v>
      </c>
      <c r="H1002" s="1" t="s">
        <v>12</v>
      </c>
      <c r="I1002" s="12">
        <f>car_price_prediction_[[#This Row],[Mileage]]/1000</f>
        <v>295.673</v>
      </c>
      <c r="J1002" s="5">
        <v>295673</v>
      </c>
      <c r="K1002" s="1" t="s">
        <v>25</v>
      </c>
      <c r="L1002" s="5">
        <f>car_price_prediction_[[#This Row],[Price]]/100</f>
        <v>60288.81</v>
      </c>
      <c r="M1002">
        <v>6028881</v>
      </c>
      <c r="N1002" s="1" t="s">
        <v>49</v>
      </c>
      <c r="O1002" s="1">
        <f>IF(IFERROR(VLOOKUP(car_price_prediction_[[#This Row],[Car ID]],A1003:A3502,1,FALSE),0),1,0)</f>
        <v>0</v>
      </c>
    </row>
    <row r="1003" spans="1:15" x14ac:dyDescent="0.25">
      <c r="A1003">
        <v>1002</v>
      </c>
      <c r="B1003" s="1" t="s">
        <v>30</v>
      </c>
      <c r="C1003" s="1">
        <f>car_price_prediction_[[#This Row],[Year2]]</f>
        <v>2007</v>
      </c>
      <c r="D1003">
        <v>2007</v>
      </c>
      <c r="E1003">
        <f>car_price_prediction_[[#This Row],[Engine Size]]/10</f>
        <v>5.2</v>
      </c>
      <c r="F1003">
        <v>52</v>
      </c>
      <c r="G1003" s="1" t="s">
        <v>21</v>
      </c>
      <c r="H1003" s="1" t="s">
        <v>22</v>
      </c>
      <c r="I1003" s="12">
        <f>car_price_prediction_[[#This Row],[Mileage]]/1000</f>
        <v>144.01300000000001</v>
      </c>
      <c r="J1003" s="5">
        <v>144013</v>
      </c>
      <c r="K1003" s="1" t="s">
        <v>13</v>
      </c>
      <c r="L1003" s="5">
        <f>car_price_prediction_[[#This Row],[Price]]/100</f>
        <v>68599.649999999994</v>
      </c>
      <c r="M1003">
        <v>6859965</v>
      </c>
      <c r="N1003" s="1" t="s">
        <v>45</v>
      </c>
      <c r="O1003" s="1">
        <f>IF(IFERROR(VLOOKUP(car_price_prediction_[[#This Row],[Car ID]],A1004:A3503,1,FALSE),0),1,0)</f>
        <v>0</v>
      </c>
    </row>
    <row r="1004" spans="1:15" x14ac:dyDescent="0.25">
      <c r="A1004">
        <v>1003</v>
      </c>
      <c r="B1004" s="1" t="s">
        <v>24</v>
      </c>
      <c r="C1004" s="1">
        <f>car_price_prediction_[[#This Row],[Year2]]</f>
        <v>2016</v>
      </c>
      <c r="D1004">
        <v>2016</v>
      </c>
      <c r="E1004">
        <f>car_price_prediction_[[#This Row],[Engine Size]]/10</f>
        <v>2.6</v>
      </c>
      <c r="F1004">
        <v>26</v>
      </c>
      <c r="G1004" s="1" t="s">
        <v>21</v>
      </c>
      <c r="H1004" s="1" t="s">
        <v>22</v>
      </c>
      <c r="I1004" s="12">
        <f>car_price_prediction_[[#This Row],[Mileage]]/1000</f>
        <v>1.669</v>
      </c>
      <c r="J1004" s="5">
        <v>1669</v>
      </c>
      <c r="K1004" s="1" t="s">
        <v>13</v>
      </c>
      <c r="L1004" s="5">
        <f>car_price_prediction_[[#This Row],[Price]]/100</f>
        <v>35955.19</v>
      </c>
      <c r="M1004">
        <v>3595519</v>
      </c>
      <c r="N1004" s="1" t="s">
        <v>34</v>
      </c>
      <c r="O1004" s="1">
        <f>IF(IFERROR(VLOOKUP(car_price_prediction_[[#This Row],[Car ID]],A1005:A3504,1,FALSE),0),1,0)</f>
        <v>0</v>
      </c>
    </row>
    <row r="1005" spans="1:15" x14ac:dyDescent="0.25">
      <c r="A1005">
        <v>1004</v>
      </c>
      <c r="B1005" s="1" t="s">
        <v>43</v>
      </c>
      <c r="C1005" s="1">
        <f>car_price_prediction_[[#This Row],[Year2]]</f>
        <v>2001</v>
      </c>
      <c r="D1005">
        <v>2001</v>
      </c>
      <c r="E1005">
        <f>car_price_prediction_[[#This Row],[Engine Size]]/10</f>
        <v>4.4000000000000004</v>
      </c>
      <c r="F1005">
        <v>44</v>
      </c>
      <c r="G1005" s="1" t="s">
        <v>29</v>
      </c>
      <c r="H1005" s="1" t="s">
        <v>12</v>
      </c>
      <c r="I1005" s="12">
        <f>car_price_prediction_[[#This Row],[Mileage]]/1000</f>
        <v>216.85400000000001</v>
      </c>
      <c r="J1005" s="5">
        <v>216854</v>
      </c>
      <c r="K1005" s="1" t="s">
        <v>13</v>
      </c>
      <c r="L1005" s="5">
        <f>car_price_prediction_[[#This Row],[Price]]/100</f>
        <v>59551.72</v>
      </c>
      <c r="M1005">
        <v>5955172</v>
      </c>
      <c r="N1005" s="1" t="s">
        <v>52</v>
      </c>
      <c r="O1005" s="1">
        <f>IF(IFERROR(VLOOKUP(car_price_prediction_[[#This Row],[Car ID]],A1006:A3505,1,FALSE),0),1,0)</f>
        <v>0</v>
      </c>
    </row>
    <row r="1006" spans="1:15" x14ac:dyDescent="0.25">
      <c r="A1006">
        <v>1005</v>
      </c>
      <c r="B1006" s="1" t="s">
        <v>19</v>
      </c>
      <c r="C1006" s="1">
        <f>car_price_prediction_[[#This Row],[Year2]]</f>
        <v>2023</v>
      </c>
      <c r="D1006">
        <v>2023</v>
      </c>
      <c r="E1006">
        <f>car_price_prediction_[[#This Row],[Engine Size]]/10</f>
        <v>4</v>
      </c>
      <c r="F1006">
        <v>40</v>
      </c>
      <c r="G1006" s="1" t="s">
        <v>11</v>
      </c>
      <c r="H1006" s="1" t="s">
        <v>22</v>
      </c>
      <c r="I1006" s="12">
        <f>car_price_prediction_[[#This Row],[Mileage]]/1000</f>
        <v>55.786000000000001</v>
      </c>
      <c r="J1006" s="5">
        <v>55786</v>
      </c>
      <c r="K1006" s="1" t="s">
        <v>25</v>
      </c>
      <c r="L1006" s="5">
        <f>car_price_prediction_[[#This Row],[Price]]/100</f>
        <v>32778.28</v>
      </c>
      <c r="M1006">
        <v>3277828</v>
      </c>
      <c r="N1006" s="1" t="s">
        <v>20</v>
      </c>
      <c r="O1006" s="1">
        <f>IF(IFERROR(VLOOKUP(car_price_prediction_[[#This Row],[Car ID]],A1007:A3506,1,FALSE),0),1,0)</f>
        <v>0</v>
      </c>
    </row>
    <row r="1007" spans="1:15" x14ac:dyDescent="0.25">
      <c r="A1007">
        <v>1006</v>
      </c>
      <c r="B1007" s="1" t="s">
        <v>19</v>
      </c>
      <c r="C1007" s="1">
        <f>car_price_prediction_[[#This Row],[Year2]]</f>
        <v>2002</v>
      </c>
      <c r="D1007">
        <v>2002</v>
      </c>
      <c r="E1007">
        <f>car_price_prediction_[[#This Row],[Engine Size]]/10</f>
        <v>4</v>
      </c>
      <c r="F1007">
        <v>40</v>
      </c>
      <c r="G1007" s="1" t="s">
        <v>16</v>
      </c>
      <c r="H1007" s="1" t="s">
        <v>22</v>
      </c>
      <c r="I1007" s="12">
        <f>car_price_prediction_[[#This Row],[Mileage]]/1000</f>
        <v>182.155</v>
      </c>
      <c r="J1007" s="5">
        <v>182155</v>
      </c>
      <c r="K1007" s="1" t="s">
        <v>25</v>
      </c>
      <c r="L1007" s="5">
        <f>car_price_prediction_[[#This Row],[Price]]/100</f>
        <v>43215.92</v>
      </c>
      <c r="M1007">
        <v>4321592</v>
      </c>
      <c r="N1007" s="1" t="s">
        <v>27</v>
      </c>
      <c r="O1007" s="1">
        <f>IF(IFERROR(VLOOKUP(car_price_prediction_[[#This Row],[Car ID]],A1008:A3507,1,FALSE),0),1,0)</f>
        <v>0</v>
      </c>
    </row>
    <row r="1008" spans="1:15" x14ac:dyDescent="0.25">
      <c r="A1008">
        <v>1007</v>
      </c>
      <c r="B1008" s="1" t="s">
        <v>15</v>
      </c>
      <c r="C1008" s="1">
        <f>car_price_prediction_[[#This Row],[Year2]]</f>
        <v>2007</v>
      </c>
      <c r="D1008">
        <v>2007</v>
      </c>
      <c r="E1008">
        <f>car_price_prediction_[[#This Row],[Engine Size]]/10</f>
        <v>4.4000000000000004</v>
      </c>
      <c r="F1008">
        <v>44</v>
      </c>
      <c r="G1008" s="1" t="s">
        <v>16</v>
      </c>
      <c r="H1008" s="1" t="s">
        <v>12</v>
      </c>
      <c r="I1008" s="12">
        <f>car_price_prediction_[[#This Row],[Mileage]]/1000</f>
        <v>20.323</v>
      </c>
      <c r="J1008" s="5">
        <v>20323</v>
      </c>
      <c r="K1008" s="1" t="s">
        <v>25</v>
      </c>
      <c r="L1008" s="5">
        <f>car_price_prediction_[[#This Row],[Price]]/100</f>
        <v>77642.94</v>
      </c>
      <c r="M1008">
        <v>7764294</v>
      </c>
      <c r="N1008" s="1" t="s">
        <v>39</v>
      </c>
      <c r="O1008" s="1">
        <f>IF(IFERROR(VLOOKUP(car_price_prediction_[[#This Row],[Car ID]],A1009:A3508,1,FALSE),0),1,0)</f>
        <v>0</v>
      </c>
    </row>
    <row r="1009" spans="1:15" x14ac:dyDescent="0.25">
      <c r="A1009">
        <v>1008</v>
      </c>
      <c r="B1009" s="1" t="s">
        <v>30</v>
      </c>
      <c r="C1009" s="1">
        <f>car_price_prediction_[[#This Row],[Year2]]</f>
        <v>2011</v>
      </c>
      <c r="D1009">
        <v>2011</v>
      </c>
      <c r="E1009">
        <f>car_price_prediction_[[#This Row],[Engine Size]]/10</f>
        <v>3.9</v>
      </c>
      <c r="F1009">
        <v>39</v>
      </c>
      <c r="G1009" s="1" t="s">
        <v>29</v>
      </c>
      <c r="H1009" s="1" t="s">
        <v>22</v>
      </c>
      <c r="I1009" s="12">
        <f>car_price_prediction_[[#This Row],[Mileage]]/1000</f>
        <v>230.50200000000001</v>
      </c>
      <c r="J1009" s="5">
        <v>230502</v>
      </c>
      <c r="K1009" s="1" t="s">
        <v>13</v>
      </c>
      <c r="L1009" s="5">
        <f>car_price_prediction_[[#This Row],[Price]]/100</f>
        <v>28173.59</v>
      </c>
      <c r="M1009">
        <v>2817359</v>
      </c>
      <c r="N1009" s="1" t="s">
        <v>42</v>
      </c>
      <c r="O1009" s="1">
        <f>IF(IFERROR(VLOOKUP(car_price_prediction_[[#This Row],[Car ID]],A1010:A3509,1,FALSE),0),1,0)</f>
        <v>0</v>
      </c>
    </row>
    <row r="1010" spans="1:15" x14ac:dyDescent="0.25">
      <c r="A1010">
        <v>1009</v>
      </c>
      <c r="B1010" s="1" t="s">
        <v>43</v>
      </c>
      <c r="C1010" s="1">
        <f>car_price_prediction_[[#This Row],[Year2]]</f>
        <v>2000</v>
      </c>
      <c r="D1010">
        <v>2000</v>
      </c>
      <c r="E1010">
        <f>car_price_prediction_[[#This Row],[Engine Size]]/10</f>
        <v>3.1</v>
      </c>
      <c r="F1010">
        <v>31</v>
      </c>
      <c r="G1010" s="1" t="s">
        <v>21</v>
      </c>
      <c r="H1010" s="1" t="s">
        <v>12</v>
      </c>
      <c r="I1010" s="12">
        <f>car_price_prediction_[[#This Row],[Mileage]]/1000</f>
        <v>257.24900000000002</v>
      </c>
      <c r="J1010" s="5">
        <v>257249</v>
      </c>
      <c r="K1010" s="1" t="s">
        <v>17</v>
      </c>
      <c r="L1010" s="5">
        <f>car_price_prediction_[[#This Row],[Price]]/100</f>
        <v>84690.37</v>
      </c>
      <c r="M1010">
        <v>8469037</v>
      </c>
      <c r="N1010" s="1" t="s">
        <v>50</v>
      </c>
      <c r="O1010" s="1">
        <f>IF(IFERROR(VLOOKUP(car_price_prediction_[[#This Row],[Car ID]],A1011:A3510,1,FALSE),0),1,0)</f>
        <v>0</v>
      </c>
    </row>
    <row r="1011" spans="1:15" x14ac:dyDescent="0.25">
      <c r="A1011">
        <v>1010</v>
      </c>
      <c r="B1011" s="1" t="s">
        <v>30</v>
      </c>
      <c r="C1011" s="1">
        <f>car_price_prediction_[[#This Row],[Year2]]</f>
        <v>2009</v>
      </c>
      <c r="D1011">
        <v>2009</v>
      </c>
      <c r="E1011">
        <f>car_price_prediction_[[#This Row],[Engine Size]]/10</f>
        <v>2.4</v>
      </c>
      <c r="F1011">
        <v>24</v>
      </c>
      <c r="G1011" s="1" t="s">
        <v>11</v>
      </c>
      <c r="H1011" s="1" t="s">
        <v>22</v>
      </c>
      <c r="I1011" s="12">
        <f>car_price_prediction_[[#This Row],[Mileage]]/1000</f>
        <v>6.0209999999999999</v>
      </c>
      <c r="J1011" s="5">
        <v>6021</v>
      </c>
      <c r="K1011" s="1" t="s">
        <v>13</v>
      </c>
      <c r="L1011" s="5">
        <f>car_price_prediction_[[#This Row],[Price]]/100</f>
        <v>40708.870000000003</v>
      </c>
      <c r="M1011">
        <v>4070887</v>
      </c>
      <c r="N1011" s="1" t="s">
        <v>42</v>
      </c>
      <c r="O1011" s="1">
        <f>IF(IFERROR(VLOOKUP(car_price_prediction_[[#This Row],[Car ID]],A1012:A3511,1,FALSE),0),1,0)</f>
        <v>0</v>
      </c>
    </row>
    <row r="1012" spans="1:15" x14ac:dyDescent="0.25">
      <c r="A1012">
        <v>1011</v>
      </c>
      <c r="B1012" s="1" t="s">
        <v>43</v>
      </c>
      <c r="C1012" s="1">
        <f>car_price_prediction_[[#This Row],[Year2]]</f>
        <v>2019</v>
      </c>
      <c r="D1012">
        <v>2019</v>
      </c>
      <c r="E1012">
        <f>car_price_prediction_[[#This Row],[Engine Size]]/10</f>
        <v>4.8</v>
      </c>
      <c r="F1012">
        <v>48</v>
      </c>
      <c r="G1012" s="1" t="s">
        <v>11</v>
      </c>
      <c r="H1012" s="1" t="s">
        <v>12</v>
      </c>
      <c r="I1012" s="12">
        <f>car_price_prediction_[[#This Row],[Mileage]]/1000</f>
        <v>113.41500000000001</v>
      </c>
      <c r="J1012" s="5">
        <v>113415</v>
      </c>
      <c r="K1012" s="1" t="s">
        <v>25</v>
      </c>
      <c r="L1012" s="5">
        <f>car_price_prediction_[[#This Row],[Price]]/100</f>
        <v>55556.15</v>
      </c>
      <c r="M1012">
        <v>5555615</v>
      </c>
      <c r="N1012" s="1" t="s">
        <v>47</v>
      </c>
      <c r="O1012" s="1">
        <f>IF(IFERROR(VLOOKUP(car_price_prediction_[[#This Row],[Car ID]],A1013:A3512,1,FALSE),0),1,0)</f>
        <v>0</v>
      </c>
    </row>
    <row r="1013" spans="1:15" x14ac:dyDescent="0.25">
      <c r="A1013">
        <v>1012</v>
      </c>
      <c r="B1013" s="1" t="s">
        <v>15</v>
      </c>
      <c r="C1013" s="1">
        <f>car_price_prediction_[[#This Row],[Year2]]</f>
        <v>2002</v>
      </c>
      <c r="D1013">
        <v>2002</v>
      </c>
      <c r="E1013">
        <f>car_price_prediction_[[#This Row],[Engine Size]]/10</f>
        <v>2.1</v>
      </c>
      <c r="F1013">
        <v>21</v>
      </c>
      <c r="G1013" s="1" t="s">
        <v>21</v>
      </c>
      <c r="H1013" s="1" t="s">
        <v>12</v>
      </c>
      <c r="I1013" s="12">
        <f>car_price_prediction_[[#This Row],[Mileage]]/1000</f>
        <v>270.85500000000002</v>
      </c>
      <c r="J1013" s="5">
        <v>270855</v>
      </c>
      <c r="K1013" s="1" t="s">
        <v>17</v>
      </c>
      <c r="L1013" s="5">
        <f>car_price_prediction_[[#This Row],[Price]]/100</f>
        <v>94486.25</v>
      </c>
      <c r="M1013">
        <v>9448625</v>
      </c>
      <c r="N1013" s="1" t="s">
        <v>35</v>
      </c>
      <c r="O1013" s="1">
        <f>IF(IFERROR(VLOOKUP(car_price_prediction_[[#This Row],[Car ID]],A1014:A3513,1,FALSE),0),1,0)</f>
        <v>0</v>
      </c>
    </row>
    <row r="1014" spans="1:15" x14ac:dyDescent="0.25">
      <c r="A1014">
        <v>1013</v>
      </c>
      <c r="B1014" s="1" t="s">
        <v>15</v>
      </c>
      <c r="C1014" s="1">
        <f>car_price_prediction_[[#This Row],[Year2]]</f>
        <v>2005</v>
      </c>
      <c r="D1014">
        <v>2005</v>
      </c>
      <c r="E1014">
        <f>car_price_prediction_[[#This Row],[Engine Size]]/10</f>
        <v>4.5</v>
      </c>
      <c r="F1014">
        <v>45</v>
      </c>
      <c r="G1014" s="1" t="s">
        <v>16</v>
      </c>
      <c r="H1014" s="1" t="s">
        <v>22</v>
      </c>
      <c r="I1014" s="12">
        <f>car_price_prediction_[[#This Row],[Mileage]]/1000</f>
        <v>7.9039999999999999</v>
      </c>
      <c r="J1014" s="5">
        <v>7904</v>
      </c>
      <c r="K1014" s="1" t="s">
        <v>17</v>
      </c>
      <c r="L1014" s="5">
        <f>car_price_prediction_[[#This Row],[Price]]/100</f>
        <v>69719.28</v>
      </c>
      <c r="M1014">
        <v>6971928</v>
      </c>
      <c r="N1014" s="1" t="s">
        <v>51</v>
      </c>
      <c r="O1014" s="1">
        <f>IF(IFERROR(VLOOKUP(car_price_prediction_[[#This Row],[Car ID]],A1015:A3514,1,FALSE),0),1,0)</f>
        <v>0</v>
      </c>
    </row>
    <row r="1015" spans="1:15" x14ac:dyDescent="0.25">
      <c r="A1015">
        <v>1014</v>
      </c>
      <c r="B1015" s="1" t="s">
        <v>19</v>
      </c>
      <c r="C1015" s="1">
        <f>car_price_prediction_[[#This Row],[Year2]]</f>
        <v>2006</v>
      </c>
      <c r="D1015">
        <v>2006</v>
      </c>
      <c r="E1015">
        <f>car_price_prediction_[[#This Row],[Engine Size]]/10</f>
        <v>2.2000000000000002</v>
      </c>
      <c r="F1015">
        <v>22</v>
      </c>
      <c r="G1015" s="1" t="s">
        <v>11</v>
      </c>
      <c r="H1015" s="1" t="s">
        <v>12</v>
      </c>
      <c r="I1015" s="12">
        <f>car_price_prediction_[[#This Row],[Mileage]]/1000</f>
        <v>64.033000000000001</v>
      </c>
      <c r="J1015" s="5">
        <v>64033</v>
      </c>
      <c r="K1015" s="1" t="s">
        <v>25</v>
      </c>
      <c r="L1015" s="5">
        <f>car_price_prediction_[[#This Row],[Price]]/100</f>
        <v>66332.39</v>
      </c>
      <c r="M1015">
        <v>6633239</v>
      </c>
      <c r="N1015" s="1" t="s">
        <v>20</v>
      </c>
      <c r="O1015" s="1">
        <f>IF(IFERROR(VLOOKUP(car_price_prediction_[[#This Row],[Car ID]],A1016:A3515,1,FALSE),0),1,0)</f>
        <v>0</v>
      </c>
    </row>
    <row r="1016" spans="1:15" x14ac:dyDescent="0.25">
      <c r="A1016">
        <v>1015</v>
      </c>
      <c r="B1016" s="1" t="s">
        <v>30</v>
      </c>
      <c r="C1016" s="1">
        <f>car_price_prediction_[[#This Row],[Year2]]</f>
        <v>2019</v>
      </c>
      <c r="D1016">
        <v>2019</v>
      </c>
      <c r="E1016">
        <f>car_price_prediction_[[#This Row],[Engine Size]]/10</f>
        <v>4.0999999999999996</v>
      </c>
      <c r="F1016">
        <v>41</v>
      </c>
      <c r="G1016" s="1" t="s">
        <v>29</v>
      </c>
      <c r="H1016" s="1" t="s">
        <v>12</v>
      </c>
      <c r="I1016" s="12">
        <f>car_price_prediction_[[#This Row],[Mileage]]/1000</f>
        <v>231.65899999999999</v>
      </c>
      <c r="J1016" s="5">
        <v>231659</v>
      </c>
      <c r="K1016" s="1" t="s">
        <v>17</v>
      </c>
      <c r="L1016" s="5">
        <f>car_price_prediction_[[#This Row],[Price]]/100</f>
        <v>72602.73</v>
      </c>
      <c r="M1016">
        <v>7260273</v>
      </c>
      <c r="N1016" s="1" t="s">
        <v>48</v>
      </c>
      <c r="O1016" s="1">
        <f>IF(IFERROR(VLOOKUP(car_price_prediction_[[#This Row],[Car ID]],A1017:A3516,1,FALSE),0),1,0)</f>
        <v>0</v>
      </c>
    </row>
    <row r="1017" spans="1:15" x14ac:dyDescent="0.25">
      <c r="A1017">
        <v>1016</v>
      </c>
      <c r="B1017" s="1" t="s">
        <v>36</v>
      </c>
      <c r="C1017" s="1">
        <f>car_price_prediction_[[#This Row],[Year2]]</f>
        <v>2022</v>
      </c>
      <c r="D1017">
        <v>2022</v>
      </c>
      <c r="E1017">
        <f>car_price_prediction_[[#This Row],[Engine Size]]/10</f>
        <v>4.7</v>
      </c>
      <c r="F1017">
        <v>47</v>
      </c>
      <c r="G1017" s="1" t="s">
        <v>16</v>
      </c>
      <c r="H1017" s="1" t="s">
        <v>22</v>
      </c>
      <c r="I1017" s="12">
        <f>car_price_prediction_[[#This Row],[Mileage]]/1000</f>
        <v>120.035</v>
      </c>
      <c r="J1017" s="5">
        <v>120035</v>
      </c>
      <c r="K1017" s="1" t="s">
        <v>17</v>
      </c>
      <c r="L1017" s="5">
        <f>car_price_prediction_[[#This Row],[Price]]/100</f>
        <v>92220.58</v>
      </c>
      <c r="M1017">
        <v>9222058</v>
      </c>
      <c r="N1017" s="1" t="s">
        <v>46</v>
      </c>
      <c r="O1017" s="1">
        <f>IF(IFERROR(VLOOKUP(car_price_prediction_[[#This Row],[Car ID]],A1018:A3517,1,FALSE),0),1,0)</f>
        <v>0</v>
      </c>
    </row>
    <row r="1018" spans="1:15" x14ac:dyDescent="0.25">
      <c r="A1018">
        <v>1017</v>
      </c>
      <c r="B1018" s="1" t="s">
        <v>19</v>
      </c>
      <c r="C1018" s="1">
        <f>car_price_prediction_[[#This Row],[Year2]]</f>
        <v>2017</v>
      </c>
      <c r="D1018">
        <v>2017</v>
      </c>
      <c r="E1018">
        <f>car_price_prediction_[[#This Row],[Engine Size]]/10</f>
        <v>2.1</v>
      </c>
      <c r="F1018">
        <v>21</v>
      </c>
      <c r="G1018" s="1" t="s">
        <v>29</v>
      </c>
      <c r="H1018" s="1" t="s">
        <v>22</v>
      </c>
      <c r="I1018" s="12">
        <f>car_price_prediction_[[#This Row],[Mileage]]/1000</f>
        <v>220.85900000000001</v>
      </c>
      <c r="J1018" s="5">
        <v>220859</v>
      </c>
      <c r="K1018" s="1" t="s">
        <v>25</v>
      </c>
      <c r="L1018" s="5">
        <f>car_price_prediction_[[#This Row],[Price]]/100</f>
        <v>2860.88</v>
      </c>
      <c r="M1018">
        <v>286088</v>
      </c>
      <c r="N1018" s="1" t="s">
        <v>38</v>
      </c>
      <c r="O1018" s="1">
        <f>IF(IFERROR(VLOOKUP(car_price_prediction_[[#This Row],[Car ID]],A1019:A3518,1,FALSE),0),1,0)</f>
        <v>0</v>
      </c>
    </row>
    <row r="1019" spans="1:15" x14ac:dyDescent="0.25">
      <c r="A1019">
        <v>1018</v>
      </c>
      <c r="B1019" s="1" t="s">
        <v>30</v>
      </c>
      <c r="C1019" s="1">
        <f>car_price_prediction_[[#This Row],[Year2]]</f>
        <v>2010</v>
      </c>
      <c r="D1019">
        <v>2010</v>
      </c>
      <c r="E1019">
        <f>car_price_prediction_[[#This Row],[Engine Size]]/10</f>
        <v>1.3</v>
      </c>
      <c r="F1019">
        <v>13</v>
      </c>
      <c r="G1019" s="1" t="s">
        <v>16</v>
      </c>
      <c r="H1019" s="1" t="s">
        <v>12</v>
      </c>
      <c r="I1019" s="12">
        <f>car_price_prediction_[[#This Row],[Mileage]]/1000</f>
        <v>186.16800000000001</v>
      </c>
      <c r="J1019" s="5">
        <v>186168</v>
      </c>
      <c r="K1019" s="1" t="s">
        <v>17</v>
      </c>
      <c r="L1019" s="5">
        <f>car_price_prediction_[[#This Row],[Price]]/100</f>
        <v>63257.91</v>
      </c>
      <c r="M1019">
        <v>6325791</v>
      </c>
      <c r="N1019" s="1" t="s">
        <v>31</v>
      </c>
      <c r="O1019" s="1">
        <f>IF(IFERROR(VLOOKUP(car_price_prediction_[[#This Row],[Car ID]],A1020:A3519,1,FALSE),0),1,0)</f>
        <v>0</v>
      </c>
    </row>
    <row r="1020" spans="1:15" x14ac:dyDescent="0.25">
      <c r="A1020">
        <v>1019</v>
      </c>
      <c r="B1020" s="1" t="s">
        <v>19</v>
      </c>
      <c r="C1020" s="1">
        <f>car_price_prediction_[[#This Row],[Year2]]</f>
        <v>2018</v>
      </c>
      <c r="D1020">
        <v>2018</v>
      </c>
      <c r="E1020">
        <f>car_price_prediction_[[#This Row],[Engine Size]]/10</f>
        <v>1.7</v>
      </c>
      <c r="F1020">
        <v>17</v>
      </c>
      <c r="G1020" s="1" t="s">
        <v>21</v>
      </c>
      <c r="H1020" s="1" t="s">
        <v>22</v>
      </c>
      <c r="I1020" s="12">
        <f>car_price_prediction_[[#This Row],[Mileage]]/1000</f>
        <v>221.666</v>
      </c>
      <c r="J1020" s="5">
        <v>221666</v>
      </c>
      <c r="K1020" s="1" t="s">
        <v>17</v>
      </c>
      <c r="L1020" s="5">
        <f>car_price_prediction_[[#This Row],[Price]]/100</f>
        <v>43037.42</v>
      </c>
      <c r="M1020">
        <v>4303742</v>
      </c>
      <c r="N1020" s="1" t="s">
        <v>38</v>
      </c>
      <c r="O1020" s="1">
        <f>IF(IFERROR(VLOOKUP(car_price_prediction_[[#This Row],[Car ID]],A1021:A3520,1,FALSE),0),1,0)</f>
        <v>0</v>
      </c>
    </row>
    <row r="1021" spans="1:15" x14ac:dyDescent="0.25">
      <c r="A1021">
        <v>1020</v>
      </c>
      <c r="B1021" s="1" t="s">
        <v>36</v>
      </c>
      <c r="C1021" s="1">
        <f>car_price_prediction_[[#This Row],[Year2]]</f>
        <v>2004</v>
      </c>
      <c r="D1021">
        <v>2004</v>
      </c>
      <c r="E1021">
        <f>car_price_prediction_[[#This Row],[Engine Size]]/10</f>
        <v>4</v>
      </c>
      <c r="F1021">
        <v>40</v>
      </c>
      <c r="G1021" s="1" t="s">
        <v>29</v>
      </c>
      <c r="H1021" s="1" t="s">
        <v>12</v>
      </c>
      <c r="I1021" s="12">
        <f>car_price_prediction_[[#This Row],[Mileage]]/1000</f>
        <v>231.85300000000001</v>
      </c>
      <c r="J1021" s="5">
        <v>231853</v>
      </c>
      <c r="K1021" s="1" t="s">
        <v>25</v>
      </c>
      <c r="L1021" s="5">
        <f>car_price_prediction_[[#This Row],[Price]]/100</f>
        <v>6126.25</v>
      </c>
      <c r="M1021">
        <v>612625</v>
      </c>
      <c r="N1021" s="1" t="s">
        <v>37</v>
      </c>
      <c r="O1021" s="1">
        <f>IF(IFERROR(VLOOKUP(car_price_prediction_[[#This Row],[Car ID]],A1022:A3521,1,FALSE),0),1,0)</f>
        <v>0</v>
      </c>
    </row>
    <row r="1022" spans="1:15" x14ac:dyDescent="0.25">
      <c r="A1022">
        <v>1021</v>
      </c>
      <c r="B1022" s="1" t="s">
        <v>24</v>
      </c>
      <c r="C1022" s="1">
        <f>car_price_prediction_[[#This Row],[Year2]]</f>
        <v>2018</v>
      </c>
      <c r="D1022">
        <v>2018</v>
      </c>
      <c r="E1022">
        <f>car_price_prediction_[[#This Row],[Engine Size]]/10</f>
        <v>5.2</v>
      </c>
      <c r="F1022">
        <v>52</v>
      </c>
      <c r="G1022" s="1" t="s">
        <v>29</v>
      </c>
      <c r="H1022" s="1" t="s">
        <v>12</v>
      </c>
      <c r="I1022" s="12">
        <f>car_price_prediction_[[#This Row],[Mileage]]/1000</f>
        <v>265.23700000000002</v>
      </c>
      <c r="J1022" s="5">
        <v>265237</v>
      </c>
      <c r="K1022" s="1" t="s">
        <v>17</v>
      </c>
      <c r="L1022" s="5">
        <f>car_price_prediction_[[#This Row],[Price]]/100</f>
        <v>16903.59</v>
      </c>
      <c r="M1022">
        <v>1690359</v>
      </c>
      <c r="N1022" s="1" t="s">
        <v>32</v>
      </c>
      <c r="O1022" s="1">
        <f>IF(IFERROR(VLOOKUP(car_price_prediction_[[#This Row],[Car ID]],A1023:A3522,1,FALSE),0),1,0)</f>
        <v>0</v>
      </c>
    </row>
    <row r="1023" spans="1:15" x14ac:dyDescent="0.25">
      <c r="A1023">
        <v>1022</v>
      </c>
      <c r="B1023" s="1" t="s">
        <v>24</v>
      </c>
      <c r="C1023" s="1">
        <f>car_price_prediction_[[#This Row],[Year2]]</f>
        <v>2010</v>
      </c>
      <c r="D1023">
        <v>2010</v>
      </c>
      <c r="E1023">
        <f>car_price_prediction_[[#This Row],[Engine Size]]/10</f>
        <v>1.2</v>
      </c>
      <c r="F1023">
        <v>12</v>
      </c>
      <c r="G1023" s="1" t="s">
        <v>21</v>
      </c>
      <c r="H1023" s="1" t="s">
        <v>22</v>
      </c>
      <c r="I1023" s="12">
        <f>car_price_prediction_[[#This Row],[Mileage]]/1000</f>
        <v>287.06200000000001</v>
      </c>
      <c r="J1023" s="5">
        <v>287062</v>
      </c>
      <c r="K1023" s="1" t="s">
        <v>17</v>
      </c>
      <c r="L1023" s="5">
        <f>car_price_prediction_[[#This Row],[Price]]/100</f>
        <v>35874.230000000003</v>
      </c>
      <c r="M1023">
        <v>3587423</v>
      </c>
      <c r="N1023" s="1" t="s">
        <v>34</v>
      </c>
      <c r="O1023" s="1">
        <f>IF(IFERROR(VLOOKUP(car_price_prediction_[[#This Row],[Car ID]],A1024:A3523,1,FALSE),0),1,0)</f>
        <v>0</v>
      </c>
    </row>
    <row r="1024" spans="1:15" x14ac:dyDescent="0.25">
      <c r="A1024">
        <v>1023</v>
      </c>
      <c r="B1024" s="1" t="s">
        <v>24</v>
      </c>
      <c r="C1024" s="1">
        <f>car_price_prediction_[[#This Row],[Year2]]</f>
        <v>2023</v>
      </c>
      <c r="D1024">
        <v>2023</v>
      </c>
      <c r="E1024">
        <f>car_price_prediction_[[#This Row],[Engine Size]]/10</f>
        <v>4.7</v>
      </c>
      <c r="F1024">
        <v>47</v>
      </c>
      <c r="G1024" s="1" t="s">
        <v>29</v>
      </c>
      <c r="H1024" s="1" t="s">
        <v>22</v>
      </c>
      <c r="I1024" s="12">
        <f>car_price_prediction_[[#This Row],[Mileage]]/1000</f>
        <v>193.708</v>
      </c>
      <c r="J1024" s="5">
        <v>193708</v>
      </c>
      <c r="K1024" s="1" t="s">
        <v>17</v>
      </c>
      <c r="L1024" s="5">
        <f>car_price_prediction_[[#This Row],[Price]]/100</f>
        <v>5867.5</v>
      </c>
      <c r="M1024">
        <v>586750</v>
      </c>
      <c r="N1024" s="1" t="s">
        <v>34</v>
      </c>
      <c r="O1024" s="1">
        <f>IF(IFERROR(VLOOKUP(car_price_prediction_[[#This Row],[Car ID]],A1025:A3524,1,FALSE),0),1,0)</f>
        <v>0</v>
      </c>
    </row>
    <row r="1025" spans="1:15" x14ac:dyDescent="0.25">
      <c r="A1025">
        <v>1024</v>
      </c>
      <c r="B1025" s="1" t="s">
        <v>24</v>
      </c>
      <c r="C1025" s="1">
        <f>car_price_prediction_[[#This Row],[Year2]]</f>
        <v>2011</v>
      </c>
      <c r="D1025">
        <v>2011</v>
      </c>
      <c r="E1025">
        <f>car_price_prediction_[[#This Row],[Engine Size]]/10</f>
        <v>2.7</v>
      </c>
      <c r="F1025">
        <v>27</v>
      </c>
      <c r="G1025" s="1" t="s">
        <v>16</v>
      </c>
      <c r="H1025" s="1" t="s">
        <v>12</v>
      </c>
      <c r="I1025" s="12">
        <f>car_price_prediction_[[#This Row],[Mileage]]/1000</f>
        <v>189.87799999999999</v>
      </c>
      <c r="J1025" s="5">
        <v>189878</v>
      </c>
      <c r="K1025" s="1" t="s">
        <v>17</v>
      </c>
      <c r="L1025" s="5">
        <f>car_price_prediction_[[#This Row],[Price]]/100</f>
        <v>8874.01</v>
      </c>
      <c r="M1025">
        <v>887401</v>
      </c>
      <c r="N1025" s="1" t="s">
        <v>34</v>
      </c>
      <c r="O1025" s="1">
        <f>IF(IFERROR(VLOOKUP(car_price_prediction_[[#This Row],[Car ID]],A1026:A3525,1,FALSE),0),1,0)</f>
        <v>0</v>
      </c>
    </row>
    <row r="1026" spans="1:15" x14ac:dyDescent="0.25">
      <c r="A1026">
        <v>1025</v>
      </c>
      <c r="B1026" s="1" t="s">
        <v>10</v>
      </c>
      <c r="C1026" s="1">
        <f>car_price_prediction_[[#This Row],[Year2]]</f>
        <v>2009</v>
      </c>
      <c r="D1026">
        <v>2009</v>
      </c>
      <c r="E1026">
        <f>car_price_prediction_[[#This Row],[Engine Size]]/10</f>
        <v>3.4</v>
      </c>
      <c r="F1026">
        <v>34</v>
      </c>
      <c r="G1026" s="1" t="s">
        <v>11</v>
      </c>
      <c r="H1026" s="1" t="s">
        <v>22</v>
      </c>
      <c r="I1026" s="12">
        <f>car_price_prediction_[[#This Row],[Mileage]]/1000</f>
        <v>140.46600000000001</v>
      </c>
      <c r="J1026" s="5">
        <v>140466</v>
      </c>
      <c r="K1026" s="1" t="s">
        <v>25</v>
      </c>
      <c r="L1026" s="5">
        <f>car_price_prediction_[[#This Row],[Price]]/100</f>
        <v>80155.839999999997</v>
      </c>
      <c r="M1026">
        <v>8015584</v>
      </c>
      <c r="N1026" s="1" t="s">
        <v>23</v>
      </c>
      <c r="O1026" s="1">
        <f>IF(IFERROR(VLOOKUP(car_price_prediction_[[#This Row],[Car ID]],A1027:A3526,1,FALSE),0),1,0)</f>
        <v>0</v>
      </c>
    </row>
    <row r="1027" spans="1:15" x14ac:dyDescent="0.25">
      <c r="A1027">
        <v>1026</v>
      </c>
      <c r="B1027" s="1" t="s">
        <v>43</v>
      </c>
      <c r="C1027" s="1">
        <f>car_price_prediction_[[#This Row],[Year2]]</f>
        <v>2007</v>
      </c>
      <c r="D1027">
        <v>2007</v>
      </c>
      <c r="E1027">
        <f>car_price_prediction_[[#This Row],[Engine Size]]/10</f>
        <v>5.6</v>
      </c>
      <c r="F1027">
        <v>56</v>
      </c>
      <c r="G1027" s="1" t="s">
        <v>11</v>
      </c>
      <c r="H1027" s="1" t="s">
        <v>22</v>
      </c>
      <c r="I1027" s="12">
        <f>car_price_prediction_[[#This Row],[Mileage]]/1000</f>
        <v>124.501</v>
      </c>
      <c r="J1027" s="5">
        <v>124501</v>
      </c>
      <c r="K1027" s="1" t="s">
        <v>13</v>
      </c>
      <c r="L1027" s="5">
        <f>car_price_prediction_[[#This Row],[Price]]/100</f>
        <v>5756.67</v>
      </c>
      <c r="M1027">
        <v>575667</v>
      </c>
      <c r="N1027" s="1" t="s">
        <v>52</v>
      </c>
      <c r="O1027" s="1">
        <f>IF(IFERROR(VLOOKUP(car_price_prediction_[[#This Row],[Car ID]],A1028:A3527,1,FALSE),0),1,0)</f>
        <v>0</v>
      </c>
    </row>
    <row r="1028" spans="1:15" x14ac:dyDescent="0.25">
      <c r="A1028">
        <v>1027</v>
      </c>
      <c r="B1028" s="1" t="s">
        <v>10</v>
      </c>
      <c r="C1028" s="1">
        <f>car_price_prediction_[[#This Row],[Year2]]</f>
        <v>2023</v>
      </c>
      <c r="D1028">
        <v>2023</v>
      </c>
      <c r="E1028">
        <f>car_price_prediction_[[#This Row],[Engine Size]]/10</f>
        <v>2.7</v>
      </c>
      <c r="F1028">
        <v>27</v>
      </c>
      <c r="G1028" s="1" t="s">
        <v>21</v>
      </c>
      <c r="H1028" s="1" t="s">
        <v>12</v>
      </c>
      <c r="I1028" s="12">
        <f>car_price_prediction_[[#This Row],[Mileage]]/1000</f>
        <v>260.22800000000001</v>
      </c>
      <c r="J1028" s="5">
        <v>260228</v>
      </c>
      <c r="K1028" s="1" t="s">
        <v>13</v>
      </c>
      <c r="L1028" s="5">
        <f>car_price_prediction_[[#This Row],[Price]]/100</f>
        <v>12017.69</v>
      </c>
      <c r="M1028">
        <v>1201769</v>
      </c>
      <c r="N1028" s="1" t="s">
        <v>49</v>
      </c>
      <c r="O1028" s="1">
        <f>IF(IFERROR(VLOOKUP(car_price_prediction_[[#This Row],[Car ID]],A1029:A3528,1,FALSE),0),1,0)</f>
        <v>0</v>
      </c>
    </row>
    <row r="1029" spans="1:15" x14ac:dyDescent="0.25">
      <c r="A1029">
        <v>1028</v>
      </c>
      <c r="B1029" s="1" t="s">
        <v>10</v>
      </c>
      <c r="C1029" s="1">
        <f>car_price_prediction_[[#This Row],[Year2]]</f>
        <v>2008</v>
      </c>
      <c r="D1029">
        <v>2008</v>
      </c>
      <c r="E1029">
        <f>car_price_prediction_[[#This Row],[Engine Size]]/10</f>
        <v>3.3</v>
      </c>
      <c r="F1029">
        <v>33</v>
      </c>
      <c r="G1029" s="1" t="s">
        <v>16</v>
      </c>
      <c r="H1029" s="1" t="s">
        <v>12</v>
      </c>
      <c r="I1029" s="12">
        <f>car_price_prediction_[[#This Row],[Mileage]]/1000</f>
        <v>92.51</v>
      </c>
      <c r="J1029" s="5">
        <v>92510</v>
      </c>
      <c r="K1029" s="1" t="s">
        <v>17</v>
      </c>
      <c r="L1029" s="5">
        <f>car_price_prediction_[[#This Row],[Price]]/100</f>
        <v>3216.11</v>
      </c>
      <c r="M1029">
        <v>321611</v>
      </c>
      <c r="N1029" s="1" t="s">
        <v>14</v>
      </c>
      <c r="O1029" s="1">
        <f>IF(IFERROR(VLOOKUP(car_price_prediction_[[#This Row],[Car ID]],A1030:A3529,1,FALSE),0),1,0)</f>
        <v>0</v>
      </c>
    </row>
    <row r="1030" spans="1:15" x14ac:dyDescent="0.25">
      <c r="A1030">
        <v>1029</v>
      </c>
      <c r="B1030" s="1" t="s">
        <v>10</v>
      </c>
      <c r="C1030" s="1">
        <f>car_price_prediction_[[#This Row],[Year2]]</f>
        <v>2003</v>
      </c>
      <c r="D1030">
        <v>2003</v>
      </c>
      <c r="E1030">
        <f>car_price_prediction_[[#This Row],[Engine Size]]/10</f>
        <v>1.1000000000000001</v>
      </c>
      <c r="F1030">
        <v>11</v>
      </c>
      <c r="G1030" s="1" t="s">
        <v>29</v>
      </c>
      <c r="H1030" s="1" t="s">
        <v>12</v>
      </c>
      <c r="I1030" s="12">
        <f>car_price_prediction_[[#This Row],[Mileage]]/1000</f>
        <v>93.707999999999998</v>
      </c>
      <c r="J1030" s="5">
        <v>93708</v>
      </c>
      <c r="K1030" s="1" t="s">
        <v>25</v>
      </c>
      <c r="L1030" s="5">
        <f>car_price_prediction_[[#This Row],[Price]]/100</f>
        <v>39837.32</v>
      </c>
      <c r="M1030">
        <v>3983732</v>
      </c>
      <c r="N1030" s="1" t="s">
        <v>23</v>
      </c>
      <c r="O1030" s="1">
        <f>IF(IFERROR(VLOOKUP(car_price_prediction_[[#This Row],[Car ID]],A1031:A3530,1,FALSE),0),1,0)</f>
        <v>0</v>
      </c>
    </row>
    <row r="1031" spans="1:15" x14ac:dyDescent="0.25">
      <c r="A1031">
        <v>1030</v>
      </c>
      <c r="B1031" s="1" t="s">
        <v>24</v>
      </c>
      <c r="C1031" s="1">
        <f>car_price_prediction_[[#This Row],[Year2]]</f>
        <v>2004</v>
      </c>
      <c r="D1031">
        <v>2004</v>
      </c>
      <c r="E1031">
        <f>car_price_prediction_[[#This Row],[Engine Size]]/10</f>
        <v>1.4</v>
      </c>
      <c r="F1031">
        <v>14</v>
      </c>
      <c r="G1031" s="1" t="s">
        <v>29</v>
      </c>
      <c r="H1031" s="1" t="s">
        <v>12</v>
      </c>
      <c r="I1031" s="12">
        <f>car_price_prediction_[[#This Row],[Mileage]]/1000</f>
        <v>97.819000000000003</v>
      </c>
      <c r="J1031" s="5">
        <v>97819</v>
      </c>
      <c r="K1031" s="1" t="s">
        <v>25</v>
      </c>
      <c r="L1031" s="5">
        <f>car_price_prediction_[[#This Row],[Price]]/100</f>
        <v>64063.13</v>
      </c>
      <c r="M1031">
        <v>6406313</v>
      </c>
      <c r="N1031" s="1" t="s">
        <v>34</v>
      </c>
      <c r="O1031" s="1">
        <f>IF(IFERROR(VLOOKUP(car_price_prediction_[[#This Row],[Car ID]],A1032:A3531,1,FALSE),0),1,0)</f>
        <v>0</v>
      </c>
    </row>
    <row r="1032" spans="1:15" x14ac:dyDescent="0.25">
      <c r="A1032">
        <v>1031</v>
      </c>
      <c r="B1032" s="1" t="s">
        <v>36</v>
      </c>
      <c r="C1032" s="1">
        <f>car_price_prediction_[[#This Row],[Year2]]</f>
        <v>2020</v>
      </c>
      <c r="D1032">
        <v>2020</v>
      </c>
      <c r="E1032">
        <f>car_price_prediction_[[#This Row],[Engine Size]]/10</f>
        <v>2.2999999999999998</v>
      </c>
      <c r="F1032">
        <v>23</v>
      </c>
      <c r="G1032" s="1" t="s">
        <v>11</v>
      </c>
      <c r="H1032" s="1" t="s">
        <v>12</v>
      </c>
      <c r="I1032" s="12">
        <f>car_price_prediction_[[#This Row],[Mileage]]/1000</f>
        <v>235.60300000000001</v>
      </c>
      <c r="J1032" s="5">
        <v>235603</v>
      </c>
      <c r="K1032" s="1" t="s">
        <v>17</v>
      </c>
      <c r="L1032" s="5">
        <f>car_price_prediction_[[#This Row],[Price]]/100</f>
        <v>11167.74</v>
      </c>
      <c r="M1032">
        <v>1116774</v>
      </c>
      <c r="N1032" s="1" t="s">
        <v>46</v>
      </c>
      <c r="O1032" s="1">
        <f>IF(IFERROR(VLOOKUP(car_price_prediction_[[#This Row],[Car ID]],A1033:A3532,1,FALSE),0),1,0)</f>
        <v>0</v>
      </c>
    </row>
    <row r="1033" spans="1:15" x14ac:dyDescent="0.25">
      <c r="A1033">
        <v>1032</v>
      </c>
      <c r="B1033" s="1" t="s">
        <v>15</v>
      </c>
      <c r="C1033" s="1">
        <f>car_price_prediction_[[#This Row],[Year2]]</f>
        <v>2007</v>
      </c>
      <c r="D1033">
        <v>2007</v>
      </c>
      <c r="E1033">
        <f>car_price_prediction_[[#This Row],[Engine Size]]/10</f>
        <v>1.1000000000000001</v>
      </c>
      <c r="F1033">
        <v>11</v>
      </c>
      <c r="G1033" s="1" t="s">
        <v>29</v>
      </c>
      <c r="H1033" s="1" t="s">
        <v>12</v>
      </c>
      <c r="I1033" s="12">
        <f>car_price_prediction_[[#This Row],[Mileage]]/1000</f>
        <v>36.302999999999997</v>
      </c>
      <c r="J1033" s="5">
        <v>36303</v>
      </c>
      <c r="K1033" s="1" t="s">
        <v>13</v>
      </c>
      <c r="L1033" s="5">
        <f>car_price_prediction_[[#This Row],[Price]]/100</f>
        <v>55368.39</v>
      </c>
      <c r="M1033">
        <v>5536839</v>
      </c>
      <c r="N1033" s="1" t="s">
        <v>18</v>
      </c>
      <c r="O1033" s="1">
        <f>IF(IFERROR(VLOOKUP(car_price_prediction_[[#This Row],[Car ID]],A1034:A3533,1,FALSE),0),1,0)</f>
        <v>0</v>
      </c>
    </row>
    <row r="1034" spans="1:15" x14ac:dyDescent="0.25">
      <c r="A1034">
        <v>1033</v>
      </c>
      <c r="B1034" s="1" t="s">
        <v>15</v>
      </c>
      <c r="C1034" s="1">
        <f>car_price_prediction_[[#This Row],[Year2]]</f>
        <v>2022</v>
      </c>
      <c r="D1034">
        <v>2022</v>
      </c>
      <c r="E1034">
        <f>car_price_prediction_[[#This Row],[Engine Size]]/10</f>
        <v>4.2</v>
      </c>
      <c r="F1034">
        <v>42</v>
      </c>
      <c r="G1034" s="1" t="s">
        <v>11</v>
      </c>
      <c r="H1034" s="1" t="s">
        <v>22</v>
      </c>
      <c r="I1034" s="12">
        <f>car_price_prediction_[[#This Row],[Mileage]]/1000</f>
        <v>27.452999999999999</v>
      </c>
      <c r="J1034" s="5">
        <v>27453</v>
      </c>
      <c r="K1034" s="1" t="s">
        <v>17</v>
      </c>
      <c r="L1034" s="5">
        <f>car_price_prediction_[[#This Row],[Price]]/100</f>
        <v>90639.13</v>
      </c>
      <c r="M1034">
        <v>9063913</v>
      </c>
      <c r="N1034" s="1" t="s">
        <v>51</v>
      </c>
      <c r="O1034" s="1">
        <f>IF(IFERROR(VLOOKUP(car_price_prediction_[[#This Row],[Car ID]],A1035:A3534,1,FALSE),0),1,0)</f>
        <v>0</v>
      </c>
    </row>
    <row r="1035" spans="1:15" x14ac:dyDescent="0.25">
      <c r="A1035">
        <v>1034</v>
      </c>
      <c r="B1035" s="1" t="s">
        <v>43</v>
      </c>
      <c r="C1035" s="1">
        <f>car_price_prediction_[[#This Row],[Year2]]</f>
        <v>2008</v>
      </c>
      <c r="D1035">
        <v>2008</v>
      </c>
      <c r="E1035">
        <f>car_price_prediction_[[#This Row],[Engine Size]]/10</f>
        <v>3.1</v>
      </c>
      <c r="F1035">
        <v>31</v>
      </c>
      <c r="G1035" s="1" t="s">
        <v>21</v>
      </c>
      <c r="H1035" s="1" t="s">
        <v>12</v>
      </c>
      <c r="I1035" s="12">
        <f>car_price_prediction_[[#This Row],[Mileage]]/1000</f>
        <v>199.52099999999999</v>
      </c>
      <c r="J1035" s="5">
        <v>199521</v>
      </c>
      <c r="K1035" s="1" t="s">
        <v>25</v>
      </c>
      <c r="L1035" s="5">
        <f>car_price_prediction_[[#This Row],[Price]]/100</f>
        <v>72016.11</v>
      </c>
      <c r="M1035">
        <v>7201611</v>
      </c>
      <c r="N1035" s="1" t="s">
        <v>47</v>
      </c>
      <c r="O1035" s="1">
        <f>IF(IFERROR(VLOOKUP(car_price_prediction_[[#This Row],[Car ID]],A1036:A3535,1,FALSE),0),1,0)</f>
        <v>0</v>
      </c>
    </row>
    <row r="1036" spans="1:15" x14ac:dyDescent="0.25">
      <c r="A1036">
        <v>1035</v>
      </c>
      <c r="B1036" s="1" t="s">
        <v>24</v>
      </c>
      <c r="C1036" s="1">
        <f>car_price_prediction_[[#This Row],[Year2]]</f>
        <v>2014</v>
      </c>
      <c r="D1036">
        <v>2014</v>
      </c>
      <c r="E1036">
        <f>car_price_prediction_[[#This Row],[Engine Size]]/10</f>
        <v>3.7</v>
      </c>
      <c r="F1036">
        <v>37</v>
      </c>
      <c r="G1036" s="1" t="s">
        <v>29</v>
      </c>
      <c r="H1036" s="1" t="s">
        <v>22</v>
      </c>
      <c r="I1036" s="12">
        <f>car_price_prediction_[[#This Row],[Mileage]]/1000</f>
        <v>156.83699999999999</v>
      </c>
      <c r="J1036" s="5">
        <v>156837</v>
      </c>
      <c r="K1036" s="1" t="s">
        <v>25</v>
      </c>
      <c r="L1036" s="5">
        <f>car_price_prediction_[[#This Row],[Price]]/100</f>
        <v>8072.23</v>
      </c>
      <c r="M1036">
        <v>807223</v>
      </c>
      <c r="N1036" s="1" t="s">
        <v>32</v>
      </c>
      <c r="O1036" s="1">
        <f>IF(IFERROR(VLOOKUP(car_price_prediction_[[#This Row],[Car ID]],A1037:A3536,1,FALSE),0),1,0)</f>
        <v>0</v>
      </c>
    </row>
    <row r="1037" spans="1:15" x14ac:dyDescent="0.25">
      <c r="A1037">
        <v>1036</v>
      </c>
      <c r="B1037" s="1" t="s">
        <v>24</v>
      </c>
      <c r="C1037" s="1">
        <f>car_price_prediction_[[#This Row],[Year2]]</f>
        <v>2014</v>
      </c>
      <c r="D1037">
        <v>2014</v>
      </c>
      <c r="E1037">
        <f>car_price_prediction_[[#This Row],[Engine Size]]/10</f>
        <v>1.9</v>
      </c>
      <c r="F1037">
        <v>19</v>
      </c>
      <c r="G1037" s="1" t="s">
        <v>16</v>
      </c>
      <c r="H1037" s="1" t="s">
        <v>22</v>
      </c>
      <c r="I1037" s="12">
        <f>car_price_prediction_[[#This Row],[Mileage]]/1000</f>
        <v>222.78700000000001</v>
      </c>
      <c r="J1037" s="5">
        <v>222787</v>
      </c>
      <c r="K1037" s="1" t="s">
        <v>13</v>
      </c>
      <c r="L1037" s="5">
        <f>car_price_prediction_[[#This Row],[Price]]/100</f>
        <v>69759.19</v>
      </c>
      <c r="M1037">
        <v>6975919</v>
      </c>
      <c r="N1037" s="1" t="s">
        <v>34</v>
      </c>
      <c r="O1037" s="1">
        <f>IF(IFERROR(VLOOKUP(car_price_prediction_[[#This Row],[Car ID]],A1038:A3537,1,FALSE),0),1,0)</f>
        <v>0</v>
      </c>
    </row>
    <row r="1038" spans="1:15" x14ac:dyDescent="0.25">
      <c r="A1038">
        <v>1037</v>
      </c>
      <c r="B1038" s="1" t="s">
        <v>24</v>
      </c>
      <c r="C1038" s="1">
        <f>car_price_prediction_[[#This Row],[Year2]]</f>
        <v>2015</v>
      </c>
      <c r="D1038">
        <v>2015</v>
      </c>
      <c r="E1038">
        <f>car_price_prediction_[[#This Row],[Engine Size]]/10</f>
        <v>2.5</v>
      </c>
      <c r="F1038">
        <v>25</v>
      </c>
      <c r="G1038" s="1" t="s">
        <v>29</v>
      </c>
      <c r="H1038" s="1" t="s">
        <v>12</v>
      </c>
      <c r="I1038" s="12">
        <f>car_price_prediction_[[#This Row],[Mileage]]/1000</f>
        <v>38.057000000000002</v>
      </c>
      <c r="J1038" s="5">
        <v>38057</v>
      </c>
      <c r="K1038" s="1" t="s">
        <v>25</v>
      </c>
      <c r="L1038" s="5">
        <f>car_price_prediction_[[#This Row],[Price]]/100</f>
        <v>24625.97</v>
      </c>
      <c r="M1038">
        <v>2462597</v>
      </c>
      <c r="N1038" s="1" t="s">
        <v>34</v>
      </c>
      <c r="O1038" s="1">
        <f>IF(IFERROR(VLOOKUP(car_price_prediction_[[#This Row],[Car ID]],A1039:A3538,1,FALSE),0),1,0)</f>
        <v>0</v>
      </c>
    </row>
    <row r="1039" spans="1:15" x14ac:dyDescent="0.25">
      <c r="A1039">
        <v>1038</v>
      </c>
      <c r="B1039" s="1" t="s">
        <v>19</v>
      </c>
      <c r="C1039" s="1">
        <f>car_price_prediction_[[#This Row],[Year2]]</f>
        <v>2013</v>
      </c>
      <c r="D1039">
        <v>2013</v>
      </c>
      <c r="E1039">
        <f>car_price_prediction_[[#This Row],[Engine Size]]/10</f>
        <v>4.3</v>
      </c>
      <c r="F1039">
        <v>43</v>
      </c>
      <c r="G1039" s="1" t="s">
        <v>11</v>
      </c>
      <c r="H1039" s="1" t="s">
        <v>22</v>
      </c>
      <c r="I1039" s="12">
        <f>car_price_prediction_[[#This Row],[Mileage]]/1000</f>
        <v>189.06</v>
      </c>
      <c r="J1039" s="5">
        <v>189060</v>
      </c>
      <c r="K1039" s="1" t="s">
        <v>25</v>
      </c>
      <c r="L1039" s="5">
        <f>car_price_prediction_[[#This Row],[Price]]/100</f>
        <v>15495.96</v>
      </c>
      <c r="M1039">
        <v>1549596</v>
      </c>
      <c r="N1039" s="1" t="s">
        <v>20</v>
      </c>
      <c r="O1039" s="1">
        <f>IF(IFERROR(VLOOKUP(car_price_prediction_[[#This Row],[Car ID]],A1040:A3539,1,FALSE),0),1,0)</f>
        <v>0</v>
      </c>
    </row>
    <row r="1040" spans="1:15" x14ac:dyDescent="0.25">
      <c r="A1040">
        <v>1039</v>
      </c>
      <c r="B1040" s="1" t="s">
        <v>30</v>
      </c>
      <c r="C1040" s="1">
        <f>car_price_prediction_[[#This Row],[Year2]]</f>
        <v>2007</v>
      </c>
      <c r="D1040">
        <v>2007</v>
      </c>
      <c r="E1040">
        <f>car_price_prediction_[[#This Row],[Engine Size]]/10</f>
        <v>5.8</v>
      </c>
      <c r="F1040">
        <v>58</v>
      </c>
      <c r="G1040" s="1" t="s">
        <v>21</v>
      </c>
      <c r="H1040" s="1" t="s">
        <v>12</v>
      </c>
      <c r="I1040" s="12">
        <f>car_price_prediction_[[#This Row],[Mileage]]/1000</f>
        <v>94.655000000000001</v>
      </c>
      <c r="J1040" s="5">
        <v>94655</v>
      </c>
      <c r="K1040" s="1" t="s">
        <v>25</v>
      </c>
      <c r="L1040" s="5">
        <f>car_price_prediction_[[#This Row],[Price]]/100</f>
        <v>83801.61</v>
      </c>
      <c r="M1040">
        <v>8380161</v>
      </c>
      <c r="N1040" s="1" t="s">
        <v>45</v>
      </c>
      <c r="O1040" s="1">
        <f>IF(IFERROR(VLOOKUP(car_price_prediction_[[#This Row],[Car ID]],A1041:A3540,1,FALSE),0),1,0)</f>
        <v>0</v>
      </c>
    </row>
    <row r="1041" spans="1:15" x14ac:dyDescent="0.25">
      <c r="A1041">
        <v>1040</v>
      </c>
      <c r="B1041" s="1" t="s">
        <v>19</v>
      </c>
      <c r="C1041" s="1">
        <f>car_price_prediction_[[#This Row],[Year2]]</f>
        <v>2017</v>
      </c>
      <c r="D1041">
        <v>2017</v>
      </c>
      <c r="E1041">
        <f>car_price_prediction_[[#This Row],[Engine Size]]/10</f>
        <v>1.3</v>
      </c>
      <c r="F1041">
        <v>13</v>
      </c>
      <c r="G1041" s="1" t="s">
        <v>11</v>
      </c>
      <c r="H1041" s="1" t="s">
        <v>22</v>
      </c>
      <c r="I1041" s="12">
        <f>car_price_prediction_[[#This Row],[Mileage]]/1000</f>
        <v>277.16899999999998</v>
      </c>
      <c r="J1041" s="5">
        <v>277169</v>
      </c>
      <c r="K1041" s="1" t="s">
        <v>13</v>
      </c>
      <c r="L1041" s="5">
        <f>car_price_prediction_[[#This Row],[Price]]/100</f>
        <v>71072.92</v>
      </c>
      <c r="M1041">
        <v>7107292</v>
      </c>
      <c r="N1041" s="1" t="s">
        <v>20</v>
      </c>
      <c r="O1041" s="1">
        <f>IF(IFERROR(VLOOKUP(car_price_prediction_[[#This Row],[Car ID]],A1042:A3541,1,FALSE),0),1,0)</f>
        <v>0</v>
      </c>
    </row>
    <row r="1042" spans="1:15" x14ac:dyDescent="0.25">
      <c r="A1042">
        <v>1041</v>
      </c>
      <c r="B1042" s="1" t="s">
        <v>30</v>
      </c>
      <c r="C1042" s="1">
        <f>car_price_prediction_[[#This Row],[Year2]]</f>
        <v>2009</v>
      </c>
      <c r="D1042">
        <v>2009</v>
      </c>
      <c r="E1042">
        <f>car_price_prediction_[[#This Row],[Engine Size]]/10</f>
        <v>5.5</v>
      </c>
      <c r="F1042">
        <v>55</v>
      </c>
      <c r="G1042" s="1" t="s">
        <v>29</v>
      </c>
      <c r="H1042" s="1" t="s">
        <v>12</v>
      </c>
      <c r="I1042" s="12">
        <f>car_price_prediction_[[#This Row],[Mileage]]/1000</f>
        <v>269.28899999999999</v>
      </c>
      <c r="J1042" s="5">
        <v>269289</v>
      </c>
      <c r="K1042" s="1" t="s">
        <v>25</v>
      </c>
      <c r="L1042" s="5">
        <f>car_price_prediction_[[#This Row],[Price]]/100</f>
        <v>59630.85</v>
      </c>
      <c r="M1042">
        <v>5963085</v>
      </c>
      <c r="N1042" s="1" t="s">
        <v>45</v>
      </c>
      <c r="O1042" s="1">
        <f>IF(IFERROR(VLOOKUP(car_price_prediction_[[#This Row],[Car ID]],A1043:A3542,1,FALSE),0),1,0)</f>
        <v>0</v>
      </c>
    </row>
    <row r="1043" spans="1:15" x14ac:dyDescent="0.25">
      <c r="A1043">
        <v>1042</v>
      </c>
      <c r="B1043" s="1" t="s">
        <v>24</v>
      </c>
      <c r="C1043" s="1">
        <f>car_price_prediction_[[#This Row],[Year2]]</f>
        <v>2019</v>
      </c>
      <c r="D1043">
        <v>2019</v>
      </c>
      <c r="E1043">
        <f>car_price_prediction_[[#This Row],[Engine Size]]/10</f>
        <v>3.9</v>
      </c>
      <c r="F1043">
        <v>39</v>
      </c>
      <c r="G1043" s="1" t="s">
        <v>11</v>
      </c>
      <c r="H1043" s="1" t="s">
        <v>12</v>
      </c>
      <c r="I1043" s="12">
        <f>car_price_prediction_[[#This Row],[Mileage]]/1000</f>
        <v>101.206</v>
      </c>
      <c r="J1043" s="5">
        <v>101206</v>
      </c>
      <c r="K1043" s="1" t="s">
        <v>17</v>
      </c>
      <c r="L1043" s="5">
        <f>car_price_prediction_[[#This Row],[Price]]/100</f>
        <v>22981.87</v>
      </c>
      <c r="M1043">
        <v>2298187</v>
      </c>
      <c r="N1043" s="1" t="s">
        <v>53</v>
      </c>
      <c r="O1043" s="1">
        <f>IF(IFERROR(VLOOKUP(car_price_prediction_[[#This Row],[Car ID]],A1044:A3543,1,FALSE),0),1,0)</f>
        <v>0</v>
      </c>
    </row>
    <row r="1044" spans="1:15" x14ac:dyDescent="0.25">
      <c r="A1044">
        <v>1043</v>
      </c>
      <c r="B1044" s="1" t="s">
        <v>24</v>
      </c>
      <c r="C1044" s="1">
        <f>car_price_prediction_[[#This Row],[Year2]]</f>
        <v>2005</v>
      </c>
      <c r="D1044">
        <v>2005</v>
      </c>
      <c r="E1044">
        <f>car_price_prediction_[[#This Row],[Engine Size]]/10</f>
        <v>3.8</v>
      </c>
      <c r="F1044">
        <v>38</v>
      </c>
      <c r="G1044" s="1" t="s">
        <v>11</v>
      </c>
      <c r="H1044" s="1" t="s">
        <v>12</v>
      </c>
      <c r="I1044" s="12">
        <f>car_price_prediction_[[#This Row],[Mileage]]/1000</f>
        <v>186.869</v>
      </c>
      <c r="J1044" s="5">
        <v>186869</v>
      </c>
      <c r="K1044" s="1" t="s">
        <v>13</v>
      </c>
      <c r="L1044" s="5">
        <f>car_price_prediction_[[#This Row],[Price]]/100</f>
        <v>62317.77</v>
      </c>
      <c r="M1044">
        <v>6231777</v>
      </c>
      <c r="N1044" s="1" t="s">
        <v>32</v>
      </c>
      <c r="O1044" s="1">
        <f>IF(IFERROR(VLOOKUP(car_price_prediction_[[#This Row],[Car ID]],A1045:A3544,1,FALSE),0),1,0)</f>
        <v>0</v>
      </c>
    </row>
    <row r="1045" spans="1:15" x14ac:dyDescent="0.25">
      <c r="A1045">
        <v>1044</v>
      </c>
      <c r="B1045" s="1" t="s">
        <v>19</v>
      </c>
      <c r="C1045" s="1">
        <f>car_price_prediction_[[#This Row],[Year2]]</f>
        <v>2011</v>
      </c>
      <c r="D1045">
        <v>2011</v>
      </c>
      <c r="E1045">
        <f>car_price_prediction_[[#This Row],[Engine Size]]/10</f>
        <v>3.5</v>
      </c>
      <c r="F1045">
        <v>35</v>
      </c>
      <c r="G1045" s="1" t="s">
        <v>21</v>
      </c>
      <c r="H1045" s="1" t="s">
        <v>12</v>
      </c>
      <c r="I1045" s="12">
        <f>car_price_prediction_[[#This Row],[Mileage]]/1000</f>
        <v>73.23</v>
      </c>
      <c r="J1045" s="5">
        <v>73230</v>
      </c>
      <c r="K1045" s="1" t="s">
        <v>17</v>
      </c>
      <c r="L1045" s="5">
        <f>car_price_prediction_[[#This Row],[Price]]/100</f>
        <v>7975.57</v>
      </c>
      <c r="M1045">
        <v>797557</v>
      </c>
      <c r="N1045" s="1" t="s">
        <v>27</v>
      </c>
      <c r="O1045" s="1">
        <f>IF(IFERROR(VLOOKUP(car_price_prediction_[[#This Row],[Car ID]],A1046:A3545,1,FALSE),0),1,0)</f>
        <v>0</v>
      </c>
    </row>
    <row r="1046" spans="1:15" x14ac:dyDescent="0.25">
      <c r="A1046">
        <v>1045</v>
      </c>
      <c r="B1046" s="1" t="s">
        <v>19</v>
      </c>
      <c r="C1046" s="1">
        <f>car_price_prediction_[[#This Row],[Year2]]</f>
        <v>2001</v>
      </c>
      <c r="D1046">
        <v>2001</v>
      </c>
      <c r="E1046">
        <f>car_price_prediction_[[#This Row],[Engine Size]]/10</f>
        <v>1.3</v>
      </c>
      <c r="F1046">
        <v>13</v>
      </c>
      <c r="G1046" s="1" t="s">
        <v>16</v>
      </c>
      <c r="H1046" s="1" t="s">
        <v>22</v>
      </c>
      <c r="I1046" s="12">
        <f>car_price_prediction_[[#This Row],[Mileage]]/1000</f>
        <v>155.00200000000001</v>
      </c>
      <c r="J1046" s="5">
        <v>155002</v>
      </c>
      <c r="K1046" s="1" t="s">
        <v>17</v>
      </c>
      <c r="L1046" s="5">
        <f>car_price_prediction_[[#This Row],[Price]]/100</f>
        <v>16289.72</v>
      </c>
      <c r="M1046">
        <v>1628972</v>
      </c>
      <c r="N1046" s="1" t="s">
        <v>28</v>
      </c>
      <c r="O1046" s="1">
        <f>IF(IFERROR(VLOOKUP(car_price_prediction_[[#This Row],[Car ID]],A1047:A3546,1,FALSE),0),1,0)</f>
        <v>0</v>
      </c>
    </row>
    <row r="1047" spans="1:15" x14ac:dyDescent="0.25">
      <c r="A1047">
        <v>1046</v>
      </c>
      <c r="B1047" s="1" t="s">
        <v>30</v>
      </c>
      <c r="C1047" s="1">
        <f>car_price_prediction_[[#This Row],[Year2]]</f>
        <v>2006</v>
      </c>
      <c r="D1047">
        <v>2006</v>
      </c>
      <c r="E1047">
        <f>car_price_prediction_[[#This Row],[Engine Size]]/10</f>
        <v>1.4</v>
      </c>
      <c r="F1047">
        <v>14</v>
      </c>
      <c r="G1047" s="1" t="s">
        <v>29</v>
      </c>
      <c r="H1047" s="1" t="s">
        <v>22</v>
      </c>
      <c r="I1047" s="12">
        <f>car_price_prediction_[[#This Row],[Mileage]]/1000</f>
        <v>108.13800000000001</v>
      </c>
      <c r="J1047" s="5">
        <v>108138</v>
      </c>
      <c r="K1047" s="1" t="s">
        <v>13</v>
      </c>
      <c r="L1047" s="5">
        <f>car_price_prediction_[[#This Row],[Price]]/100</f>
        <v>34629.56</v>
      </c>
      <c r="M1047">
        <v>3462956</v>
      </c>
      <c r="N1047" s="1" t="s">
        <v>45</v>
      </c>
      <c r="O1047" s="1">
        <f>IF(IFERROR(VLOOKUP(car_price_prediction_[[#This Row],[Car ID]],A1048:A3547,1,FALSE),0),1,0)</f>
        <v>0</v>
      </c>
    </row>
    <row r="1048" spans="1:15" x14ac:dyDescent="0.25">
      <c r="A1048">
        <v>1047</v>
      </c>
      <c r="B1048" s="1" t="s">
        <v>15</v>
      </c>
      <c r="C1048" s="1">
        <f>car_price_prediction_[[#This Row],[Year2]]</f>
        <v>2015</v>
      </c>
      <c r="D1048">
        <v>2015</v>
      </c>
      <c r="E1048">
        <f>car_price_prediction_[[#This Row],[Engine Size]]/10</f>
        <v>4</v>
      </c>
      <c r="F1048">
        <v>40</v>
      </c>
      <c r="G1048" s="1" t="s">
        <v>21</v>
      </c>
      <c r="H1048" s="1" t="s">
        <v>22</v>
      </c>
      <c r="I1048" s="12">
        <f>car_price_prediction_[[#This Row],[Mileage]]/1000</f>
        <v>207.09700000000001</v>
      </c>
      <c r="J1048" s="5">
        <v>207097</v>
      </c>
      <c r="K1048" s="1" t="s">
        <v>17</v>
      </c>
      <c r="L1048" s="5">
        <f>car_price_prediction_[[#This Row],[Price]]/100</f>
        <v>47155.14</v>
      </c>
      <c r="M1048">
        <v>4715514</v>
      </c>
      <c r="N1048" s="1" t="s">
        <v>35</v>
      </c>
      <c r="O1048" s="1">
        <f>IF(IFERROR(VLOOKUP(car_price_prediction_[[#This Row],[Car ID]],A1049:A3548,1,FALSE),0),1,0)</f>
        <v>0</v>
      </c>
    </row>
    <row r="1049" spans="1:15" x14ac:dyDescent="0.25">
      <c r="A1049">
        <v>1048</v>
      </c>
      <c r="B1049" s="1" t="s">
        <v>30</v>
      </c>
      <c r="C1049" s="1">
        <f>car_price_prediction_[[#This Row],[Year2]]</f>
        <v>2002</v>
      </c>
      <c r="D1049">
        <v>2002</v>
      </c>
      <c r="E1049">
        <f>car_price_prediction_[[#This Row],[Engine Size]]/10</f>
        <v>2.7</v>
      </c>
      <c r="F1049">
        <v>27</v>
      </c>
      <c r="G1049" s="1" t="s">
        <v>16</v>
      </c>
      <c r="H1049" s="1" t="s">
        <v>22</v>
      </c>
      <c r="I1049" s="12">
        <f>car_price_prediction_[[#This Row],[Mileage]]/1000</f>
        <v>212.376</v>
      </c>
      <c r="J1049" s="5">
        <v>212376</v>
      </c>
      <c r="K1049" s="1" t="s">
        <v>13</v>
      </c>
      <c r="L1049" s="5">
        <f>car_price_prediction_[[#This Row],[Price]]/100</f>
        <v>16453.63</v>
      </c>
      <c r="M1049">
        <v>1645363</v>
      </c>
      <c r="N1049" s="1" t="s">
        <v>31</v>
      </c>
      <c r="O1049" s="1">
        <f>IF(IFERROR(VLOOKUP(car_price_prediction_[[#This Row],[Car ID]],A1050:A3549,1,FALSE),0),1,0)</f>
        <v>0</v>
      </c>
    </row>
    <row r="1050" spans="1:15" x14ac:dyDescent="0.25">
      <c r="A1050">
        <v>1049</v>
      </c>
      <c r="B1050" s="1" t="s">
        <v>19</v>
      </c>
      <c r="C1050" s="1">
        <f>car_price_prediction_[[#This Row],[Year2]]</f>
        <v>2012</v>
      </c>
      <c r="D1050">
        <v>2012</v>
      </c>
      <c r="E1050">
        <f>car_price_prediction_[[#This Row],[Engine Size]]/10</f>
        <v>5.6</v>
      </c>
      <c r="F1050">
        <v>56</v>
      </c>
      <c r="G1050" s="1" t="s">
        <v>11</v>
      </c>
      <c r="H1050" s="1" t="s">
        <v>22</v>
      </c>
      <c r="I1050" s="12">
        <f>car_price_prediction_[[#This Row],[Mileage]]/1000</f>
        <v>62.04</v>
      </c>
      <c r="J1050" s="5">
        <v>62040</v>
      </c>
      <c r="K1050" s="1" t="s">
        <v>17</v>
      </c>
      <c r="L1050" s="5">
        <f>car_price_prediction_[[#This Row],[Price]]/100</f>
        <v>16394.32</v>
      </c>
      <c r="M1050">
        <v>1639432</v>
      </c>
      <c r="N1050" s="1" t="s">
        <v>20</v>
      </c>
      <c r="O1050" s="1">
        <f>IF(IFERROR(VLOOKUP(car_price_prediction_[[#This Row],[Car ID]],A1051:A3550,1,FALSE),0),1,0)</f>
        <v>0</v>
      </c>
    </row>
    <row r="1051" spans="1:15" x14ac:dyDescent="0.25">
      <c r="A1051">
        <v>1050</v>
      </c>
      <c r="B1051" s="1" t="s">
        <v>36</v>
      </c>
      <c r="C1051" s="1">
        <f>car_price_prediction_[[#This Row],[Year2]]</f>
        <v>2002</v>
      </c>
      <c r="D1051">
        <v>2002</v>
      </c>
      <c r="E1051">
        <f>car_price_prediction_[[#This Row],[Engine Size]]/10</f>
        <v>3</v>
      </c>
      <c r="F1051">
        <v>30</v>
      </c>
      <c r="G1051" s="1" t="s">
        <v>16</v>
      </c>
      <c r="H1051" s="1" t="s">
        <v>12</v>
      </c>
      <c r="I1051" s="12">
        <f>car_price_prediction_[[#This Row],[Mileage]]/1000</f>
        <v>108.66800000000001</v>
      </c>
      <c r="J1051" s="5">
        <v>108668</v>
      </c>
      <c r="K1051" s="1" t="s">
        <v>13</v>
      </c>
      <c r="L1051" s="5">
        <f>car_price_prediction_[[#This Row],[Price]]/100</f>
        <v>7395.99</v>
      </c>
      <c r="M1051">
        <v>739599</v>
      </c>
      <c r="N1051" s="1" t="s">
        <v>41</v>
      </c>
      <c r="O1051" s="1">
        <f>IF(IFERROR(VLOOKUP(car_price_prediction_[[#This Row],[Car ID]],A1052:A3551,1,FALSE),0),1,0)</f>
        <v>0</v>
      </c>
    </row>
    <row r="1052" spans="1:15" x14ac:dyDescent="0.25">
      <c r="A1052">
        <v>1051</v>
      </c>
      <c r="B1052" s="1" t="s">
        <v>19</v>
      </c>
      <c r="C1052" s="1">
        <f>car_price_prediction_[[#This Row],[Year2]]</f>
        <v>2017</v>
      </c>
      <c r="D1052">
        <v>2017</v>
      </c>
      <c r="E1052">
        <f>car_price_prediction_[[#This Row],[Engine Size]]/10</f>
        <v>1.7</v>
      </c>
      <c r="F1052">
        <v>17</v>
      </c>
      <c r="G1052" s="1" t="s">
        <v>11</v>
      </c>
      <c r="H1052" s="1" t="s">
        <v>12</v>
      </c>
      <c r="I1052" s="12">
        <f>car_price_prediction_[[#This Row],[Mileage]]/1000</f>
        <v>198.768</v>
      </c>
      <c r="J1052" s="5">
        <v>198768</v>
      </c>
      <c r="K1052" s="1" t="s">
        <v>25</v>
      </c>
      <c r="L1052" s="5">
        <f>car_price_prediction_[[#This Row],[Price]]/100</f>
        <v>59123.34</v>
      </c>
      <c r="M1052">
        <v>5912334</v>
      </c>
      <c r="N1052" s="1" t="s">
        <v>20</v>
      </c>
      <c r="O1052" s="1">
        <f>IF(IFERROR(VLOOKUP(car_price_prediction_[[#This Row],[Car ID]],A1053:A3552,1,FALSE),0),1,0)</f>
        <v>0</v>
      </c>
    </row>
    <row r="1053" spans="1:15" x14ac:dyDescent="0.25">
      <c r="A1053">
        <v>1052</v>
      </c>
      <c r="B1053" s="1" t="s">
        <v>36</v>
      </c>
      <c r="C1053" s="1">
        <f>car_price_prediction_[[#This Row],[Year2]]</f>
        <v>2010</v>
      </c>
      <c r="D1053">
        <v>2010</v>
      </c>
      <c r="E1053">
        <f>car_price_prediction_[[#This Row],[Engine Size]]/10</f>
        <v>4.5999999999999996</v>
      </c>
      <c r="F1053">
        <v>46</v>
      </c>
      <c r="G1053" s="1" t="s">
        <v>11</v>
      </c>
      <c r="H1053" s="1" t="s">
        <v>12</v>
      </c>
      <c r="I1053" s="12">
        <f>car_price_prediction_[[#This Row],[Mileage]]/1000</f>
        <v>56.814999999999998</v>
      </c>
      <c r="J1053" s="5">
        <v>56815</v>
      </c>
      <c r="K1053" s="1" t="s">
        <v>25</v>
      </c>
      <c r="L1053" s="5">
        <f>car_price_prediction_[[#This Row],[Price]]/100</f>
        <v>55705.49</v>
      </c>
      <c r="M1053">
        <v>5570549</v>
      </c>
      <c r="N1053" s="1" t="s">
        <v>41</v>
      </c>
      <c r="O1053" s="1">
        <f>IF(IFERROR(VLOOKUP(car_price_prediction_[[#This Row],[Car ID]],A1054:A3553,1,FALSE),0),1,0)</f>
        <v>0</v>
      </c>
    </row>
    <row r="1054" spans="1:15" x14ac:dyDescent="0.25">
      <c r="A1054">
        <v>1053</v>
      </c>
      <c r="B1054" s="1" t="s">
        <v>43</v>
      </c>
      <c r="C1054" s="1">
        <f>car_price_prediction_[[#This Row],[Year2]]</f>
        <v>2007</v>
      </c>
      <c r="D1054">
        <v>2007</v>
      </c>
      <c r="E1054">
        <f>car_price_prediction_[[#This Row],[Engine Size]]/10</f>
        <v>2.5</v>
      </c>
      <c r="F1054">
        <v>25</v>
      </c>
      <c r="G1054" s="1" t="s">
        <v>21</v>
      </c>
      <c r="H1054" s="1" t="s">
        <v>12</v>
      </c>
      <c r="I1054" s="12">
        <f>car_price_prediction_[[#This Row],[Mileage]]/1000</f>
        <v>216.74100000000001</v>
      </c>
      <c r="J1054" s="5">
        <v>216741</v>
      </c>
      <c r="K1054" s="1" t="s">
        <v>17</v>
      </c>
      <c r="L1054" s="5">
        <f>car_price_prediction_[[#This Row],[Price]]/100</f>
        <v>47981.279999999999</v>
      </c>
      <c r="M1054">
        <v>4798128</v>
      </c>
      <c r="N1054" s="1" t="s">
        <v>47</v>
      </c>
      <c r="O1054" s="1">
        <f>IF(IFERROR(VLOOKUP(car_price_prediction_[[#This Row],[Car ID]],A1055:A3554,1,FALSE),0),1,0)</f>
        <v>0</v>
      </c>
    </row>
    <row r="1055" spans="1:15" x14ac:dyDescent="0.25">
      <c r="A1055">
        <v>1054</v>
      </c>
      <c r="B1055" s="1" t="s">
        <v>19</v>
      </c>
      <c r="C1055" s="1">
        <f>car_price_prediction_[[#This Row],[Year2]]</f>
        <v>2005</v>
      </c>
      <c r="D1055">
        <v>2005</v>
      </c>
      <c r="E1055">
        <f>car_price_prediction_[[#This Row],[Engine Size]]/10</f>
        <v>3.6</v>
      </c>
      <c r="F1055">
        <v>36</v>
      </c>
      <c r="G1055" s="1" t="s">
        <v>11</v>
      </c>
      <c r="H1055" s="1" t="s">
        <v>12</v>
      </c>
      <c r="I1055" s="12">
        <f>car_price_prediction_[[#This Row],[Mileage]]/1000</f>
        <v>112.789</v>
      </c>
      <c r="J1055" s="5">
        <v>112789</v>
      </c>
      <c r="K1055" s="1" t="s">
        <v>25</v>
      </c>
      <c r="L1055" s="5">
        <f>car_price_prediction_[[#This Row],[Price]]/100</f>
        <v>9777.16</v>
      </c>
      <c r="M1055">
        <v>977716</v>
      </c>
      <c r="N1055" s="1" t="s">
        <v>38</v>
      </c>
      <c r="O1055" s="1">
        <f>IF(IFERROR(VLOOKUP(car_price_prediction_[[#This Row],[Car ID]],A1056:A3555,1,FALSE),0),1,0)</f>
        <v>0</v>
      </c>
    </row>
    <row r="1056" spans="1:15" x14ac:dyDescent="0.25">
      <c r="A1056">
        <v>1055</v>
      </c>
      <c r="B1056" s="1" t="s">
        <v>43</v>
      </c>
      <c r="C1056" s="1">
        <f>car_price_prediction_[[#This Row],[Year2]]</f>
        <v>2000</v>
      </c>
      <c r="D1056">
        <v>2000</v>
      </c>
      <c r="E1056">
        <f>car_price_prediction_[[#This Row],[Engine Size]]/10</f>
        <v>4.5</v>
      </c>
      <c r="F1056">
        <v>45</v>
      </c>
      <c r="G1056" s="1" t="s">
        <v>21</v>
      </c>
      <c r="H1056" s="1" t="s">
        <v>22</v>
      </c>
      <c r="I1056" s="12">
        <f>car_price_prediction_[[#This Row],[Mileage]]/1000</f>
        <v>219.47800000000001</v>
      </c>
      <c r="J1056" s="5">
        <v>219478</v>
      </c>
      <c r="K1056" s="1" t="s">
        <v>13</v>
      </c>
      <c r="L1056" s="5">
        <f>car_price_prediction_[[#This Row],[Price]]/100</f>
        <v>9731.0300000000007</v>
      </c>
      <c r="M1056">
        <v>973103</v>
      </c>
      <c r="N1056" s="1" t="s">
        <v>50</v>
      </c>
      <c r="O1056" s="1">
        <f>IF(IFERROR(VLOOKUP(car_price_prediction_[[#This Row],[Car ID]],A1057:A3556,1,FALSE),0),1,0)</f>
        <v>0</v>
      </c>
    </row>
    <row r="1057" spans="1:15" x14ac:dyDescent="0.25">
      <c r="A1057">
        <v>1056</v>
      </c>
      <c r="B1057" s="1" t="s">
        <v>15</v>
      </c>
      <c r="C1057" s="1">
        <f>car_price_prediction_[[#This Row],[Year2]]</f>
        <v>2000</v>
      </c>
      <c r="D1057">
        <v>2000</v>
      </c>
      <c r="E1057">
        <f>car_price_prediction_[[#This Row],[Engine Size]]/10</f>
        <v>5.5</v>
      </c>
      <c r="F1057">
        <v>55</v>
      </c>
      <c r="G1057" s="1" t="s">
        <v>16</v>
      </c>
      <c r="H1057" s="1" t="s">
        <v>12</v>
      </c>
      <c r="I1057" s="12">
        <f>car_price_prediction_[[#This Row],[Mileage]]/1000</f>
        <v>167.64400000000001</v>
      </c>
      <c r="J1057" s="5">
        <v>167644</v>
      </c>
      <c r="K1057" s="1" t="s">
        <v>17</v>
      </c>
      <c r="L1057" s="5">
        <f>car_price_prediction_[[#This Row],[Price]]/100</f>
        <v>22159.58</v>
      </c>
      <c r="M1057">
        <v>2215958</v>
      </c>
      <c r="N1057" s="1" t="s">
        <v>39</v>
      </c>
      <c r="O1057" s="1">
        <f>IF(IFERROR(VLOOKUP(car_price_prediction_[[#This Row],[Car ID]],A1058:A3557,1,FALSE),0),1,0)</f>
        <v>0</v>
      </c>
    </row>
    <row r="1058" spans="1:15" x14ac:dyDescent="0.25">
      <c r="A1058">
        <v>1057</v>
      </c>
      <c r="B1058" s="1" t="s">
        <v>30</v>
      </c>
      <c r="C1058" s="1">
        <f>car_price_prediction_[[#This Row],[Year2]]</f>
        <v>2022</v>
      </c>
      <c r="D1058">
        <v>2022</v>
      </c>
      <c r="E1058">
        <f>car_price_prediction_[[#This Row],[Engine Size]]/10</f>
        <v>5</v>
      </c>
      <c r="F1058">
        <v>50</v>
      </c>
      <c r="G1058" s="1" t="s">
        <v>16</v>
      </c>
      <c r="H1058" s="1" t="s">
        <v>12</v>
      </c>
      <c r="I1058" s="12">
        <f>car_price_prediction_[[#This Row],[Mileage]]/1000</f>
        <v>185.102</v>
      </c>
      <c r="J1058" s="5">
        <v>185102</v>
      </c>
      <c r="K1058" s="1" t="s">
        <v>25</v>
      </c>
      <c r="L1058" s="5">
        <f>car_price_prediction_[[#This Row],[Price]]/100</f>
        <v>66513.240000000005</v>
      </c>
      <c r="M1058">
        <v>6651324</v>
      </c>
      <c r="N1058" s="1" t="s">
        <v>45</v>
      </c>
      <c r="O1058" s="1">
        <f>IF(IFERROR(VLOOKUP(car_price_prediction_[[#This Row],[Car ID]],A1059:A3558,1,FALSE),0),1,0)</f>
        <v>0</v>
      </c>
    </row>
    <row r="1059" spans="1:15" x14ac:dyDescent="0.25">
      <c r="A1059">
        <v>1058</v>
      </c>
      <c r="B1059" s="1" t="s">
        <v>36</v>
      </c>
      <c r="C1059" s="1">
        <f>car_price_prediction_[[#This Row],[Year2]]</f>
        <v>2007</v>
      </c>
      <c r="D1059">
        <v>2007</v>
      </c>
      <c r="E1059">
        <f>car_price_prediction_[[#This Row],[Engine Size]]/10</f>
        <v>4.4000000000000004</v>
      </c>
      <c r="F1059">
        <v>44</v>
      </c>
      <c r="G1059" s="1" t="s">
        <v>11</v>
      </c>
      <c r="H1059" s="1" t="s">
        <v>22</v>
      </c>
      <c r="I1059" s="12">
        <f>car_price_prediction_[[#This Row],[Mileage]]/1000</f>
        <v>244.53299999999999</v>
      </c>
      <c r="J1059" s="5">
        <v>244533</v>
      </c>
      <c r="K1059" s="1" t="s">
        <v>25</v>
      </c>
      <c r="L1059" s="5">
        <f>car_price_prediction_[[#This Row],[Price]]/100</f>
        <v>17954.740000000002</v>
      </c>
      <c r="M1059">
        <v>1795474</v>
      </c>
      <c r="N1059" s="1" t="s">
        <v>41</v>
      </c>
      <c r="O1059" s="1">
        <f>IF(IFERROR(VLOOKUP(car_price_prediction_[[#This Row],[Car ID]],A1060:A3559,1,FALSE),0),1,0)</f>
        <v>0</v>
      </c>
    </row>
    <row r="1060" spans="1:15" x14ac:dyDescent="0.25">
      <c r="A1060">
        <v>1059</v>
      </c>
      <c r="B1060" s="1" t="s">
        <v>30</v>
      </c>
      <c r="C1060" s="1">
        <f>car_price_prediction_[[#This Row],[Year2]]</f>
        <v>2004</v>
      </c>
      <c r="D1060">
        <v>2004</v>
      </c>
      <c r="E1060">
        <f>car_price_prediction_[[#This Row],[Engine Size]]/10</f>
        <v>4.4000000000000004</v>
      </c>
      <c r="F1060">
        <v>44</v>
      </c>
      <c r="G1060" s="1" t="s">
        <v>21</v>
      </c>
      <c r="H1060" s="1" t="s">
        <v>22</v>
      </c>
      <c r="I1060" s="12">
        <f>car_price_prediction_[[#This Row],[Mileage]]/1000</f>
        <v>237.46899999999999</v>
      </c>
      <c r="J1060" s="5">
        <v>237469</v>
      </c>
      <c r="K1060" s="1" t="s">
        <v>17</v>
      </c>
      <c r="L1060" s="5">
        <f>car_price_prediction_[[#This Row],[Price]]/100</f>
        <v>60991.19</v>
      </c>
      <c r="M1060">
        <v>6099119</v>
      </c>
      <c r="N1060" s="1" t="s">
        <v>48</v>
      </c>
      <c r="O1060" s="1">
        <f>IF(IFERROR(VLOOKUP(car_price_prediction_[[#This Row],[Car ID]],A1061:A3560,1,FALSE),0),1,0)</f>
        <v>0</v>
      </c>
    </row>
    <row r="1061" spans="1:15" x14ac:dyDescent="0.25">
      <c r="A1061">
        <v>1060</v>
      </c>
      <c r="B1061" s="1" t="s">
        <v>43</v>
      </c>
      <c r="C1061" s="1">
        <f>car_price_prediction_[[#This Row],[Year2]]</f>
        <v>2015</v>
      </c>
      <c r="D1061">
        <v>2015</v>
      </c>
      <c r="E1061">
        <f>car_price_prediction_[[#This Row],[Engine Size]]/10</f>
        <v>5.7</v>
      </c>
      <c r="F1061">
        <v>57</v>
      </c>
      <c r="G1061" s="1" t="s">
        <v>11</v>
      </c>
      <c r="H1061" s="1" t="s">
        <v>12</v>
      </c>
      <c r="I1061" s="12">
        <f>car_price_prediction_[[#This Row],[Mileage]]/1000</f>
        <v>233.30799999999999</v>
      </c>
      <c r="J1061" s="5">
        <v>233308</v>
      </c>
      <c r="K1061" s="1" t="s">
        <v>25</v>
      </c>
      <c r="L1061" s="5">
        <f>car_price_prediction_[[#This Row],[Price]]/100</f>
        <v>58937.32</v>
      </c>
      <c r="M1061">
        <v>5893732</v>
      </c>
      <c r="N1061" s="1" t="s">
        <v>44</v>
      </c>
      <c r="O1061" s="1">
        <f>IF(IFERROR(VLOOKUP(car_price_prediction_[[#This Row],[Car ID]],A1062:A3561,1,FALSE),0),1,0)</f>
        <v>0</v>
      </c>
    </row>
    <row r="1062" spans="1:15" x14ac:dyDescent="0.25">
      <c r="A1062">
        <v>1061</v>
      </c>
      <c r="B1062" s="1" t="s">
        <v>36</v>
      </c>
      <c r="C1062" s="1">
        <f>car_price_prediction_[[#This Row],[Year2]]</f>
        <v>2010</v>
      </c>
      <c r="D1062">
        <v>2010</v>
      </c>
      <c r="E1062">
        <f>car_price_prediction_[[#This Row],[Engine Size]]/10</f>
        <v>2.5</v>
      </c>
      <c r="F1062">
        <v>25</v>
      </c>
      <c r="G1062" s="1" t="s">
        <v>21</v>
      </c>
      <c r="H1062" s="1" t="s">
        <v>12</v>
      </c>
      <c r="I1062" s="12">
        <f>car_price_prediction_[[#This Row],[Mileage]]/1000</f>
        <v>160.27500000000001</v>
      </c>
      <c r="J1062" s="5">
        <v>160275</v>
      </c>
      <c r="K1062" s="1" t="s">
        <v>25</v>
      </c>
      <c r="L1062" s="5">
        <f>car_price_prediction_[[#This Row],[Price]]/100</f>
        <v>97245.49</v>
      </c>
      <c r="M1062">
        <v>9724549</v>
      </c>
      <c r="N1062" s="1" t="s">
        <v>40</v>
      </c>
      <c r="O1062" s="1">
        <f>IF(IFERROR(VLOOKUP(car_price_prediction_[[#This Row],[Car ID]],A1063:A3562,1,FALSE),0),1,0)</f>
        <v>0</v>
      </c>
    </row>
    <row r="1063" spans="1:15" x14ac:dyDescent="0.25">
      <c r="A1063">
        <v>1062</v>
      </c>
      <c r="B1063" s="1" t="s">
        <v>30</v>
      </c>
      <c r="C1063" s="1">
        <f>car_price_prediction_[[#This Row],[Year2]]</f>
        <v>2004</v>
      </c>
      <c r="D1063">
        <v>2004</v>
      </c>
      <c r="E1063">
        <f>car_price_prediction_[[#This Row],[Engine Size]]/10</f>
        <v>1</v>
      </c>
      <c r="F1063">
        <v>10</v>
      </c>
      <c r="G1063" s="1" t="s">
        <v>21</v>
      </c>
      <c r="H1063" s="1" t="s">
        <v>22</v>
      </c>
      <c r="I1063" s="12">
        <f>car_price_prediction_[[#This Row],[Mileage]]/1000</f>
        <v>77.087999999999994</v>
      </c>
      <c r="J1063" s="5">
        <v>77088</v>
      </c>
      <c r="K1063" s="1" t="s">
        <v>17</v>
      </c>
      <c r="L1063" s="5">
        <f>car_price_prediction_[[#This Row],[Price]]/100</f>
        <v>88921.72</v>
      </c>
      <c r="M1063">
        <v>8892172</v>
      </c>
      <c r="N1063" s="1" t="s">
        <v>42</v>
      </c>
      <c r="O1063" s="1">
        <f>IF(IFERROR(VLOOKUP(car_price_prediction_[[#This Row],[Car ID]],A1064:A3563,1,FALSE),0),1,0)</f>
        <v>0</v>
      </c>
    </row>
    <row r="1064" spans="1:15" x14ac:dyDescent="0.25">
      <c r="A1064">
        <v>1063</v>
      </c>
      <c r="B1064" s="1" t="s">
        <v>19</v>
      </c>
      <c r="C1064" s="1">
        <f>car_price_prediction_[[#This Row],[Year2]]</f>
        <v>2003</v>
      </c>
      <c r="D1064">
        <v>2003</v>
      </c>
      <c r="E1064">
        <f>car_price_prediction_[[#This Row],[Engine Size]]/10</f>
        <v>2.4</v>
      </c>
      <c r="F1064">
        <v>24</v>
      </c>
      <c r="G1064" s="1" t="s">
        <v>21</v>
      </c>
      <c r="H1064" s="1" t="s">
        <v>12</v>
      </c>
      <c r="I1064" s="12">
        <f>car_price_prediction_[[#This Row],[Mileage]]/1000</f>
        <v>5.6079999999999997</v>
      </c>
      <c r="J1064" s="5">
        <v>5608</v>
      </c>
      <c r="K1064" s="1" t="s">
        <v>25</v>
      </c>
      <c r="L1064" s="5">
        <f>car_price_prediction_[[#This Row],[Price]]/100</f>
        <v>94827.57</v>
      </c>
      <c r="M1064">
        <v>9482757</v>
      </c>
      <c r="N1064" s="1" t="s">
        <v>27</v>
      </c>
      <c r="O1064" s="1">
        <f>IF(IFERROR(VLOOKUP(car_price_prediction_[[#This Row],[Car ID]],A1065:A3564,1,FALSE),0),1,0)</f>
        <v>0</v>
      </c>
    </row>
    <row r="1065" spans="1:15" x14ac:dyDescent="0.25">
      <c r="A1065">
        <v>1064</v>
      </c>
      <c r="B1065" s="1" t="s">
        <v>24</v>
      </c>
      <c r="C1065" s="1">
        <f>car_price_prediction_[[#This Row],[Year2]]</f>
        <v>2005</v>
      </c>
      <c r="D1065">
        <v>2005</v>
      </c>
      <c r="E1065">
        <f>car_price_prediction_[[#This Row],[Engine Size]]/10</f>
        <v>2.1</v>
      </c>
      <c r="F1065">
        <v>21</v>
      </c>
      <c r="G1065" s="1" t="s">
        <v>16</v>
      </c>
      <c r="H1065" s="1" t="s">
        <v>12</v>
      </c>
      <c r="I1065" s="12">
        <f>car_price_prediction_[[#This Row],[Mileage]]/1000</f>
        <v>45.667000000000002</v>
      </c>
      <c r="J1065" s="5">
        <v>45667</v>
      </c>
      <c r="K1065" s="1" t="s">
        <v>25</v>
      </c>
      <c r="L1065" s="5">
        <f>car_price_prediction_[[#This Row],[Price]]/100</f>
        <v>15792.23</v>
      </c>
      <c r="M1065">
        <v>1579223</v>
      </c>
      <c r="N1065" s="1" t="s">
        <v>32</v>
      </c>
      <c r="O1065" s="1">
        <f>IF(IFERROR(VLOOKUP(car_price_prediction_[[#This Row],[Car ID]],A1066:A3565,1,FALSE),0),1,0)</f>
        <v>0</v>
      </c>
    </row>
    <row r="1066" spans="1:15" x14ac:dyDescent="0.25">
      <c r="A1066">
        <v>1065</v>
      </c>
      <c r="B1066" s="1" t="s">
        <v>43</v>
      </c>
      <c r="C1066" s="1">
        <f>car_price_prediction_[[#This Row],[Year2]]</f>
        <v>2013</v>
      </c>
      <c r="D1066">
        <v>2013</v>
      </c>
      <c r="E1066">
        <f>car_price_prediction_[[#This Row],[Engine Size]]/10</f>
        <v>4.3</v>
      </c>
      <c r="F1066">
        <v>43</v>
      </c>
      <c r="G1066" s="1" t="s">
        <v>21</v>
      </c>
      <c r="H1066" s="1" t="s">
        <v>12</v>
      </c>
      <c r="I1066" s="12">
        <f>car_price_prediction_[[#This Row],[Mileage]]/1000</f>
        <v>55.546999999999997</v>
      </c>
      <c r="J1066" s="5">
        <v>55547</v>
      </c>
      <c r="K1066" s="1" t="s">
        <v>25</v>
      </c>
      <c r="L1066" s="5">
        <f>car_price_prediction_[[#This Row],[Price]]/100</f>
        <v>8747.41</v>
      </c>
      <c r="M1066">
        <v>874741</v>
      </c>
      <c r="N1066" s="1" t="s">
        <v>52</v>
      </c>
      <c r="O1066" s="1">
        <f>IF(IFERROR(VLOOKUP(car_price_prediction_[[#This Row],[Car ID]],A1067:A3566,1,FALSE),0),1,0)</f>
        <v>0</v>
      </c>
    </row>
    <row r="1067" spans="1:15" x14ac:dyDescent="0.25">
      <c r="A1067">
        <v>1066</v>
      </c>
      <c r="B1067" s="1" t="s">
        <v>30</v>
      </c>
      <c r="C1067" s="1">
        <f>car_price_prediction_[[#This Row],[Year2]]</f>
        <v>2021</v>
      </c>
      <c r="D1067">
        <v>2021</v>
      </c>
      <c r="E1067">
        <f>car_price_prediction_[[#This Row],[Engine Size]]/10</f>
        <v>4.2</v>
      </c>
      <c r="F1067">
        <v>42</v>
      </c>
      <c r="G1067" s="1" t="s">
        <v>16</v>
      </c>
      <c r="H1067" s="1" t="s">
        <v>22</v>
      </c>
      <c r="I1067" s="12">
        <f>car_price_prediction_[[#This Row],[Mileage]]/1000</f>
        <v>234.90700000000001</v>
      </c>
      <c r="J1067" s="5">
        <v>234907</v>
      </c>
      <c r="K1067" s="1" t="s">
        <v>25</v>
      </c>
      <c r="L1067" s="5">
        <f>car_price_prediction_[[#This Row],[Price]]/100</f>
        <v>17263.61</v>
      </c>
      <c r="M1067">
        <v>1726361</v>
      </c>
      <c r="N1067" s="1" t="s">
        <v>42</v>
      </c>
      <c r="O1067" s="1">
        <f>IF(IFERROR(VLOOKUP(car_price_prediction_[[#This Row],[Car ID]],A1068:A3567,1,FALSE),0),1,0)</f>
        <v>0</v>
      </c>
    </row>
    <row r="1068" spans="1:15" x14ac:dyDescent="0.25">
      <c r="A1068">
        <v>1067</v>
      </c>
      <c r="B1068" s="1" t="s">
        <v>43</v>
      </c>
      <c r="C1068" s="1">
        <f>car_price_prediction_[[#This Row],[Year2]]</f>
        <v>2018</v>
      </c>
      <c r="D1068">
        <v>2018</v>
      </c>
      <c r="E1068">
        <f>car_price_prediction_[[#This Row],[Engine Size]]/10</f>
        <v>4</v>
      </c>
      <c r="F1068">
        <v>40</v>
      </c>
      <c r="G1068" s="1" t="s">
        <v>21</v>
      </c>
      <c r="H1068" s="1" t="s">
        <v>12</v>
      </c>
      <c r="I1068" s="12">
        <f>car_price_prediction_[[#This Row],[Mileage]]/1000</f>
        <v>57.56</v>
      </c>
      <c r="J1068" s="5">
        <v>57560</v>
      </c>
      <c r="K1068" s="1" t="s">
        <v>17</v>
      </c>
      <c r="L1068" s="5">
        <f>car_price_prediction_[[#This Row],[Price]]/100</f>
        <v>65128.56</v>
      </c>
      <c r="M1068">
        <v>6512856</v>
      </c>
      <c r="N1068" s="1" t="s">
        <v>50</v>
      </c>
      <c r="O1068" s="1">
        <f>IF(IFERROR(VLOOKUP(car_price_prediction_[[#This Row],[Car ID]],A1069:A3568,1,FALSE),0),1,0)</f>
        <v>0</v>
      </c>
    </row>
    <row r="1069" spans="1:15" x14ac:dyDescent="0.25">
      <c r="A1069">
        <v>1068</v>
      </c>
      <c r="B1069" s="1" t="s">
        <v>10</v>
      </c>
      <c r="C1069" s="1">
        <f>car_price_prediction_[[#This Row],[Year2]]</f>
        <v>2008</v>
      </c>
      <c r="D1069">
        <v>2008</v>
      </c>
      <c r="E1069">
        <f>car_price_prediction_[[#This Row],[Engine Size]]/10</f>
        <v>1.1000000000000001</v>
      </c>
      <c r="F1069">
        <v>11</v>
      </c>
      <c r="G1069" s="1" t="s">
        <v>16</v>
      </c>
      <c r="H1069" s="1" t="s">
        <v>12</v>
      </c>
      <c r="I1069" s="12">
        <f>car_price_prediction_[[#This Row],[Mileage]]/1000</f>
        <v>214.601</v>
      </c>
      <c r="J1069" s="5">
        <v>214601</v>
      </c>
      <c r="K1069" s="1" t="s">
        <v>13</v>
      </c>
      <c r="L1069" s="5">
        <f>car_price_prediction_[[#This Row],[Price]]/100</f>
        <v>73407.429999999993</v>
      </c>
      <c r="M1069">
        <v>7340743</v>
      </c>
      <c r="N1069" s="1" t="s">
        <v>14</v>
      </c>
      <c r="O1069" s="1">
        <f>IF(IFERROR(VLOOKUP(car_price_prediction_[[#This Row],[Car ID]],A1070:A3569,1,FALSE),0),1,0)</f>
        <v>0</v>
      </c>
    </row>
    <row r="1070" spans="1:15" x14ac:dyDescent="0.25">
      <c r="A1070">
        <v>1069</v>
      </c>
      <c r="B1070" s="1" t="s">
        <v>43</v>
      </c>
      <c r="C1070" s="1">
        <f>car_price_prediction_[[#This Row],[Year2]]</f>
        <v>2011</v>
      </c>
      <c r="D1070">
        <v>2011</v>
      </c>
      <c r="E1070">
        <f>car_price_prediction_[[#This Row],[Engine Size]]/10</f>
        <v>4.5999999999999996</v>
      </c>
      <c r="F1070">
        <v>46</v>
      </c>
      <c r="G1070" s="1" t="s">
        <v>29</v>
      </c>
      <c r="H1070" s="1" t="s">
        <v>22</v>
      </c>
      <c r="I1070" s="12">
        <f>car_price_prediction_[[#This Row],[Mileage]]/1000</f>
        <v>159.48699999999999</v>
      </c>
      <c r="J1070" s="5">
        <v>159487</v>
      </c>
      <c r="K1070" s="1" t="s">
        <v>13</v>
      </c>
      <c r="L1070" s="5">
        <f>car_price_prediction_[[#This Row],[Price]]/100</f>
        <v>20281.080000000002</v>
      </c>
      <c r="M1070">
        <v>2028108</v>
      </c>
      <c r="N1070" s="1" t="s">
        <v>52</v>
      </c>
      <c r="O1070" s="1">
        <f>IF(IFERROR(VLOOKUP(car_price_prediction_[[#This Row],[Car ID]],A1071:A3570,1,FALSE),0),1,0)</f>
        <v>0</v>
      </c>
    </row>
    <row r="1071" spans="1:15" x14ac:dyDescent="0.25">
      <c r="A1071">
        <v>1070</v>
      </c>
      <c r="B1071" s="1" t="s">
        <v>36</v>
      </c>
      <c r="C1071" s="1">
        <f>car_price_prediction_[[#This Row],[Year2]]</f>
        <v>2010</v>
      </c>
      <c r="D1071">
        <v>2010</v>
      </c>
      <c r="E1071">
        <f>car_price_prediction_[[#This Row],[Engine Size]]/10</f>
        <v>2.6</v>
      </c>
      <c r="F1071">
        <v>26</v>
      </c>
      <c r="G1071" s="1" t="s">
        <v>16</v>
      </c>
      <c r="H1071" s="1" t="s">
        <v>22</v>
      </c>
      <c r="I1071" s="12">
        <f>car_price_prediction_[[#This Row],[Mileage]]/1000</f>
        <v>184.286</v>
      </c>
      <c r="J1071" s="5">
        <v>184286</v>
      </c>
      <c r="K1071" s="1" t="s">
        <v>25</v>
      </c>
      <c r="L1071" s="5">
        <f>car_price_prediction_[[#This Row],[Price]]/100</f>
        <v>65102.64</v>
      </c>
      <c r="M1071">
        <v>6510264</v>
      </c>
      <c r="N1071" s="1" t="s">
        <v>40</v>
      </c>
      <c r="O1071" s="1">
        <f>IF(IFERROR(VLOOKUP(car_price_prediction_[[#This Row],[Car ID]],A1072:A3571,1,FALSE),0),1,0)</f>
        <v>0</v>
      </c>
    </row>
    <row r="1072" spans="1:15" x14ac:dyDescent="0.25">
      <c r="A1072">
        <v>1071</v>
      </c>
      <c r="B1072" s="1" t="s">
        <v>10</v>
      </c>
      <c r="C1072" s="1">
        <f>car_price_prediction_[[#This Row],[Year2]]</f>
        <v>2013</v>
      </c>
      <c r="D1072">
        <v>2013</v>
      </c>
      <c r="E1072">
        <f>car_price_prediction_[[#This Row],[Engine Size]]/10</f>
        <v>4.3</v>
      </c>
      <c r="F1072">
        <v>43</v>
      </c>
      <c r="G1072" s="1" t="s">
        <v>16</v>
      </c>
      <c r="H1072" s="1" t="s">
        <v>22</v>
      </c>
      <c r="I1072" s="12">
        <f>car_price_prediction_[[#This Row],[Mileage]]/1000</f>
        <v>280.14100000000002</v>
      </c>
      <c r="J1072" s="5">
        <v>280141</v>
      </c>
      <c r="K1072" s="1" t="s">
        <v>25</v>
      </c>
      <c r="L1072" s="5">
        <f>car_price_prediction_[[#This Row],[Price]]/100</f>
        <v>9983.75</v>
      </c>
      <c r="M1072">
        <v>998375</v>
      </c>
      <c r="N1072" s="1" t="s">
        <v>23</v>
      </c>
      <c r="O1072" s="1">
        <f>IF(IFERROR(VLOOKUP(car_price_prediction_[[#This Row],[Car ID]],A1073:A3572,1,FALSE),0),1,0)</f>
        <v>0</v>
      </c>
    </row>
    <row r="1073" spans="1:15" x14ac:dyDescent="0.25">
      <c r="A1073">
        <v>1072</v>
      </c>
      <c r="B1073" s="1" t="s">
        <v>36</v>
      </c>
      <c r="C1073" s="1">
        <f>car_price_prediction_[[#This Row],[Year2]]</f>
        <v>2022</v>
      </c>
      <c r="D1073">
        <v>2022</v>
      </c>
      <c r="E1073">
        <f>car_price_prediction_[[#This Row],[Engine Size]]/10</f>
        <v>3.8</v>
      </c>
      <c r="F1073">
        <v>38</v>
      </c>
      <c r="G1073" s="1" t="s">
        <v>11</v>
      </c>
      <c r="H1073" s="1" t="s">
        <v>12</v>
      </c>
      <c r="I1073" s="12">
        <f>car_price_prediction_[[#This Row],[Mileage]]/1000</f>
        <v>121.26600000000001</v>
      </c>
      <c r="J1073" s="5">
        <v>121266</v>
      </c>
      <c r="K1073" s="1" t="s">
        <v>13</v>
      </c>
      <c r="L1073" s="5">
        <f>car_price_prediction_[[#This Row],[Price]]/100</f>
        <v>32860.28</v>
      </c>
      <c r="M1073">
        <v>3286028</v>
      </c>
      <c r="N1073" s="1" t="s">
        <v>46</v>
      </c>
      <c r="O1073" s="1">
        <f>IF(IFERROR(VLOOKUP(car_price_prediction_[[#This Row],[Car ID]],A1074:A3573,1,FALSE),0),1,0)</f>
        <v>0</v>
      </c>
    </row>
    <row r="1074" spans="1:15" x14ac:dyDescent="0.25">
      <c r="A1074">
        <v>1073</v>
      </c>
      <c r="B1074" s="1" t="s">
        <v>24</v>
      </c>
      <c r="C1074" s="1">
        <f>car_price_prediction_[[#This Row],[Year2]]</f>
        <v>2015</v>
      </c>
      <c r="D1074">
        <v>2015</v>
      </c>
      <c r="E1074">
        <f>car_price_prediction_[[#This Row],[Engine Size]]/10</f>
        <v>2.7</v>
      </c>
      <c r="F1074">
        <v>27</v>
      </c>
      <c r="G1074" s="1" t="s">
        <v>21</v>
      </c>
      <c r="H1074" s="1" t="s">
        <v>22</v>
      </c>
      <c r="I1074" s="12">
        <f>car_price_prediction_[[#This Row],[Mileage]]/1000</f>
        <v>3.6789999999999998</v>
      </c>
      <c r="J1074" s="5">
        <v>3679</v>
      </c>
      <c r="K1074" s="1" t="s">
        <v>25</v>
      </c>
      <c r="L1074" s="5">
        <f>car_price_prediction_[[#This Row],[Price]]/100</f>
        <v>92510.06</v>
      </c>
      <c r="M1074">
        <v>9251006</v>
      </c>
      <c r="N1074" s="1" t="s">
        <v>32</v>
      </c>
      <c r="O1074" s="1">
        <f>IF(IFERROR(VLOOKUP(car_price_prediction_[[#This Row],[Car ID]],A1075:A3574,1,FALSE),0),1,0)</f>
        <v>0</v>
      </c>
    </row>
    <row r="1075" spans="1:15" x14ac:dyDescent="0.25">
      <c r="A1075">
        <v>1074</v>
      </c>
      <c r="B1075" s="1" t="s">
        <v>10</v>
      </c>
      <c r="C1075" s="1">
        <f>car_price_prediction_[[#This Row],[Year2]]</f>
        <v>2000</v>
      </c>
      <c r="D1075">
        <v>2000</v>
      </c>
      <c r="E1075">
        <f>car_price_prediction_[[#This Row],[Engine Size]]/10</f>
        <v>1.7</v>
      </c>
      <c r="F1075">
        <v>17</v>
      </c>
      <c r="G1075" s="1" t="s">
        <v>29</v>
      </c>
      <c r="H1075" s="1" t="s">
        <v>12</v>
      </c>
      <c r="I1075" s="12">
        <f>car_price_prediction_[[#This Row],[Mileage]]/1000</f>
        <v>40.308</v>
      </c>
      <c r="J1075" s="5">
        <v>40308</v>
      </c>
      <c r="K1075" s="1" t="s">
        <v>13</v>
      </c>
      <c r="L1075" s="5">
        <f>car_price_prediction_[[#This Row],[Price]]/100</f>
        <v>21314.46</v>
      </c>
      <c r="M1075">
        <v>2131446</v>
      </c>
      <c r="N1075" s="1" t="s">
        <v>49</v>
      </c>
      <c r="O1075" s="1">
        <f>IF(IFERROR(VLOOKUP(car_price_prediction_[[#This Row],[Car ID]],A1076:A3575,1,FALSE),0),1,0)</f>
        <v>0</v>
      </c>
    </row>
    <row r="1076" spans="1:15" x14ac:dyDescent="0.25">
      <c r="A1076">
        <v>1075</v>
      </c>
      <c r="B1076" s="1" t="s">
        <v>19</v>
      </c>
      <c r="C1076" s="1">
        <f>car_price_prediction_[[#This Row],[Year2]]</f>
        <v>2012</v>
      </c>
      <c r="D1076">
        <v>2012</v>
      </c>
      <c r="E1076">
        <f>car_price_prediction_[[#This Row],[Engine Size]]/10</f>
        <v>1.5</v>
      </c>
      <c r="F1076">
        <v>15</v>
      </c>
      <c r="G1076" s="1" t="s">
        <v>11</v>
      </c>
      <c r="H1076" s="1" t="s">
        <v>22</v>
      </c>
      <c r="I1076" s="12">
        <f>car_price_prediction_[[#This Row],[Mileage]]/1000</f>
        <v>206.096</v>
      </c>
      <c r="J1076" s="5">
        <v>206096</v>
      </c>
      <c r="K1076" s="1" t="s">
        <v>17</v>
      </c>
      <c r="L1076" s="5">
        <f>car_price_prediction_[[#This Row],[Price]]/100</f>
        <v>11200.65</v>
      </c>
      <c r="M1076">
        <v>1120065</v>
      </c>
      <c r="N1076" s="1" t="s">
        <v>27</v>
      </c>
      <c r="O1076" s="1">
        <f>IF(IFERROR(VLOOKUP(car_price_prediction_[[#This Row],[Car ID]],A1077:A3576,1,FALSE),0),1,0)</f>
        <v>0</v>
      </c>
    </row>
    <row r="1077" spans="1:15" x14ac:dyDescent="0.25">
      <c r="A1077">
        <v>1076</v>
      </c>
      <c r="B1077" s="1" t="s">
        <v>43</v>
      </c>
      <c r="C1077" s="1">
        <f>car_price_prediction_[[#This Row],[Year2]]</f>
        <v>2022</v>
      </c>
      <c r="D1077">
        <v>2022</v>
      </c>
      <c r="E1077">
        <f>car_price_prediction_[[#This Row],[Engine Size]]/10</f>
        <v>5.2</v>
      </c>
      <c r="F1077">
        <v>52</v>
      </c>
      <c r="G1077" s="1" t="s">
        <v>21</v>
      </c>
      <c r="H1077" s="1" t="s">
        <v>12</v>
      </c>
      <c r="I1077" s="12">
        <f>car_price_prediction_[[#This Row],[Mileage]]/1000</f>
        <v>170.91399999999999</v>
      </c>
      <c r="J1077" s="5">
        <v>170914</v>
      </c>
      <c r="K1077" s="1" t="s">
        <v>17</v>
      </c>
      <c r="L1077" s="5">
        <f>car_price_prediction_[[#This Row],[Price]]/100</f>
        <v>47149.43</v>
      </c>
      <c r="M1077">
        <v>4714943</v>
      </c>
      <c r="N1077" s="1" t="s">
        <v>52</v>
      </c>
      <c r="O1077" s="1">
        <f>IF(IFERROR(VLOOKUP(car_price_prediction_[[#This Row],[Car ID]],A1078:A3577,1,FALSE),0),1,0)</f>
        <v>0</v>
      </c>
    </row>
    <row r="1078" spans="1:15" x14ac:dyDescent="0.25">
      <c r="A1078">
        <v>1077</v>
      </c>
      <c r="B1078" s="1" t="s">
        <v>30</v>
      </c>
      <c r="C1078" s="1">
        <f>car_price_prediction_[[#This Row],[Year2]]</f>
        <v>2020</v>
      </c>
      <c r="D1078">
        <v>2020</v>
      </c>
      <c r="E1078">
        <f>car_price_prediction_[[#This Row],[Engine Size]]/10</f>
        <v>5.6</v>
      </c>
      <c r="F1078">
        <v>56</v>
      </c>
      <c r="G1078" s="1" t="s">
        <v>29</v>
      </c>
      <c r="H1078" s="1" t="s">
        <v>22</v>
      </c>
      <c r="I1078" s="12">
        <f>car_price_prediction_[[#This Row],[Mileage]]/1000</f>
        <v>5.6950000000000003</v>
      </c>
      <c r="J1078" s="5">
        <v>5695</v>
      </c>
      <c r="K1078" s="1" t="s">
        <v>17</v>
      </c>
      <c r="L1078" s="5">
        <f>car_price_prediction_[[#This Row],[Price]]/100</f>
        <v>85808.73</v>
      </c>
      <c r="M1078">
        <v>8580873</v>
      </c>
      <c r="N1078" s="1" t="s">
        <v>31</v>
      </c>
      <c r="O1078" s="1">
        <f>IF(IFERROR(VLOOKUP(car_price_prediction_[[#This Row],[Car ID]],A1079:A3578,1,FALSE),0),1,0)</f>
        <v>0</v>
      </c>
    </row>
    <row r="1079" spans="1:15" x14ac:dyDescent="0.25">
      <c r="A1079">
        <v>1078</v>
      </c>
      <c r="B1079" s="1" t="s">
        <v>15</v>
      </c>
      <c r="C1079" s="1">
        <f>car_price_prediction_[[#This Row],[Year2]]</f>
        <v>2020</v>
      </c>
      <c r="D1079">
        <v>2020</v>
      </c>
      <c r="E1079">
        <f>car_price_prediction_[[#This Row],[Engine Size]]/10</f>
        <v>4.2</v>
      </c>
      <c r="F1079">
        <v>42</v>
      </c>
      <c r="G1079" s="1" t="s">
        <v>29</v>
      </c>
      <c r="H1079" s="1" t="s">
        <v>12</v>
      </c>
      <c r="I1079" s="12">
        <f>car_price_prediction_[[#This Row],[Mileage]]/1000</f>
        <v>226.81200000000001</v>
      </c>
      <c r="J1079" s="5">
        <v>226812</v>
      </c>
      <c r="K1079" s="1" t="s">
        <v>17</v>
      </c>
      <c r="L1079" s="5">
        <f>car_price_prediction_[[#This Row],[Price]]/100</f>
        <v>12283.88</v>
      </c>
      <c r="M1079">
        <v>1228388</v>
      </c>
      <c r="N1079" s="1" t="s">
        <v>35</v>
      </c>
      <c r="O1079" s="1">
        <f>IF(IFERROR(VLOOKUP(car_price_prediction_[[#This Row],[Car ID]],A1080:A3579,1,FALSE),0),1,0)</f>
        <v>0</v>
      </c>
    </row>
    <row r="1080" spans="1:15" x14ac:dyDescent="0.25">
      <c r="A1080">
        <v>1079</v>
      </c>
      <c r="B1080" s="1" t="s">
        <v>43</v>
      </c>
      <c r="C1080" s="1">
        <f>car_price_prediction_[[#This Row],[Year2]]</f>
        <v>2012</v>
      </c>
      <c r="D1080">
        <v>2012</v>
      </c>
      <c r="E1080">
        <f>car_price_prediction_[[#This Row],[Engine Size]]/10</f>
        <v>1.5</v>
      </c>
      <c r="F1080">
        <v>15</v>
      </c>
      <c r="G1080" s="1" t="s">
        <v>29</v>
      </c>
      <c r="H1080" s="1" t="s">
        <v>12</v>
      </c>
      <c r="I1080" s="12">
        <f>car_price_prediction_[[#This Row],[Mileage]]/1000</f>
        <v>58.499000000000002</v>
      </c>
      <c r="J1080" s="5">
        <v>58499</v>
      </c>
      <c r="K1080" s="1" t="s">
        <v>17</v>
      </c>
      <c r="L1080" s="5">
        <f>car_price_prediction_[[#This Row],[Price]]/100</f>
        <v>38775.86</v>
      </c>
      <c r="M1080">
        <v>3877586</v>
      </c>
      <c r="N1080" s="1" t="s">
        <v>44</v>
      </c>
      <c r="O1080" s="1">
        <f>IF(IFERROR(VLOOKUP(car_price_prediction_[[#This Row],[Car ID]],A1081:A3580,1,FALSE),0),1,0)</f>
        <v>0</v>
      </c>
    </row>
    <row r="1081" spans="1:15" x14ac:dyDescent="0.25">
      <c r="A1081">
        <v>1080</v>
      </c>
      <c r="B1081" s="1" t="s">
        <v>43</v>
      </c>
      <c r="C1081" s="1">
        <f>car_price_prediction_[[#This Row],[Year2]]</f>
        <v>2001</v>
      </c>
      <c r="D1081">
        <v>2001</v>
      </c>
      <c r="E1081">
        <f>car_price_prediction_[[#This Row],[Engine Size]]/10</f>
        <v>3</v>
      </c>
      <c r="F1081">
        <v>30</v>
      </c>
      <c r="G1081" s="1" t="s">
        <v>21</v>
      </c>
      <c r="H1081" s="1" t="s">
        <v>22</v>
      </c>
      <c r="I1081" s="12">
        <f>car_price_prediction_[[#This Row],[Mileage]]/1000</f>
        <v>23.382000000000001</v>
      </c>
      <c r="J1081" s="5">
        <v>23382</v>
      </c>
      <c r="K1081" s="1" t="s">
        <v>17</v>
      </c>
      <c r="L1081" s="5">
        <f>car_price_prediction_[[#This Row],[Price]]/100</f>
        <v>90478.61</v>
      </c>
      <c r="M1081">
        <v>9047861</v>
      </c>
      <c r="N1081" s="1" t="s">
        <v>47</v>
      </c>
      <c r="O1081" s="1">
        <f>IF(IFERROR(VLOOKUP(car_price_prediction_[[#This Row],[Car ID]],A1082:A3581,1,FALSE),0),1,0)</f>
        <v>0</v>
      </c>
    </row>
    <row r="1082" spans="1:15" x14ac:dyDescent="0.25">
      <c r="A1082">
        <v>1081</v>
      </c>
      <c r="B1082" s="1" t="s">
        <v>24</v>
      </c>
      <c r="C1082" s="1">
        <f>car_price_prediction_[[#This Row],[Year2]]</f>
        <v>2003</v>
      </c>
      <c r="D1082">
        <v>2003</v>
      </c>
      <c r="E1082">
        <f>car_price_prediction_[[#This Row],[Engine Size]]/10</f>
        <v>4.5999999999999996</v>
      </c>
      <c r="F1082">
        <v>46</v>
      </c>
      <c r="G1082" s="1" t="s">
        <v>29</v>
      </c>
      <c r="H1082" s="1" t="s">
        <v>22</v>
      </c>
      <c r="I1082" s="12">
        <f>car_price_prediction_[[#This Row],[Mileage]]/1000</f>
        <v>276.37900000000002</v>
      </c>
      <c r="J1082" s="5">
        <v>276379</v>
      </c>
      <c r="K1082" s="1" t="s">
        <v>13</v>
      </c>
      <c r="L1082" s="5">
        <f>car_price_prediction_[[#This Row],[Price]]/100</f>
        <v>16224.78</v>
      </c>
      <c r="M1082">
        <v>1622478</v>
      </c>
      <c r="N1082" s="1" t="s">
        <v>34</v>
      </c>
      <c r="O1082" s="1">
        <f>IF(IFERROR(VLOOKUP(car_price_prediction_[[#This Row],[Car ID]],A1083:A3582,1,FALSE),0),1,0)</f>
        <v>0</v>
      </c>
    </row>
    <row r="1083" spans="1:15" x14ac:dyDescent="0.25">
      <c r="A1083">
        <v>1082</v>
      </c>
      <c r="B1083" s="1" t="s">
        <v>19</v>
      </c>
      <c r="C1083" s="1">
        <f>car_price_prediction_[[#This Row],[Year2]]</f>
        <v>2005</v>
      </c>
      <c r="D1083">
        <v>2005</v>
      </c>
      <c r="E1083">
        <f>car_price_prediction_[[#This Row],[Engine Size]]/10</f>
        <v>4.9000000000000004</v>
      </c>
      <c r="F1083">
        <v>49</v>
      </c>
      <c r="G1083" s="1" t="s">
        <v>29</v>
      </c>
      <c r="H1083" s="1" t="s">
        <v>12</v>
      </c>
      <c r="I1083" s="12">
        <f>car_price_prediction_[[#This Row],[Mileage]]/1000</f>
        <v>193.29499999999999</v>
      </c>
      <c r="J1083" s="5">
        <v>193295</v>
      </c>
      <c r="K1083" s="1" t="s">
        <v>25</v>
      </c>
      <c r="L1083" s="5">
        <f>car_price_prediction_[[#This Row],[Price]]/100</f>
        <v>34513.51</v>
      </c>
      <c r="M1083">
        <v>3451351</v>
      </c>
      <c r="N1083" s="1" t="s">
        <v>20</v>
      </c>
      <c r="O1083" s="1">
        <f>IF(IFERROR(VLOOKUP(car_price_prediction_[[#This Row],[Car ID]],A1084:A3583,1,FALSE),0),1,0)</f>
        <v>0</v>
      </c>
    </row>
    <row r="1084" spans="1:15" x14ac:dyDescent="0.25">
      <c r="A1084">
        <v>1083</v>
      </c>
      <c r="B1084" s="1" t="s">
        <v>15</v>
      </c>
      <c r="C1084" s="1">
        <f>car_price_prediction_[[#This Row],[Year2]]</f>
        <v>2022</v>
      </c>
      <c r="D1084">
        <v>2022</v>
      </c>
      <c r="E1084">
        <f>car_price_prediction_[[#This Row],[Engine Size]]/10</f>
        <v>1.6</v>
      </c>
      <c r="F1084">
        <v>16</v>
      </c>
      <c r="G1084" s="1" t="s">
        <v>11</v>
      </c>
      <c r="H1084" s="1" t="s">
        <v>22</v>
      </c>
      <c r="I1084" s="12">
        <f>car_price_prediction_[[#This Row],[Mileage]]/1000</f>
        <v>133.43799999999999</v>
      </c>
      <c r="J1084" s="5">
        <v>133438</v>
      </c>
      <c r="K1084" s="1" t="s">
        <v>13</v>
      </c>
      <c r="L1084" s="5">
        <f>car_price_prediction_[[#This Row],[Price]]/100</f>
        <v>78949.960000000006</v>
      </c>
      <c r="M1084">
        <v>7894996</v>
      </c>
      <c r="N1084" s="1" t="s">
        <v>51</v>
      </c>
      <c r="O1084" s="1">
        <f>IF(IFERROR(VLOOKUP(car_price_prediction_[[#This Row],[Car ID]],A1085:A3584,1,FALSE),0),1,0)</f>
        <v>0</v>
      </c>
    </row>
    <row r="1085" spans="1:15" x14ac:dyDescent="0.25">
      <c r="A1085">
        <v>1084</v>
      </c>
      <c r="B1085" s="1" t="s">
        <v>10</v>
      </c>
      <c r="C1085" s="1">
        <f>car_price_prediction_[[#This Row],[Year2]]</f>
        <v>2004</v>
      </c>
      <c r="D1085">
        <v>2004</v>
      </c>
      <c r="E1085">
        <f>car_price_prediction_[[#This Row],[Engine Size]]/10</f>
        <v>1</v>
      </c>
      <c r="F1085">
        <v>10</v>
      </c>
      <c r="G1085" s="1" t="s">
        <v>16</v>
      </c>
      <c r="H1085" s="1" t="s">
        <v>12</v>
      </c>
      <c r="I1085" s="12">
        <f>car_price_prediction_[[#This Row],[Mileage]]/1000</f>
        <v>158.53899999999999</v>
      </c>
      <c r="J1085" s="5">
        <v>158539</v>
      </c>
      <c r="K1085" s="1" t="s">
        <v>17</v>
      </c>
      <c r="L1085" s="5">
        <f>car_price_prediction_[[#This Row],[Price]]/100</f>
        <v>56605.04</v>
      </c>
      <c r="M1085">
        <v>5660504</v>
      </c>
      <c r="N1085" s="1" t="s">
        <v>33</v>
      </c>
      <c r="O1085" s="1">
        <f>IF(IFERROR(VLOOKUP(car_price_prediction_[[#This Row],[Car ID]],A1086:A3585,1,FALSE),0),1,0)</f>
        <v>0</v>
      </c>
    </row>
    <row r="1086" spans="1:15" x14ac:dyDescent="0.25">
      <c r="A1086">
        <v>1085</v>
      </c>
      <c r="B1086" s="1" t="s">
        <v>10</v>
      </c>
      <c r="C1086" s="1">
        <f>car_price_prediction_[[#This Row],[Year2]]</f>
        <v>2002</v>
      </c>
      <c r="D1086">
        <v>2002</v>
      </c>
      <c r="E1086">
        <f>car_price_prediction_[[#This Row],[Engine Size]]/10</f>
        <v>4.5999999999999996</v>
      </c>
      <c r="F1086">
        <v>46</v>
      </c>
      <c r="G1086" s="1" t="s">
        <v>21</v>
      </c>
      <c r="H1086" s="1" t="s">
        <v>22</v>
      </c>
      <c r="I1086" s="12">
        <f>car_price_prediction_[[#This Row],[Mileage]]/1000</f>
        <v>6.7640000000000002</v>
      </c>
      <c r="J1086" s="5">
        <v>6764</v>
      </c>
      <c r="K1086" s="1" t="s">
        <v>25</v>
      </c>
      <c r="L1086" s="5">
        <f>car_price_prediction_[[#This Row],[Price]]/100</f>
        <v>84071.65</v>
      </c>
      <c r="M1086">
        <v>8407165</v>
      </c>
      <c r="N1086" s="1" t="s">
        <v>23</v>
      </c>
      <c r="O1086" s="1">
        <f>IF(IFERROR(VLOOKUP(car_price_prediction_[[#This Row],[Car ID]],A1087:A3586,1,FALSE),0),1,0)</f>
        <v>0</v>
      </c>
    </row>
    <row r="1087" spans="1:15" x14ac:dyDescent="0.25">
      <c r="A1087">
        <v>1086</v>
      </c>
      <c r="B1087" s="1" t="s">
        <v>10</v>
      </c>
      <c r="C1087" s="1">
        <f>car_price_prediction_[[#This Row],[Year2]]</f>
        <v>2000</v>
      </c>
      <c r="D1087">
        <v>2000</v>
      </c>
      <c r="E1087">
        <f>car_price_prediction_[[#This Row],[Engine Size]]/10</f>
        <v>2.8</v>
      </c>
      <c r="F1087">
        <v>28</v>
      </c>
      <c r="G1087" s="1" t="s">
        <v>16</v>
      </c>
      <c r="H1087" s="1" t="s">
        <v>22</v>
      </c>
      <c r="I1087" s="12">
        <f>car_price_prediction_[[#This Row],[Mileage]]/1000</f>
        <v>221.96799999999999</v>
      </c>
      <c r="J1087" s="5">
        <v>221968</v>
      </c>
      <c r="K1087" s="1" t="s">
        <v>25</v>
      </c>
      <c r="L1087" s="5">
        <f>car_price_prediction_[[#This Row],[Price]]/100</f>
        <v>15601.56</v>
      </c>
      <c r="M1087">
        <v>1560156</v>
      </c>
      <c r="N1087" s="1" t="s">
        <v>23</v>
      </c>
      <c r="O1087" s="1">
        <f>IF(IFERROR(VLOOKUP(car_price_prediction_[[#This Row],[Car ID]],A1088:A3587,1,FALSE),0),1,0)</f>
        <v>0</v>
      </c>
    </row>
    <row r="1088" spans="1:15" x14ac:dyDescent="0.25">
      <c r="A1088">
        <v>1087</v>
      </c>
      <c r="B1088" s="1" t="s">
        <v>36</v>
      </c>
      <c r="C1088" s="1">
        <f>car_price_prediction_[[#This Row],[Year2]]</f>
        <v>2003</v>
      </c>
      <c r="D1088">
        <v>2003</v>
      </c>
      <c r="E1088">
        <f>car_price_prediction_[[#This Row],[Engine Size]]/10</f>
        <v>2.2999999999999998</v>
      </c>
      <c r="F1088">
        <v>23</v>
      </c>
      <c r="G1088" s="1" t="s">
        <v>11</v>
      </c>
      <c r="H1088" s="1" t="s">
        <v>12</v>
      </c>
      <c r="I1088" s="12">
        <f>car_price_prediction_[[#This Row],[Mileage]]/1000</f>
        <v>113.831</v>
      </c>
      <c r="J1088" s="5">
        <v>113831</v>
      </c>
      <c r="K1088" s="1" t="s">
        <v>17</v>
      </c>
      <c r="L1088" s="5">
        <f>car_price_prediction_[[#This Row],[Price]]/100</f>
        <v>92452.65</v>
      </c>
      <c r="M1088">
        <v>9245265</v>
      </c>
      <c r="N1088" s="1" t="s">
        <v>41</v>
      </c>
      <c r="O1088" s="1">
        <f>IF(IFERROR(VLOOKUP(car_price_prediction_[[#This Row],[Car ID]],A1089:A3588,1,FALSE),0),1,0)</f>
        <v>0</v>
      </c>
    </row>
    <row r="1089" spans="1:15" x14ac:dyDescent="0.25">
      <c r="A1089">
        <v>1088</v>
      </c>
      <c r="B1089" s="1" t="s">
        <v>36</v>
      </c>
      <c r="C1089" s="1">
        <f>car_price_prediction_[[#This Row],[Year2]]</f>
        <v>2019</v>
      </c>
      <c r="D1089">
        <v>2019</v>
      </c>
      <c r="E1089">
        <f>car_price_prediction_[[#This Row],[Engine Size]]/10</f>
        <v>1.1000000000000001</v>
      </c>
      <c r="F1089">
        <v>11</v>
      </c>
      <c r="G1089" s="1" t="s">
        <v>16</v>
      </c>
      <c r="H1089" s="1" t="s">
        <v>22</v>
      </c>
      <c r="I1089" s="12">
        <f>car_price_prediction_[[#This Row],[Mileage]]/1000</f>
        <v>61.835999999999999</v>
      </c>
      <c r="J1089" s="5">
        <v>61836</v>
      </c>
      <c r="K1089" s="1" t="s">
        <v>17</v>
      </c>
      <c r="L1089" s="5">
        <f>car_price_prediction_[[#This Row],[Price]]/100</f>
        <v>93816.62</v>
      </c>
      <c r="M1089">
        <v>9381662</v>
      </c>
      <c r="N1089" s="1" t="s">
        <v>40</v>
      </c>
      <c r="O1089" s="1">
        <f>IF(IFERROR(VLOOKUP(car_price_prediction_[[#This Row],[Car ID]],A1090:A3589,1,FALSE),0),1,0)</f>
        <v>0</v>
      </c>
    </row>
    <row r="1090" spans="1:15" x14ac:dyDescent="0.25">
      <c r="A1090">
        <v>1089</v>
      </c>
      <c r="B1090" s="1" t="s">
        <v>30</v>
      </c>
      <c r="C1090" s="1">
        <f>car_price_prediction_[[#This Row],[Year2]]</f>
        <v>2001</v>
      </c>
      <c r="D1090">
        <v>2001</v>
      </c>
      <c r="E1090">
        <f>car_price_prediction_[[#This Row],[Engine Size]]/10</f>
        <v>3.7</v>
      </c>
      <c r="F1090">
        <v>37</v>
      </c>
      <c r="G1090" s="1" t="s">
        <v>29</v>
      </c>
      <c r="H1090" s="1" t="s">
        <v>22</v>
      </c>
      <c r="I1090" s="12">
        <f>car_price_prediction_[[#This Row],[Mileage]]/1000</f>
        <v>294.06700000000001</v>
      </c>
      <c r="J1090" s="5">
        <v>294067</v>
      </c>
      <c r="K1090" s="1" t="s">
        <v>17</v>
      </c>
      <c r="L1090" s="5">
        <f>car_price_prediction_[[#This Row],[Price]]/100</f>
        <v>19754.740000000002</v>
      </c>
      <c r="M1090">
        <v>1975474</v>
      </c>
      <c r="N1090" s="1" t="s">
        <v>48</v>
      </c>
      <c r="O1090" s="1">
        <f>IF(IFERROR(VLOOKUP(car_price_prediction_[[#This Row],[Car ID]],A1091:A3590,1,FALSE),0),1,0)</f>
        <v>0</v>
      </c>
    </row>
    <row r="1091" spans="1:15" x14ac:dyDescent="0.25">
      <c r="A1091">
        <v>1090</v>
      </c>
      <c r="B1091" s="1" t="s">
        <v>15</v>
      </c>
      <c r="C1091" s="1">
        <f>car_price_prediction_[[#This Row],[Year2]]</f>
        <v>2004</v>
      </c>
      <c r="D1091">
        <v>2004</v>
      </c>
      <c r="E1091">
        <f>car_price_prediction_[[#This Row],[Engine Size]]/10</f>
        <v>5.3</v>
      </c>
      <c r="F1091">
        <v>53</v>
      </c>
      <c r="G1091" s="1" t="s">
        <v>29</v>
      </c>
      <c r="H1091" s="1" t="s">
        <v>12</v>
      </c>
      <c r="I1091" s="12">
        <f>car_price_prediction_[[#This Row],[Mileage]]/1000</f>
        <v>255.03299999999999</v>
      </c>
      <c r="J1091" s="5">
        <v>255033</v>
      </c>
      <c r="K1091" s="1" t="s">
        <v>17</v>
      </c>
      <c r="L1091" s="5">
        <f>car_price_prediction_[[#This Row],[Price]]/100</f>
        <v>8218.17</v>
      </c>
      <c r="M1091">
        <v>821817</v>
      </c>
      <c r="N1091" s="1" t="s">
        <v>51</v>
      </c>
      <c r="O1091" s="1">
        <f>IF(IFERROR(VLOOKUP(car_price_prediction_[[#This Row],[Car ID]],A1092:A3591,1,FALSE),0),1,0)</f>
        <v>0</v>
      </c>
    </row>
    <row r="1092" spans="1:15" x14ac:dyDescent="0.25">
      <c r="A1092">
        <v>1091</v>
      </c>
      <c r="B1092" s="1" t="s">
        <v>10</v>
      </c>
      <c r="C1092" s="1">
        <f>car_price_prediction_[[#This Row],[Year2]]</f>
        <v>2002</v>
      </c>
      <c r="D1092">
        <v>2002</v>
      </c>
      <c r="E1092">
        <f>car_price_prediction_[[#This Row],[Engine Size]]/10</f>
        <v>5.8</v>
      </c>
      <c r="F1092">
        <v>58</v>
      </c>
      <c r="G1092" s="1" t="s">
        <v>21</v>
      </c>
      <c r="H1092" s="1" t="s">
        <v>12</v>
      </c>
      <c r="I1092" s="12">
        <f>car_price_prediction_[[#This Row],[Mileage]]/1000</f>
        <v>16.292000000000002</v>
      </c>
      <c r="J1092" s="5">
        <v>16292</v>
      </c>
      <c r="K1092" s="1" t="s">
        <v>17</v>
      </c>
      <c r="L1092" s="5">
        <f>car_price_prediction_[[#This Row],[Price]]/100</f>
        <v>99034.93</v>
      </c>
      <c r="M1092">
        <v>9903493</v>
      </c>
      <c r="N1092" s="1" t="s">
        <v>33</v>
      </c>
      <c r="O1092" s="1">
        <f>IF(IFERROR(VLOOKUP(car_price_prediction_[[#This Row],[Car ID]],A1093:A3592,1,FALSE),0),1,0)</f>
        <v>0</v>
      </c>
    </row>
    <row r="1093" spans="1:15" x14ac:dyDescent="0.25">
      <c r="A1093">
        <v>1092</v>
      </c>
      <c r="B1093" s="1" t="s">
        <v>36</v>
      </c>
      <c r="C1093" s="1">
        <f>car_price_prediction_[[#This Row],[Year2]]</f>
        <v>2008</v>
      </c>
      <c r="D1093">
        <v>2008</v>
      </c>
      <c r="E1093">
        <f>car_price_prediction_[[#This Row],[Engine Size]]/10</f>
        <v>3.8</v>
      </c>
      <c r="F1093">
        <v>38</v>
      </c>
      <c r="G1093" s="1" t="s">
        <v>21</v>
      </c>
      <c r="H1093" s="1" t="s">
        <v>22</v>
      </c>
      <c r="I1093" s="12">
        <f>car_price_prediction_[[#This Row],[Mileage]]/1000</f>
        <v>283.08300000000003</v>
      </c>
      <c r="J1093" s="5">
        <v>283083</v>
      </c>
      <c r="K1093" s="1" t="s">
        <v>17</v>
      </c>
      <c r="L1093" s="5">
        <f>car_price_prediction_[[#This Row],[Price]]/100</f>
        <v>5081.3900000000003</v>
      </c>
      <c r="M1093">
        <v>508139</v>
      </c>
      <c r="N1093" s="1" t="s">
        <v>46</v>
      </c>
      <c r="O1093" s="1">
        <f>IF(IFERROR(VLOOKUP(car_price_prediction_[[#This Row],[Car ID]],A1094:A3593,1,FALSE),0),1,0)</f>
        <v>0</v>
      </c>
    </row>
    <row r="1094" spans="1:15" x14ac:dyDescent="0.25">
      <c r="A1094">
        <v>1093</v>
      </c>
      <c r="B1094" s="1" t="s">
        <v>30</v>
      </c>
      <c r="C1094" s="1">
        <f>car_price_prediction_[[#This Row],[Year2]]</f>
        <v>2019</v>
      </c>
      <c r="D1094">
        <v>2019</v>
      </c>
      <c r="E1094">
        <f>car_price_prediction_[[#This Row],[Engine Size]]/10</f>
        <v>3.6</v>
      </c>
      <c r="F1094">
        <v>36</v>
      </c>
      <c r="G1094" s="1" t="s">
        <v>21</v>
      </c>
      <c r="H1094" s="1" t="s">
        <v>12</v>
      </c>
      <c r="I1094" s="12">
        <f>car_price_prediction_[[#This Row],[Mileage]]/1000</f>
        <v>243.77199999999999</v>
      </c>
      <c r="J1094" s="5">
        <v>243772</v>
      </c>
      <c r="K1094" s="1" t="s">
        <v>25</v>
      </c>
      <c r="L1094" s="5">
        <f>car_price_prediction_[[#This Row],[Price]]/100</f>
        <v>59347.16</v>
      </c>
      <c r="M1094">
        <v>5934716</v>
      </c>
      <c r="N1094" s="1" t="s">
        <v>48</v>
      </c>
      <c r="O1094" s="1">
        <f>IF(IFERROR(VLOOKUP(car_price_prediction_[[#This Row],[Car ID]],A1095:A3594,1,FALSE),0),1,0)</f>
        <v>0</v>
      </c>
    </row>
    <row r="1095" spans="1:15" x14ac:dyDescent="0.25">
      <c r="A1095">
        <v>1094</v>
      </c>
      <c r="B1095" s="1" t="s">
        <v>19</v>
      </c>
      <c r="C1095" s="1">
        <f>car_price_prediction_[[#This Row],[Year2]]</f>
        <v>2005</v>
      </c>
      <c r="D1095">
        <v>2005</v>
      </c>
      <c r="E1095">
        <f>car_price_prediction_[[#This Row],[Engine Size]]/10</f>
        <v>1.4</v>
      </c>
      <c r="F1095">
        <v>14</v>
      </c>
      <c r="G1095" s="1" t="s">
        <v>11</v>
      </c>
      <c r="H1095" s="1" t="s">
        <v>22</v>
      </c>
      <c r="I1095" s="12">
        <f>car_price_prediction_[[#This Row],[Mileage]]/1000</f>
        <v>18.8</v>
      </c>
      <c r="J1095" s="5">
        <v>18800</v>
      </c>
      <c r="K1095" s="1" t="s">
        <v>17</v>
      </c>
      <c r="L1095" s="5">
        <f>car_price_prediction_[[#This Row],[Price]]/100</f>
        <v>63510.95</v>
      </c>
      <c r="M1095">
        <v>6351095</v>
      </c>
      <c r="N1095" s="1" t="s">
        <v>38</v>
      </c>
      <c r="O1095" s="1">
        <f>IF(IFERROR(VLOOKUP(car_price_prediction_[[#This Row],[Car ID]],A1096:A3595,1,FALSE),0),1,0)</f>
        <v>0</v>
      </c>
    </row>
    <row r="1096" spans="1:15" x14ac:dyDescent="0.25">
      <c r="A1096">
        <v>1095</v>
      </c>
      <c r="B1096" s="1" t="s">
        <v>30</v>
      </c>
      <c r="C1096" s="1">
        <f>car_price_prediction_[[#This Row],[Year2]]</f>
        <v>2017</v>
      </c>
      <c r="D1096">
        <v>2017</v>
      </c>
      <c r="E1096">
        <f>car_price_prediction_[[#This Row],[Engine Size]]/10</f>
        <v>3.7</v>
      </c>
      <c r="F1096">
        <v>37</v>
      </c>
      <c r="G1096" s="1" t="s">
        <v>21</v>
      </c>
      <c r="H1096" s="1" t="s">
        <v>22</v>
      </c>
      <c r="I1096" s="12">
        <f>car_price_prediction_[[#This Row],[Mileage]]/1000</f>
        <v>56.44</v>
      </c>
      <c r="J1096" s="5">
        <v>56440</v>
      </c>
      <c r="K1096" s="1" t="s">
        <v>17</v>
      </c>
      <c r="L1096" s="5">
        <f>car_price_prediction_[[#This Row],[Price]]/100</f>
        <v>8001.85</v>
      </c>
      <c r="M1096">
        <v>800185</v>
      </c>
      <c r="N1096" s="1" t="s">
        <v>45</v>
      </c>
      <c r="O1096" s="1">
        <f>IF(IFERROR(VLOOKUP(car_price_prediction_[[#This Row],[Car ID]],A1097:A3596,1,FALSE),0),1,0)</f>
        <v>0</v>
      </c>
    </row>
    <row r="1097" spans="1:15" x14ac:dyDescent="0.25">
      <c r="A1097">
        <v>1096</v>
      </c>
      <c r="B1097" s="1" t="s">
        <v>36</v>
      </c>
      <c r="C1097" s="1">
        <f>car_price_prediction_[[#This Row],[Year2]]</f>
        <v>2005</v>
      </c>
      <c r="D1097">
        <v>2005</v>
      </c>
      <c r="E1097">
        <f>car_price_prediction_[[#This Row],[Engine Size]]/10</f>
        <v>2.9</v>
      </c>
      <c r="F1097">
        <v>29</v>
      </c>
      <c r="G1097" s="1" t="s">
        <v>11</v>
      </c>
      <c r="H1097" s="1" t="s">
        <v>12</v>
      </c>
      <c r="I1097" s="12">
        <f>car_price_prediction_[[#This Row],[Mileage]]/1000</f>
        <v>127.521</v>
      </c>
      <c r="J1097" s="5">
        <v>127521</v>
      </c>
      <c r="K1097" s="1" t="s">
        <v>25</v>
      </c>
      <c r="L1097" s="5">
        <f>car_price_prediction_[[#This Row],[Price]]/100</f>
        <v>82138.86</v>
      </c>
      <c r="M1097">
        <v>8213886</v>
      </c>
      <c r="N1097" s="1" t="s">
        <v>37</v>
      </c>
      <c r="O1097" s="1">
        <f>IF(IFERROR(VLOOKUP(car_price_prediction_[[#This Row],[Car ID]],A1098:A3597,1,FALSE),0),1,0)</f>
        <v>0</v>
      </c>
    </row>
    <row r="1098" spans="1:15" x14ac:dyDescent="0.25">
      <c r="A1098">
        <v>1097</v>
      </c>
      <c r="B1098" s="1" t="s">
        <v>24</v>
      </c>
      <c r="C1098" s="1">
        <f>car_price_prediction_[[#This Row],[Year2]]</f>
        <v>2018</v>
      </c>
      <c r="D1098">
        <v>2018</v>
      </c>
      <c r="E1098">
        <f>car_price_prediction_[[#This Row],[Engine Size]]/10</f>
        <v>4</v>
      </c>
      <c r="F1098">
        <v>40</v>
      </c>
      <c r="G1098" s="1" t="s">
        <v>29</v>
      </c>
      <c r="H1098" s="1" t="s">
        <v>12</v>
      </c>
      <c r="I1098" s="12">
        <f>car_price_prediction_[[#This Row],[Mileage]]/1000</f>
        <v>121.327</v>
      </c>
      <c r="J1098" s="5">
        <v>121327</v>
      </c>
      <c r="K1098" s="1" t="s">
        <v>13</v>
      </c>
      <c r="L1098" s="5">
        <f>car_price_prediction_[[#This Row],[Price]]/100</f>
        <v>2342.29</v>
      </c>
      <c r="M1098">
        <v>234229</v>
      </c>
      <c r="N1098" s="1" t="s">
        <v>26</v>
      </c>
      <c r="O1098" s="1">
        <f>IF(IFERROR(VLOOKUP(car_price_prediction_[[#This Row],[Car ID]],A1099:A3598,1,FALSE),0),1,0)</f>
        <v>0</v>
      </c>
    </row>
    <row r="1099" spans="1:15" x14ac:dyDescent="0.25">
      <c r="A1099">
        <v>1098</v>
      </c>
      <c r="B1099" s="1" t="s">
        <v>24</v>
      </c>
      <c r="C1099" s="1">
        <f>car_price_prediction_[[#This Row],[Year2]]</f>
        <v>2011</v>
      </c>
      <c r="D1099">
        <v>2011</v>
      </c>
      <c r="E1099">
        <f>car_price_prediction_[[#This Row],[Engine Size]]/10</f>
        <v>2.9</v>
      </c>
      <c r="F1099">
        <v>29</v>
      </c>
      <c r="G1099" s="1" t="s">
        <v>16</v>
      </c>
      <c r="H1099" s="1" t="s">
        <v>12</v>
      </c>
      <c r="I1099" s="12">
        <f>car_price_prediction_[[#This Row],[Mileage]]/1000</f>
        <v>49.648000000000003</v>
      </c>
      <c r="J1099" s="5">
        <v>49648</v>
      </c>
      <c r="K1099" s="1" t="s">
        <v>17</v>
      </c>
      <c r="L1099" s="5">
        <f>car_price_prediction_[[#This Row],[Price]]/100</f>
        <v>27480.49</v>
      </c>
      <c r="M1099">
        <v>2748049</v>
      </c>
      <c r="N1099" s="1" t="s">
        <v>34</v>
      </c>
      <c r="O1099" s="1">
        <f>IF(IFERROR(VLOOKUP(car_price_prediction_[[#This Row],[Car ID]],A1100:A3599,1,FALSE),0),1,0)</f>
        <v>0</v>
      </c>
    </row>
    <row r="1100" spans="1:15" x14ac:dyDescent="0.25">
      <c r="A1100">
        <v>1099</v>
      </c>
      <c r="B1100" s="1" t="s">
        <v>10</v>
      </c>
      <c r="C1100" s="1">
        <f>car_price_prediction_[[#This Row],[Year2]]</f>
        <v>2010</v>
      </c>
      <c r="D1100">
        <v>2010</v>
      </c>
      <c r="E1100">
        <f>car_price_prediction_[[#This Row],[Engine Size]]/10</f>
        <v>2.2000000000000002</v>
      </c>
      <c r="F1100">
        <v>22</v>
      </c>
      <c r="G1100" s="1" t="s">
        <v>29</v>
      </c>
      <c r="H1100" s="1" t="s">
        <v>12</v>
      </c>
      <c r="I1100" s="12">
        <f>car_price_prediction_[[#This Row],[Mileage]]/1000</f>
        <v>291.90800000000002</v>
      </c>
      <c r="J1100" s="5">
        <v>291908</v>
      </c>
      <c r="K1100" s="1" t="s">
        <v>25</v>
      </c>
      <c r="L1100" s="5">
        <f>car_price_prediction_[[#This Row],[Price]]/100</f>
        <v>88299.14</v>
      </c>
      <c r="M1100">
        <v>8829914</v>
      </c>
      <c r="N1100" s="1" t="s">
        <v>14</v>
      </c>
      <c r="O1100" s="1">
        <f>IF(IFERROR(VLOOKUP(car_price_prediction_[[#This Row],[Car ID]],A1101:A3600,1,FALSE),0),1,0)</f>
        <v>0</v>
      </c>
    </row>
    <row r="1101" spans="1:15" x14ac:dyDescent="0.25">
      <c r="A1101">
        <v>1100</v>
      </c>
      <c r="B1101" s="1" t="s">
        <v>24</v>
      </c>
      <c r="C1101" s="1">
        <f>car_price_prediction_[[#This Row],[Year2]]</f>
        <v>2001</v>
      </c>
      <c r="D1101">
        <v>2001</v>
      </c>
      <c r="E1101">
        <f>car_price_prediction_[[#This Row],[Engine Size]]/10</f>
        <v>1.5</v>
      </c>
      <c r="F1101">
        <v>15</v>
      </c>
      <c r="G1101" s="1" t="s">
        <v>29</v>
      </c>
      <c r="H1101" s="1" t="s">
        <v>12</v>
      </c>
      <c r="I1101" s="12">
        <f>car_price_prediction_[[#This Row],[Mileage]]/1000</f>
        <v>294.61399999999998</v>
      </c>
      <c r="J1101" s="5">
        <v>294614</v>
      </c>
      <c r="K1101" s="1" t="s">
        <v>25</v>
      </c>
      <c r="L1101" s="5">
        <f>car_price_prediction_[[#This Row],[Price]]/100</f>
        <v>82854.17</v>
      </c>
      <c r="M1101">
        <v>8285417</v>
      </c>
      <c r="N1101" s="1" t="s">
        <v>26</v>
      </c>
      <c r="O1101" s="1">
        <f>IF(IFERROR(VLOOKUP(car_price_prediction_[[#This Row],[Car ID]],A1102:A3601,1,FALSE),0),1,0)</f>
        <v>0</v>
      </c>
    </row>
    <row r="1102" spans="1:15" x14ac:dyDescent="0.25">
      <c r="A1102">
        <v>1101</v>
      </c>
      <c r="B1102" s="1" t="s">
        <v>10</v>
      </c>
      <c r="C1102" s="1">
        <f>car_price_prediction_[[#This Row],[Year2]]</f>
        <v>2014</v>
      </c>
      <c r="D1102">
        <v>2014</v>
      </c>
      <c r="E1102">
        <f>car_price_prediction_[[#This Row],[Engine Size]]/10</f>
        <v>2.6</v>
      </c>
      <c r="F1102">
        <v>26</v>
      </c>
      <c r="G1102" s="1" t="s">
        <v>29</v>
      </c>
      <c r="H1102" s="1" t="s">
        <v>12</v>
      </c>
      <c r="I1102" s="12">
        <f>car_price_prediction_[[#This Row],[Mileage]]/1000</f>
        <v>256.16000000000003</v>
      </c>
      <c r="J1102" s="5">
        <v>256160</v>
      </c>
      <c r="K1102" s="1" t="s">
        <v>13</v>
      </c>
      <c r="L1102" s="5">
        <f>car_price_prediction_[[#This Row],[Price]]/100</f>
        <v>63673.84</v>
      </c>
      <c r="M1102">
        <v>6367384</v>
      </c>
      <c r="N1102" s="1" t="s">
        <v>49</v>
      </c>
      <c r="O1102" s="1">
        <f>IF(IFERROR(VLOOKUP(car_price_prediction_[[#This Row],[Car ID]],A1103:A3602,1,FALSE),0),1,0)</f>
        <v>0</v>
      </c>
    </row>
    <row r="1103" spans="1:15" x14ac:dyDescent="0.25">
      <c r="A1103">
        <v>1102</v>
      </c>
      <c r="B1103" s="1" t="s">
        <v>10</v>
      </c>
      <c r="C1103" s="1">
        <f>car_price_prediction_[[#This Row],[Year2]]</f>
        <v>2011</v>
      </c>
      <c r="D1103">
        <v>2011</v>
      </c>
      <c r="E1103">
        <f>car_price_prediction_[[#This Row],[Engine Size]]/10</f>
        <v>1.5</v>
      </c>
      <c r="F1103">
        <v>15</v>
      </c>
      <c r="G1103" s="1" t="s">
        <v>21</v>
      </c>
      <c r="H1103" s="1" t="s">
        <v>22</v>
      </c>
      <c r="I1103" s="12">
        <f>car_price_prediction_[[#This Row],[Mileage]]/1000</f>
        <v>169.57300000000001</v>
      </c>
      <c r="J1103" s="5">
        <v>169573</v>
      </c>
      <c r="K1103" s="1" t="s">
        <v>17</v>
      </c>
      <c r="L1103" s="5">
        <f>car_price_prediction_[[#This Row],[Price]]/100</f>
        <v>99496.42</v>
      </c>
      <c r="M1103">
        <v>9949642</v>
      </c>
      <c r="N1103" s="1" t="s">
        <v>49</v>
      </c>
      <c r="O1103" s="1">
        <f>IF(IFERROR(VLOOKUP(car_price_prediction_[[#This Row],[Car ID]],A1104:A3603,1,FALSE),0),1,0)</f>
        <v>0</v>
      </c>
    </row>
    <row r="1104" spans="1:15" x14ac:dyDescent="0.25">
      <c r="A1104">
        <v>1103</v>
      </c>
      <c r="B1104" s="1" t="s">
        <v>36</v>
      </c>
      <c r="C1104" s="1">
        <f>car_price_prediction_[[#This Row],[Year2]]</f>
        <v>2011</v>
      </c>
      <c r="D1104">
        <v>2011</v>
      </c>
      <c r="E1104">
        <f>car_price_prediction_[[#This Row],[Engine Size]]/10</f>
        <v>1.9</v>
      </c>
      <c r="F1104">
        <v>19</v>
      </c>
      <c r="G1104" s="1" t="s">
        <v>21</v>
      </c>
      <c r="H1104" s="1" t="s">
        <v>22</v>
      </c>
      <c r="I1104" s="12">
        <f>car_price_prediction_[[#This Row],[Mileage]]/1000</f>
        <v>57.207000000000001</v>
      </c>
      <c r="J1104" s="5">
        <v>57207</v>
      </c>
      <c r="K1104" s="1" t="s">
        <v>17</v>
      </c>
      <c r="L1104" s="5">
        <f>car_price_prediction_[[#This Row],[Price]]/100</f>
        <v>74842.47</v>
      </c>
      <c r="M1104">
        <v>7484247</v>
      </c>
      <c r="N1104" s="1" t="s">
        <v>37</v>
      </c>
      <c r="O1104" s="1">
        <f>IF(IFERROR(VLOOKUP(car_price_prediction_[[#This Row],[Car ID]],A1105:A3604,1,FALSE),0),1,0)</f>
        <v>0</v>
      </c>
    </row>
    <row r="1105" spans="1:15" x14ac:dyDescent="0.25">
      <c r="A1105">
        <v>1104</v>
      </c>
      <c r="B1105" s="1" t="s">
        <v>24</v>
      </c>
      <c r="C1105" s="1">
        <f>car_price_prediction_[[#This Row],[Year2]]</f>
        <v>2008</v>
      </c>
      <c r="D1105">
        <v>2008</v>
      </c>
      <c r="E1105">
        <f>car_price_prediction_[[#This Row],[Engine Size]]/10</f>
        <v>5.9</v>
      </c>
      <c r="F1105">
        <v>59</v>
      </c>
      <c r="G1105" s="1" t="s">
        <v>21</v>
      </c>
      <c r="H1105" s="1" t="s">
        <v>12</v>
      </c>
      <c r="I1105" s="12">
        <f>car_price_prediction_[[#This Row],[Mileage]]/1000</f>
        <v>62.156999999999996</v>
      </c>
      <c r="J1105" s="5">
        <v>62157</v>
      </c>
      <c r="K1105" s="1" t="s">
        <v>17</v>
      </c>
      <c r="L1105" s="5">
        <f>car_price_prediction_[[#This Row],[Price]]/100</f>
        <v>25504.49</v>
      </c>
      <c r="M1105">
        <v>2550449</v>
      </c>
      <c r="N1105" s="1" t="s">
        <v>53</v>
      </c>
      <c r="O1105" s="1">
        <f>IF(IFERROR(VLOOKUP(car_price_prediction_[[#This Row],[Car ID]],A1106:A3605,1,FALSE),0),1,0)</f>
        <v>0</v>
      </c>
    </row>
    <row r="1106" spans="1:15" x14ac:dyDescent="0.25">
      <c r="A1106">
        <v>1105</v>
      </c>
      <c r="B1106" s="1" t="s">
        <v>10</v>
      </c>
      <c r="C1106" s="1">
        <f>car_price_prediction_[[#This Row],[Year2]]</f>
        <v>2020</v>
      </c>
      <c r="D1106">
        <v>2020</v>
      </c>
      <c r="E1106">
        <f>car_price_prediction_[[#This Row],[Engine Size]]/10</f>
        <v>3.2</v>
      </c>
      <c r="F1106">
        <v>32</v>
      </c>
      <c r="G1106" s="1" t="s">
        <v>16</v>
      </c>
      <c r="H1106" s="1" t="s">
        <v>22</v>
      </c>
      <c r="I1106" s="12">
        <f>car_price_prediction_[[#This Row],[Mileage]]/1000</f>
        <v>134.28800000000001</v>
      </c>
      <c r="J1106" s="5">
        <v>134288</v>
      </c>
      <c r="K1106" s="1" t="s">
        <v>25</v>
      </c>
      <c r="L1106" s="5">
        <f>car_price_prediction_[[#This Row],[Price]]/100</f>
        <v>85431.19</v>
      </c>
      <c r="M1106">
        <v>8543119</v>
      </c>
      <c r="N1106" s="1" t="s">
        <v>49</v>
      </c>
      <c r="O1106" s="1">
        <f>IF(IFERROR(VLOOKUP(car_price_prediction_[[#This Row],[Car ID]],A1107:A3606,1,FALSE),0),1,0)</f>
        <v>0</v>
      </c>
    </row>
    <row r="1107" spans="1:15" x14ac:dyDescent="0.25">
      <c r="A1107">
        <v>1106</v>
      </c>
      <c r="B1107" s="1" t="s">
        <v>15</v>
      </c>
      <c r="C1107" s="1">
        <f>car_price_prediction_[[#This Row],[Year2]]</f>
        <v>2023</v>
      </c>
      <c r="D1107">
        <v>2023</v>
      </c>
      <c r="E1107">
        <f>car_price_prediction_[[#This Row],[Engine Size]]/10</f>
        <v>3.7</v>
      </c>
      <c r="F1107">
        <v>37</v>
      </c>
      <c r="G1107" s="1" t="s">
        <v>21</v>
      </c>
      <c r="H1107" s="1" t="s">
        <v>22</v>
      </c>
      <c r="I1107" s="12">
        <f>car_price_prediction_[[#This Row],[Mileage]]/1000</f>
        <v>153.14400000000001</v>
      </c>
      <c r="J1107" s="5">
        <v>153144</v>
      </c>
      <c r="K1107" s="1" t="s">
        <v>17</v>
      </c>
      <c r="L1107" s="5">
        <f>car_price_prediction_[[#This Row],[Price]]/100</f>
        <v>4439.96</v>
      </c>
      <c r="M1107">
        <v>443996</v>
      </c>
      <c r="N1107" s="1" t="s">
        <v>18</v>
      </c>
      <c r="O1107" s="1">
        <f>IF(IFERROR(VLOOKUP(car_price_prediction_[[#This Row],[Car ID]],A1108:A3607,1,FALSE),0),1,0)</f>
        <v>0</v>
      </c>
    </row>
    <row r="1108" spans="1:15" x14ac:dyDescent="0.25">
      <c r="A1108">
        <v>1107</v>
      </c>
      <c r="B1108" s="1" t="s">
        <v>19</v>
      </c>
      <c r="C1108" s="1">
        <f>car_price_prediction_[[#This Row],[Year2]]</f>
        <v>2001</v>
      </c>
      <c r="D1108">
        <v>2001</v>
      </c>
      <c r="E1108">
        <f>car_price_prediction_[[#This Row],[Engine Size]]/10</f>
        <v>5.4</v>
      </c>
      <c r="F1108">
        <v>54</v>
      </c>
      <c r="G1108" s="1" t="s">
        <v>11</v>
      </c>
      <c r="H1108" s="1" t="s">
        <v>22</v>
      </c>
      <c r="I1108" s="12">
        <f>car_price_prediction_[[#This Row],[Mileage]]/1000</f>
        <v>93.778000000000006</v>
      </c>
      <c r="J1108" s="5">
        <v>93778</v>
      </c>
      <c r="K1108" s="1" t="s">
        <v>17</v>
      </c>
      <c r="L1108" s="5">
        <f>car_price_prediction_[[#This Row],[Price]]/100</f>
        <v>843.45</v>
      </c>
      <c r="M1108">
        <v>84345</v>
      </c>
      <c r="N1108" s="1" t="s">
        <v>27</v>
      </c>
      <c r="O1108" s="1">
        <f>IF(IFERROR(VLOOKUP(car_price_prediction_[[#This Row],[Car ID]],A1109:A3608,1,FALSE),0),1,0)</f>
        <v>0</v>
      </c>
    </row>
    <row r="1109" spans="1:15" x14ac:dyDescent="0.25">
      <c r="A1109">
        <v>1108</v>
      </c>
      <c r="B1109" s="1" t="s">
        <v>30</v>
      </c>
      <c r="C1109" s="1">
        <f>car_price_prediction_[[#This Row],[Year2]]</f>
        <v>2021</v>
      </c>
      <c r="D1109">
        <v>2021</v>
      </c>
      <c r="E1109">
        <f>car_price_prediction_[[#This Row],[Engine Size]]/10</f>
        <v>6</v>
      </c>
      <c r="F1109">
        <v>60</v>
      </c>
      <c r="G1109" s="1" t="s">
        <v>29</v>
      </c>
      <c r="H1109" s="1" t="s">
        <v>22</v>
      </c>
      <c r="I1109" s="12">
        <f>car_price_prediction_[[#This Row],[Mileage]]/1000</f>
        <v>130.01599999999999</v>
      </c>
      <c r="J1109" s="5">
        <v>130016</v>
      </c>
      <c r="K1109" s="1" t="s">
        <v>17</v>
      </c>
      <c r="L1109" s="5">
        <f>car_price_prediction_[[#This Row],[Price]]/100</f>
        <v>35535.019999999997</v>
      </c>
      <c r="M1109">
        <v>3553502</v>
      </c>
      <c r="N1109" s="1" t="s">
        <v>48</v>
      </c>
      <c r="O1109" s="1">
        <f>IF(IFERROR(VLOOKUP(car_price_prediction_[[#This Row],[Car ID]],A1110:A3609,1,FALSE),0),1,0)</f>
        <v>0</v>
      </c>
    </row>
    <row r="1110" spans="1:15" x14ac:dyDescent="0.25">
      <c r="A1110">
        <v>1109</v>
      </c>
      <c r="B1110" s="1" t="s">
        <v>30</v>
      </c>
      <c r="C1110" s="1">
        <f>car_price_prediction_[[#This Row],[Year2]]</f>
        <v>2002</v>
      </c>
      <c r="D1110">
        <v>2002</v>
      </c>
      <c r="E1110">
        <f>car_price_prediction_[[#This Row],[Engine Size]]/10</f>
        <v>3.9</v>
      </c>
      <c r="F1110">
        <v>39</v>
      </c>
      <c r="G1110" s="1" t="s">
        <v>16</v>
      </c>
      <c r="H1110" s="1" t="s">
        <v>12</v>
      </c>
      <c r="I1110" s="12">
        <f>car_price_prediction_[[#This Row],[Mileage]]/1000</f>
        <v>124.288</v>
      </c>
      <c r="J1110" s="5">
        <v>124288</v>
      </c>
      <c r="K1110" s="1" t="s">
        <v>17</v>
      </c>
      <c r="L1110" s="5">
        <f>car_price_prediction_[[#This Row],[Price]]/100</f>
        <v>77537.37</v>
      </c>
      <c r="M1110">
        <v>7753737</v>
      </c>
      <c r="N1110" s="1" t="s">
        <v>48</v>
      </c>
      <c r="O1110" s="1">
        <f>IF(IFERROR(VLOOKUP(car_price_prediction_[[#This Row],[Car ID]],A1111:A3610,1,FALSE),0),1,0)</f>
        <v>0</v>
      </c>
    </row>
    <row r="1111" spans="1:15" x14ac:dyDescent="0.25">
      <c r="A1111">
        <v>1110</v>
      </c>
      <c r="B1111" s="1" t="s">
        <v>36</v>
      </c>
      <c r="C1111" s="1">
        <f>car_price_prediction_[[#This Row],[Year2]]</f>
        <v>2011</v>
      </c>
      <c r="D1111">
        <v>2011</v>
      </c>
      <c r="E1111">
        <f>car_price_prediction_[[#This Row],[Engine Size]]/10</f>
        <v>5.0999999999999996</v>
      </c>
      <c r="F1111">
        <v>51</v>
      </c>
      <c r="G1111" s="1" t="s">
        <v>16</v>
      </c>
      <c r="H1111" s="1" t="s">
        <v>22</v>
      </c>
      <c r="I1111" s="12">
        <f>car_price_prediction_[[#This Row],[Mileage]]/1000</f>
        <v>168.20400000000001</v>
      </c>
      <c r="J1111" s="5">
        <v>168204</v>
      </c>
      <c r="K1111" s="1" t="s">
        <v>13</v>
      </c>
      <c r="L1111" s="5">
        <f>car_price_prediction_[[#This Row],[Price]]/100</f>
        <v>96219.59</v>
      </c>
      <c r="M1111">
        <v>9621959</v>
      </c>
      <c r="N1111" s="1" t="s">
        <v>46</v>
      </c>
      <c r="O1111" s="1">
        <f>IF(IFERROR(VLOOKUP(car_price_prediction_[[#This Row],[Car ID]],A1112:A3611,1,FALSE),0),1,0)</f>
        <v>0</v>
      </c>
    </row>
    <row r="1112" spans="1:15" x14ac:dyDescent="0.25">
      <c r="A1112">
        <v>1111</v>
      </c>
      <c r="B1112" s="1" t="s">
        <v>24</v>
      </c>
      <c r="C1112" s="1">
        <f>car_price_prediction_[[#This Row],[Year2]]</f>
        <v>2015</v>
      </c>
      <c r="D1112">
        <v>2015</v>
      </c>
      <c r="E1112">
        <f>car_price_prediction_[[#This Row],[Engine Size]]/10</f>
        <v>2.6</v>
      </c>
      <c r="F1112">
        <v>26</v>
      </c>
      <c r="G1112" s="1" t="s">
        <v>16</v>
      </c>
      <c r="H1112" s="1" t="s">
        <v>22</v>
      </c>
      <c r="I1112" s="12">
        <f>car_price_prediction_[[#This Row],[Mileage]]/1000</f>
        <v>110.57299999999999</v>
      </c>
      <c r="J1112" s="5">
        <v>110573</v>
      </c>
      <c r="K1112" s="1" t="s">
        <v>13</v>
      </c>
      <c r="L1112" s="5">
        <f>car_price_prediction_[[#This Row],[Price]]/100</f>
        <v>31232.959999999999</v>
      </c>
      <c r="M1112">
        <v>3123296</v>
      </c>
      <c r="N1112" s="1" t="s">
        <v>26</v>
      </c>
      <c r="O1112" s="1">
        <f>IF(IFERROR(VLOOKUP(car_price_prediction_[[#This Row],[Car ID]],A1113:A3612,1,FALSE),0),1,0)</f>
        <v>0</v>
      </c>
    </row>
    <row r="1113" spans="1:15" x14ac:dyDescent="0.25">
      <c r="A1113">
        <v>1112</v>
      </c>
      <c r="B1113" s="1" t="s">
        <v>24</v>
      </c>
      <c r="C1113" s="1">
        <f>car_price_prediction_[[#This Row],[Year2]]</f>
        <v>2020</v>
      </c>
      <c r="D1113">
        <v>2020</v>
      </c>
      <c r="E1113">
        <f>car_price_prediction_[[#This Row],[Engine Size]]/10</f>
        <v>2.5</v>
      </c>
      <c r="F1113">
        <v>25</v>
      </c>
      <c r="G1113" s="1" t="s">
        <v>16</v>
      </c>
      <c r="H1113" s="1" t="s">
        <v>12</v>
      </c>
      <c r="I1113" s="12">
        <f>car_price_prediction_[[#This Row],[Mileage]]/1000</f>
        <v>120.73</v>
      </c>
      <c r="J1113" s="5">
        <v>120730</v>
      </c>
      <c r="K1113" s="1" t="s">
        <v>13</v>
      </c>
      <c r="L1113" s="5">
        <f>car_price_prediction_[[#This Row],[Price]]/100</f>
        <v>28419.05</v>
      </c>
      <c r="M1113">
        <v>2841905</v>
      </c>
      <c r="N1113" s="1" t="s">
        <v>32</v>
      </c>
      <c r="O1113" s="1">
        <f>IF(IFERROR(VLOOKUP(car_price_prediction_[[#This Row],[Car ID]],A1114:A3613,1,FALSE),0),1,0)</f>
        <v>0</v>
      </c>
    </row>
    <row r="1114" spans="1:15" x14ac:dyDescent="0.25">
      <c r="A1114">
        <v>1113</v>
      </c>
      <c r="B1114" s="1" t="s">
        <v>10</v>
      </c>
      <c r="C1114" s="1">
        <f>car_price_prediction_[[#This Row],[Year2]]</f>
        <v>2023</v>
      </c>
      <c r="D1114">
        <v>2023</v>
      </c>
      <c r="E1114">
        <f>car_price_prediction_[[#This Row],[Engine Size]]/10</f>
        <v>3</v>
      </c>
      <c r="F1114">
        <v>30</v>
      </c>
      <c r="G1114" s="1" t="s">
        <v>16</v>
      </c>
      <c r="H1114" s="1" t="s">
        <v>12</v>
      </c>
      <c r="I1114" s="12">
        <f>car_price_prediction_[[#This Row],[Mileage]]/1000</f>
        <v>64.186000000000007</v>
      </c>
      <c r="J1114" s="5">
        <v>64186</v>
      </c>
      <c r="K1114" s="1" t="s">
        <v>17</v>
      </c>
      <c r="L1114" s="5">
        <f>car_price_prediction_[[#This Row],[Price]]/100</f>
        <v>58543.58</v>
      </c>
      <c r="M1114">
        <v>5854358</v>
      </c>
      <c r="N1114" s="1" t="s">
        <v>23</v>
      </c>
      <c r="O1114" s="1">
        <f>IF(IFERROR(VLOOKUP(car_price_prediction_[[#This Row],[Car ID]],A1115:A3614,1,FALSE),0),1,0)</f>
        <v>0</v>
      </c>
    </row>
    <row r="1115" spans="1:15" x14ac:dyDescent="0.25">
      <c r="A1115">
        <v>1114</v>
      </c>
      <c r="B1115" s="1" t="s">
        <v>43</v>
      </c>
      <c r="C1115" s="1">
        <f>car_price_prediction_[[#This Row],[Year2]]</f>
        <v>2000</v>
      </c>
      <c r="D1115">
        <v>2000</v>
      </c>
      <c r="E1115">
        <f>car_price_prediction_[[#This Row],[Engine Size]]/10</f>
        <v>4.4000000000000004</v>
      </c>
      <c r="F1115">
        <v>44</v>
      </c>
      <c r="G1115" s="1" t="s">
        <v>11</v>
      </c>
      <c r="H1115" s="1" t="s">
        <v>12</v>
      </c>
      <c r="I1115" s="12">
        <f>car_price_prediction_[[#This Row],[Mileage]]/1000</f>
        <v>267.10399999999998</v>
      </c>
      <c r="J1115" s="5">
        <v>267104</v>
      </c>
      <c r="K1115" s="1" t="s">
        <v>17</v>
      </c>
      <c r="L1115" s="5">
        <f>car_price_prediction_[[#This Row],[Price]]/100</f>
        <v>82109.97</v>
      </c>
      <c r="M1115">
        <v>8210997</v>
      </c>
      <c r="N1115" s="1" t="s">
        <v>44</v>
      </c>
      <c r="O1115" s="1">
        <f>IF(IFERROR(VLOOKUP(car_price_prediction_[[#This Row],[Car ID]],A1116:A3615,1,FALSE),0),1,0)</f>
        <v>0</v>
      </c>
    </row>
    <row r="1116" spans="1:15" x14ac:dyDescent="0.25">
      <c r="A1116">
        <v>1115</v>
      </c>
      <c r="B1116" s="1" t="s">
        <v>10</v>
      </c>
      <c r="C1116" s="1">
        <f>car_price_prediction_[[#This Row],[Year2]]</f>
        <v>2020</v>
      </c>
      <c r="D1116">
        <v>2020</v>
      </c>
      <c r="E1116">
        <f>car_price_prediction_[[#This Row],[Engine Size]]/10</f>
        <v>4.4000000000000004</v>
      </c>
      <c r="F1116">
        <v>44</v>
      </c>
      <c r="G1116" s="1" t="s">
        <v>29</v>
      </c>
      <c r="H1116" s="1" t="s">
        <v>12</v>
      </c>
      <c r="I1116" s="12">
        <f>car_price_prediction_[[#This Row],[Mileage]]/1000</f>
        <v>18.780999999999999</v>
      </c>
      <c r="J1116" s="5">
        <v>18781</v>
      </c>
      <c r="K1116" s="1" t="s">
        <v>25</v>
      </c>
      <c r="L1116" s="5">
        <f>car_price_prediction_[[#This Row],[Price]]/100</f>
        <v>75919.94</v>
      </c>
      <c r="M1116">
        <v>7591994</v>
      </c>
      <c r="N1116" s="1" t="s">
        <v>33</v>
      </c>
      <c r="O1116" s="1">
        <f>IF(IFERROR(VLOOKUP(car_price_prediction_[[#This Row],[Car ID]],A1117:A3616,1,FALSE),0),1,0)</f>
        <v>0</v>
      </c>
    </row>
    <row r="1117" spans="1:15" x14ac:dyDescent="0.25">
      <c r="A1117">
        <v>1116</v>
      </c>
      <c r="B1117" s="1" t="s">
        <v>19</v>
      </c>
      <c r="C1117" s="1">
        <f>car_price_prediction_[[#This Row],[Year2]]</f>
        <v>2002</v>
      </c>
      <c r="D1117">
        <v>2002</v>
      </c>
      <c r="E1117">
        <f>car_price_prediction_[[#This Row],[Engine Size]]/10</f>
        <v>2.6</v>
      </c>
      <c r="F1117">
        <v>26</v>
      </c>
      <c r="G1117" s="1" t="s">
        <v>16</v>
      </c>
      <c r="H1117" s="1" t="s">
        <v>22</v>
      </c>
      <c r="I1117" s="12">
        <f>car_price_prediction_[[#This Row],[Mileage]]/1000</f>
        <v>237.67699999999999</v>
      </c>
      <c r="J1117" s="5">
        <v>237677</v>
      </c>
      <c r="K1117" s="1" t="s">
        <v>25</v>
      </c>
      <c r="L1117" s="5">
        <f>car_price_prediction_[[#This Row],[Price]]/100</f>
        <v>5819.61</v>
      </c>
      <c r="M1117">
        <v>581961</v>
      </c>
      <c r="N1117" s="1" t="s">
        <v>38</v>
      </c>
      <c r="O1117" s="1">
        <f>IF(IFERROR(VLOOKUP(car_price_prediction_[[#This Row],[Car ID]],A1118:A3617,1,FALSE),0),1,0)</f>
        <v>0</v>
      </c>
    </row>
    <row r="1118" spans="1:15" x14ac:dyDescent="0.25">
      <c r="A1118">
        <v>1117</v>
      </c>
      <c r="B1118" s="1" t="s">
        <v>15</v>
      </c>
      <c r="C1118" s="1">
        <f>car_price_prediction_[[#This Row],[Year2]]</f>
        <v>2019</v>
      </c>
      <c r="D1118">
        <v>2019</v>
      </c>
      <c r="E1118">
        <f>car_price_prediction_[[#This Row],[Engine Size]]/10</f>
        <v>1.7</v>
      </c>
      <c r="F1118">
        <v>17</v>
      </c>
      <c r="G1118" s="1" t="s">
        <v>29</v>
      </c>
      <c r="H1118" s="1" t="s">
        <v>12</v>
      </c>
      <c r="I1118" s="12">
        <f>car_price_prediction_[[#This Row],[Mileage]]/1000</f>
        <v>257.50599999999997</v>
      </c>
      <c r="J1118" s="5">
        <v>257506</v>
      </c>
      <c r="K1118" s="1" t="s">
        <v>25</v>
      </c>
      <c r="L1118" s="5">
        <f>car_price_prediction_[[#This Row],[Price]]/100</f>
        <v>64982.02</v>
      </c>
      <c r="M1118">
        <v>6498202</v>
      </c>
      <c r="N1118" s="1" t="s">
        <v>39</v>
      </c>
      <c r="O1118" s="1">
        <f>IF(IFERROR(VLOOKUP(car_price_prediction_[[#This Row],[Car ID]],A1119:A3618,1,FALSE),0),1,0)</f>
        <v>0</v>
      </c>
    </row>
    <row r="1119" spans="1:15" x14ac:dyDescent="0.25">
      <c r="A1119">
        <v>1118</v>
      </c>
      <c r="B1119" s="1" t="s">
        <v>30</v>
      </c>
      <c r="C1119" s="1">
        <f>car_price_prediction_[[#This Row],[Year2]]</f>
        <v>2001</v>
      </c>
      <c r="D1119">
        <v>2001</v>
      </c>
      <c r="E1119">
        <f>car_price_prediction_[[#This Row],[Engine Size]]/10</f>
        <v>4.2</v>
      </c>
      <c r="F1119">
        <v>42</v>
      </c>
      <c r="G1119" s="1" t="s">
        <v>21</v>
      </c>
      <c r="H1119" s="1" t="s">
        <v>22</v>
      </c>
      <c r="I1119" s="12">
        <f>car_price_prediction_[[#This Row],[Mileage]]/1000</f>
        <v>31.126000000000001</v>
      </c>
      <c r="J1119" s="5">
        <v>31126</v>
      </c>
      <c r="K1119" s="1" t="s">
        <v>17</v>
      </c>
      <c r="L1119" s="5">
        <f>car_price_prediction_[[#This Row],[Price]]/100</f>
        <v>2799.94</v>
      </c>
      <c r="M1119">
        <v>279994</v>
      </c>
      <c r="N1119" s="1" t="s">
        <v>42</v>
      </c>
      <c r="O1119" s="1">
        <f>IF(IFERROR(VLOOKUP(car_price_prediction_[[#This Row],[Car ID]],A1120:A3619,1,FALSE),0),1,0)</f>
        <v>0</v>
      </c>
    </row>
    <row r="1120" spans="1:15" x14ac:dyDescent="0.25">
      <c r="A1120">
        <v>1119</v>
      </c>
      <c r="B1120" s="1" t="s">
        <v>10</v>
      </c>
      <c r="C1120" s="1">
        <f>car_price_prediction_[[#This Row],[Year2]]</f>
        <v>2008</v>
      </c>
      <c r="D1120">
        <v>2008</v>
      </c>
      <c r="E1120">
        <f>car_price_prediction_[[#This Row],[Engine Size]]/10</f>
        <v>1.6</v>
      </c>
      <c r="F1120">
        <v>16</v>
      </c>
      <c r="G1120" s="1" t="s">
        <v>16</v>
      </c>
      <c r="H1120" s="1" t="s">
        <v>22</v>
      </c>
      <c r="I1120" s="12">
        <f>car_price_prediction_[[#This Row],[Mileage]]/1000</f>
        <v>238.21700000000001</v>
      </c>
      <c r="J1120" s="5">
        <v>238217</v>
      </c>
      <c r="K1120" s="1" t="s">
        <v>13</v>
      </c>
      <c r="L1120" s="5">
        <f>car_price_prediction_[[#This Row],[Price]]/100</f>
        <v>46094.559999999998</v>
      </c>
      <c r="M1120">
        <v>4609456</v>
      </c>
      <c r="N1120" s="1" t="s">
        <v>14</v>
      </c>
      <c r="O1120" s="1">
        <f>IF(IFERROR(VLOOKUP(car_price_prediction_[[#This Row],[Car ID]],A1121:A3620,1,FALSE),0),1,0)</f>
        <v>0</v>
      </c>
    </row>
    <row r="1121" spans="1:15" x14ac:dyDescent="0.25">
      <c r="A1121">
        <v>1120</v>
      </c>
      <c r="B1121" s="1" t="s">
        <v>43</v>
      </c>
      <c r="C1121" s="1">
        <f>car_price_prediction_[[#This Row],[Year2]]</f>
        <v>2018</v>
      </c>
      <c r="D1121">
        <v>2018</v>
      </c>
      <c r="E1121">
        <f>car_price_prediction_[[#This Row],[Engine Size]]/10</f>
        <v>3.9</v>
      </c>
      <c r="F1121">
        <v>39</v>
      </c>
      <c r="G1121" s="1" t="s">
        <v>16</v>
      </c>
      <c r="H1121" s="1" t="s">
        <v>12</v>
      </c>
      <c r="I1121" s="12">
        <f>car_price_prediction_[[#This Row],[Mileage]]/1000</f>
        <v>280.02699999999999</v>
      </c>
      <c r="J1121" s="5">
        <v>280027</v>
      </c>
      <c r="K1121" s="1" t="s">
        <v>13</v>
      </c>
      <c r="L1121" s="5">
        <f>car_price_prediction_[[#This Row],[Price]]/100</f>
        <v>29259.73</v>
      </c>
      <c r="M1121">
        <v>2925973</v>
      </c>
      <c r="N1121" s="1" t="s">
        <v>44</v>
      </c>
      <c r="O1121" s="1">
        <f>IF(IFERROR(VLOOKUP(car_price_prediction_[[#This Row],[Car ID]],A1122:A3621,1,FALSE),0),1,0)</f>
        <v>0</v>
      </c>
    </row>
    <row r="1122" spans="1:15" x14ac:dyDescent="0.25">
      <c r="A1122">
        <v>1121</v>
      </c>
      <c r="B1122" s="1" t="s">
        <v>43</v>
      </c>
      <c r="C1122" s="1">
        <f>car_price_prediction_[[#This Row],[Year2]]</f>
        <v>2014</v>
      </c>
      <c r="D1122">
        <v>2014</v>
      </c>
      <c r="E1122">
        <f>car_price_prediction_[[#This Row],[Engine Size]]/10</f>
        <v>4.5</v>
      </c>
      <c r="F1122">
        <v>45</v>
      </c>
      <c r="G1122" s="1" t="s">
        <v>29</v>
      </c>
      <c r="H1122" s="1" t="s">
        <v>12</v>
      </c>
      <c r="I1122" s="12">
        <f>car_price_prediction_[[#This Row],[Mileage]]/1000</f>
        <v>29.782</v>
      </c>
      <c r="J1122" s="5">
        <v>29782</v>
      </c>
      <c r="K1122" s="1" t="s">
        <v>13</v>
      </c>
      <c r="L1122" s="5">
        <f>car_price_prediction_[[#This Row],[Price]]/100</f>
        <v>89019.71</v>
      </c>
      <c r="M1122">
        <v>8901971</v>
      </c>
      <c r="N1122" s="1" t="s">
        <v>44</v>
      </c>
      <c r="O1122" s="1">
        <f>IF(IFERROR(VLOOKUP(car_price_prediction_[[#This Row],[Car ID]],A1123:A3622,1,FALSE),0),1,0)</f>
        <v>0</v>
      </c>
    </row>
    <row r="1123" spans="1:15" x14ac:dyDescent="0.25">
      <c r="A1123">
        <v>1122</v>
      </c>
      <c r="B1123" s="1" t="s">
        <v>10</v>
      </c>
      <c r="C1123" s="1">
        <f>car_price_prediction_[[#This Row],[Year2]]</f>
        <v>2017</v>
      </c>
      <c r="D1123">
        <v>2017</v>
      </c>
      <c r="E1123">
        <f>car_price_prediction_[[#This Row],[Engine Size]]/10</f>
        <v>4.5</v>
      </c>
      <c r="F1123">
        <v>45</v>
      </c>
      <c r="G1123" s="1" t="s">
        <v>16</v>
      </c>
      <c r="H1123" s="1" t="s">
        <v>12</v>
      </c>
      <c r="I1123" s="12">
        <f>car_price_prediction_[[#This Row],[Mileage]]/1000</f>
        <v>148.05099999999999</v>
      </c>
      <c r="J1123" s="5">
        <v>148051</v>
      </c>
      <c r="K1123" s="1" t="s">
        <v>17</v>
      </c>
      <c r="L1123" s="5">
        <f>car_price_prediction_[[#This Row],[Price]]/100</f>
        <v>15692.68</v>
      </c>
      <c r="M1123">
        <v>1569268</v>
      </c>
      <c r="N1123" s="1" t="s">
        <v>14</v>
      </c>
      <c r="O1123" s="1">
        <f>IF(IFERROR(VLOOKUP(car_price_prediction_[[#This Row],[Car ID]],A1124:A3623,1,FALSE),0),1,0)</f>
        <v>0</v>
      </c>
    </row>
    <row r="1124" spans="1:15" x14ac:dyDescent="0.25">
      <c r="A1124">
        <v>1123</v>
      </c>
      <c r="B1124" s="1" t="s">
        <v>36</v>
      </c>
      <c r="C1124" s="1">
        <f>car_price_prediction_[[#This Row],[Year2]]</f>
        <v>2010</v>
      </c>
      <c r="D1124">
        <v>2010</v>
      </c>
      <c r="E1124">
        <f>car_price_prediction_[[#This Row],[Engine Size]]/10</f>
        <v>4.8</v>
      </c>
      <c r="F1124">
        <v>48</v>
      </c>
      <c r="G1124" s="1" t="s">
        <v>16</v>
      </c>
      <c r="H1124" s="1" t="s">
        <v>12</v>
      </c>
      <c r="I1124" s="12">
        <f>car_price_prediction_[[#This Row],[Mileage]]/1000</f>
        <v>295.89</v>
      </c>
      <c r="J1124" s="5">
        <v>295890</v>
      </c>
      <c r="K1124" s="1" t="s">
        <v>13</v>
      </c>
      <c r="L1124" s="5">
        <f>car_price_prediction_[[#This Row],[Price]]/100</f>
        <v>69575.350000000006</v>
      </c>
      <c r="M1124">
        <v>6957535</v>
      </c>
      <c r="N1124" s="1" t="s">
        <v>41</v>
      </c>
      <c r="O1124" s="1">
        <f>IF(IFERROR(VLOOKUP(car_price_prediction_[[#This Row],[Car ID]],A1125:A3624,1,FALSE),0),1,0)</f>
        <v>0</v>
      </c>
    </row>
    <row r="1125" spans="1:15" x14ac:dyDescent="0.25">
      <c r="A1125">
        <v>1124</v>
      </c>
      <c r="B1125" s="1" t="s">
        <v>30</v>
      </c>
      <c r="C1125" s="1">
        <f>car_price_prediction_[[#This Row],[Year2]]</f>
        <v>2022</v>
      </c>
      <c r="D1125">
        <v>2022</v>
      </c>
      <c r="E1125">
        <f>car_price_prediction_[[#This Row],[Engine Size]]/10</f>
        <v>5.4</v>
      </c>
      <c r="F1125">
        <v>54</v>
      </c>
      <c r="G1125" s="1" t="s">
        <v>16</v>
      </c>
      <c r="H1125" s="1" t="s">
        <v>12</v>
      </c>
      <c r="I1125" s="12">
        <f>car_price_prediction_[[#This Row],[Mileage]]/1000</f>
        <v>261.161</v>
      </c>
      <c r="J1125" s="5">
        <v>261161</v>
      </c>
      <c r="K1125" s="1" t="s">
        <v>25</v>
      </c>
      <c r="L1125" s="5">
        <f>car_price_prediction_[[#This Row],[Price]]/100</f>
        <v>2972.69</v>
      </c>
      <c r="M1125">
        <v>297269</v>
      </c>
      <c r="N1125" s="1" t="s">
        <v>31</v>
      </c>
      <c r="O1125" s="1">
        <f>IF(IFERROR(VLOOKUP(car_price_prediction_[[#This Row],[Car ID]],A1126:A3625,1,FALSE),0),1,0)</f>
        <v>0</v>
      </c>
    </row>
    <row r="1126" spans="1:15" x14ac:dyDescent="0.25">
      <c r="A1126">
        <v>1125</v>
      </c>
      <c r="B1126" s="1" t="s">
        <v>36</v>
      </c>
      <c r="C1126" s="1">
        <f>car_price_prediction_[[#This Row],[Year2]]</f>
        <v>2015</v>
      </c>
      <c r="D1126">
        <v>2015</v>
      </c>
      <c r="E1126">
        <f>car_price_prediction_[[#This Row],[Engine Size]]/10</f>
        <v>3.5</v>
      </c>
      <c r="F1126">
        <v>35</v>
      </c>
      <c r="G1126" s="1" t="s">
        <v>11</v>
      </c>
      <c r="H1126" s="1" t="s">
        <v>12</v>
      </c>
      <c r="I1126" s="12">
        <f>car_price_prediction_[[#This Row],[Mileage]]/1000</f>
        <v>66.266000000000005</v>
      </c>
      <c r="J1126" s="5">
        <v>66266</v>
      </c>
      <c r="K1126" s="1" t="s">
        <v>25</v>
      </c>
      <c r="L1126" s="5">
        <f>car_price_prediction_[[#This Row],[Price]]/100</f>
        <v>50179.85</v>
      </c>
      <c r="M1126">
        <v>5017985</v>
      </c>
      <c r="N1126" s="1" t="s">
        <v>37</v>
      </c>
      <c r="O1126" s="1">
        <f>IF(IFERROR(VLOOKUP(car_price_prediction_[[#This Row],[Car ID]],A1127:A3626,1,FALSE),0),1,0)</f>
        <v>0</v>
      </c>
    </row>
    <row r="1127" spans="1:15" x14ac:dyDescent="0.25">
      <c r="A1127">
        <v>1126</v>
      </c>
      <c r="B1127" s="1" t="s">
        <v>15</v>
      </c>
      <c r="C1127" s="1">
        <f>car_price_prediction_[[#This Row],[Year2]]</f>
        <v>2021</v>
      </c>
      <c r="D1127">
        <v>2021</v>
      </c>
      <c r="E1127">
        <f>car_price_prediction_[[#This Row],[Engine Size]]/10</f>
        <v>4.7</v>
      </c>
      <c r="F1127">
        <v>47</v>
      </c>
      <c r="G1127" s="1" t="s">
        <v>11</v>
      </c>
      <c r="H1127" s="1" t="s">
        <v>22</v>
      </c>
      <c r="I1127" s="12">
        <f>car_price_prediction_[[#This Row],[Mileage]]/1000</f>
        <v>5.6000000000000001E-2</v>
      </c>
      <c r="J1127" s="5">
        <v>56</v>
      </c>
      <c r="K1127" s="1" t="s">
        <v>13</v>
      </c>
      <c r="L1127" s="5">
        <f>car_price_prediction_[[#This Row],[Price]]/100</f>
        <v>33444.21</v>
      </c>
      <c r="M1127">
        <v>3344421</v>
      </c>
      <c r="N1127" s="1" t="s">
        <v>35</v>
      </c>
      <c r="O1127" s="1">
        <f>IF(IFERROR(VLOOKUP(car_price_prediction_[[#This Row],[Car ID]],A1128:A3627,1,FALSE),0),1,0)</f>
        <v>0</v>
      </c>
    </row>
    <row r="1128" spans="1:15" x14ac:dyDescent="0.25">
      <c r="A1128">
        <v>1127</v>
      </c>
      <c r="B1128" s="1" t="s">
        <v>43</v>
      </c>
      <c r="C1128" s="1">
        <f>car_price_prediction_[[#This Row],[Year2]]</f>
        <v>2016</v>
      </c>
      <c r="D1128">
        <v>2016</v>
      </c>
      <c r="E1128">
        <f>car_price_prediction_[[#This Row],[Engine Size]]/10</f>
        <v>4.0999999999999996</v>
      </c>
      <c r="F1128">
        <v>41</v>
      </c>
      <c r="G1128" s="1" t="s">
        <v>16</v>
      </c>
      <c r="H1128" s="1" t="s">
        <v>22</v>
      </c>
      <c r="I1128" s="12">
        <f>car_price_prediction_[[#This Row],[Mileage]]/1000</f>
        <v>293.601</v>
      </c>
      <c r="J1128" s="5">
        <v>293601</v>
      </c>
      <c r="K1128" s="1" t="s">
        <v>25</v>
      </c>
      <c r="L1128" s="5">
        <f>car_price_prediction_[[#This Row],[Price]]/100</f>
        <v>35708.31</v>
      </c>
      <c r="M1128">
        <v>3570831</v>
      </c>
      <c r="N1128" s="1" t="s">
        <v>50</v>
      </c>
      <c r="O1128" s="1">
        <f>IF(IFERROR(VLOOKUP(car_price_prediction_[[#This Row],[Car ID]],A1129:A3628,1,FALSE),0),1,0)</f>
        <v>0</v>
      </c>
    </row>
    <row r="1129" spans="1:15" x14ac:dyDescent="0.25">
      <c r="A1129">
        <v>1128</v>
      </c>
      <c r="B1129" s="1" t="s">
        <v>43</v>
      </c>
      <c r="C1129" s="1">
        <f>car_price_prediction_[[#This Row],[Year2]]</f>
        <v>2004</v>
      </c>
      <c r="D1129">
        <v>2004</v>
      </c>
      <c r="E1129">
        <f>car_price_prediction_[[#This Row],[Engine Size]]/10</f>
        <v>1.9</v>
      </c>
      <c r="F1129">
        <v>19</v>
      </c>
      <c r="G1129" s="1" t="s">
        <v>11</v>
      </c>
      <c r="H1129" s="1" t="s">
        <v>22</v>
      </c>
      <c r="I1129" s="12">
        <f>car_price_prediction_[[#This Row],[Mileage]]/1000</f>
        <v>132.773</v>
      </c>
      <c r="J1129" s="5">
        <v>132773</v>
      </c>
      <c r="K1129" s="1" t="s">
        <v>13</v>
      </c>
      <c r="L1129" s="5">
        <f>car_price_prediction_[[#This Row],[Price]]/100</f>
        <v>29737.34</v>
      </c>
      <c r="M1129">
        <v>2973734</v>
      </c>
      <c r="N1129" s="1" t="s">
        <v>50</v>
      </c>
      <c r="O1129" s="1">
        <f>IF(IFERROR(VLOOKUP(car_price_prediction_[[#This Row],[Car ID]],A1130:A3629,1,FALSE),0),1,0)</f>
        <v>0</v>
      </c>
    </row>
    <row r="1130" spans="1:15" x14ac:dyDescent="0.25">
      <c r="A1130">
        <v>1129</v>
      </c>
      <c r="B1130" s="1" t="s">
        <v>19</v>
      </c>
      <c r="C1130" s="1">
        <f>car_price_prediction_[[#This Row],[Year2]]</f>
        <v>2011</v>
      </c>
      <c r="D1130">
        <v>2011</v>
      </c>
      <c r="E1130">
        <f>car_price_prediction_[[#This Row],[Engine Size]]/10</f>
        <v>1.1000000000000001</v>
      </c>
      <c r="F1130">
        <v>11</v>
      </c>
      <c r="G1130" s="1" t="s">
        <v>21</v>
      </c>
      <c r="H1130" s="1" t="s">
        <v>22</v>
      </c>
      <c r="I1130" s="12">
        <f>car_price_prediction_[[#This Row],[Mileage]]/1000</f>
        <v>187.453</v>
      </c>
      <c r="J1130" s="5">
        <v>187453</v>
      </c>
      <c r="K1130" s="1" t="s">
        <v>13</v>
      </c>
      <c r="L1130" s="5">
        <f>car_price_prediction_[[#This Row],[Price]]/100</f>
        <v>76515.33</v>
      </c>
      <c r="M1130">
        <v>7651533</v>
      </c>
      <c r="N1130" s="1" t="s">
        <v>38</v>
      </c>
      <c r="O1130" s="1">
        <f>IF(IFERROR(VLOOKUP(car_price_prediction_[[#This Row],[Car ID]],A1131:A3630,1,FALSE),0),1,0)</f>
        <v>0</v>
      </c>
    </row>
    <row r="1131" spans="1:15" x14ac:dyDescent="0.25">
      <c r="A1131">
        <v>1130</v>
      </c>
      <c r="B1131" s="1" t="s">
        <v>15</v>
      </c>
      <c r="C1131" s="1">
        <f>car_price_prediction_[[#This Row],[Year2]]</f>
        <v>2010</v>
      </c>
      <c r="D1131">
        <v>2010</v>
      </c>
      <c r="E1131">
        <f>car_price_prediction_[[#This Row],[Engine Size]]/10</f>
        <v>2.4</v>
      </c>
      <c r="F1131">
        <v>24</v>
      </c>
      <c r="G1131" s="1" t="s">
        <v>16</v>
      </c>
      <c r="H1131" s="1" t="s">
        <v>12</v>
      </c>
      <c r="I1131" s="12">
        <f>car_price_prediction_[[#This Row],[Mileage]]/1000</f>
        <v>181.51</v>
      </c>
      <c r="J1131" s="5">
        <v>181510</v>
      </c>
      <c r="K1131" s="1" t="s">
        <v>25</v>
      </c>
      <c r="L1131" s="5">
        <f>car_price_prediction_[[#This Row],[Price]]/100</f>
        <v>39743.01</v>
      </c>
      <c r="M1131">
        <v>3974301</v>
      </c>
      <c r="N1131" s="1" t="s">
        <v>35</v>
      </c>
      <c r="O1131" s="1">
        <f>IF(IFERROR(VLOOKUP(car_price_prediction_[[#This Row],[Car ID]],A1132:A3631,1,FALSE),0),1,0)</f>
        <v>0</v>
      </c>
    </row>
    <row r="1132" spans="1:15" x14ac:dyDescent="0.25">
      <c r="A1132">
        <v>1131</v>
      </c>
      <c r="B1132" s="1" t="s">
        <v>43</v>
      </c>
      <c r="C1132" s="1">
        <f>car_price_prediction_[[#This Row],[Year2]]</f>
        <v>2014</v>
      </c>
      <c r="D1132">
        <v>2014</v>
      </c>
      <c r="E1132">
        <f>car_price_prediction_[[#This Row],[Engine Size]]/10</f>
        <v>3.2</v>
      </c>
      <c r="F1132">
        <v>32</v>
      </c>
      <c r="G1132" s="1" t="s">
        <v>21</v>
      </c>
      <c r="H1132" s="1" t="s">
        <v>12</v>
      </c>
      <c r="I1132" s="12">
        <f>car_price_prediction_[[#This Row],[Mileage]]/1000</f>
        <v>80.635999999999996</v>
      </c>
      <c r="J1132" s="5">
        <v>80636</v>
      </c>
      <c r="K1132" s="1" t="s">
        <v>25</v>
      </c>
      <c r="L1132" s="5">
        <f>car_price_prediction_[[#This Row],[Price]]/100</f>
        <v>74003.92</v>
      </c>
      <c r="M1132">
        <v>7400392</v>
      </c>
      <c r="N1132" s="1" t="s">
        <v>52</v>
      </c>
      <c r="O1132" s="1">
        <f>IF(IFERROR(VLOOKUP(car_price_prediction_[[#This Row],[Car ID]],A1133:A3632,1,FALSE),0),1,0)</f>
        <v>0</v>
      </c>
    </row>
    <row r="1133" spans="1:15" x14ac:dyDescent="0.25">
      <c r="A1133">
        <v>1132</v>
      </c>
      <c r="B1133" s="1" t="s">
        <v>15</v>
      </c>
      <c r="C1133" s="1">
        <f>car_price_prediction_[[#This Row],[Year2]]</f>
        <v>2002</v>
      </c>
      <c r="D1133">
        <v>2002</v>
      </c>
      <c r="E1133">
        <f>car_price_prediction_[[#This Row],[Engine Size]]/10</f>
        <v>4.0999999999999996</v>
      </c>
      <c r="F1133">
        <v>41</v>
      </c>
      <c r="G1133" s="1" t="s">
        <v>29</v>
      </c>
      <c r="H1133" s="1" t="s">
        <v>22</v>
      </c>
      <c r="I1133" s="12">
        <f>car_price_prediction_[[#This Row],[Mileage]]/1000</f>
        <v>66.483000000000004</v>
      </c>
      <c r="J1133" s="5">
        <v>66483</v>
      </c>
      <c r="K1133" s="1" t="s">
        <v>25</v>
      </c>
      <c r="L1133" s="5">
        <f>car_price_prediction_[[#This Row],[Price]]/100</f>
        <v>48326.64</v>
      </c>
      <c r="M1133">
        <v>4832664</v>
      </c>
      <c r="N1133" s="1" t="s">
        <v>18</v>
      </c>
      <c r="O1133" s="1">
        <f>IF(IFERROR(VLOOKUP(car_price_prediction_[[#This Row],[Car ID]],A1134:A3633,1,FALSE),0),1,0)</f>
        <v>0</v>
      </c>
    </row>
    <row r="1134" spans="1:15" x14ac:dyDescent="0.25">
      <c r="A1134">
        <v>1133</v>
      </c>
      <c r="B1134" s="1" t="s">
        <v>30</v>
      </c>
      <c r="C1134" s="1">
        <f>car_price_prediction_[[#This Row],[Year2]]</f>
        <v>2000</v>
      </c>
      <c r="D1134">
        <v>2000</v>
      </c>
      <c r="E1134">
        <f>car_price_prediction_[[#This Row],[Engine Size]]/10</f>
        <v>5.2</v>
      </c>
      <c r="F1134">
        <v>52</v>
      </c>
      <c r="G1134" s="1" t="s">
        <v>21</v>
      </c>
      <c r="H1134" s="1" t="s">
        <v>22</v>
      </c>
      <c r="I1134" s="12">
        <f>car_price_prediction_[[#This Row],[Mileage]]/1000</f>
        <v>20.504999999999999</v>
      </c>
      <c r="J1134" s="5">
        <v>20505</v>
      </c>
      <c r="K1134" s="1" t="s">
        <v>25</v>
      </c>
      <c r="L1134" s="5">
        <f>car_price_prediction_[[#This Row],[Price]]/100</f>
        <v>56988.37</v>
      </c>
      <c r="M1134">
        <v>5698837</v>
      </c>
      <c r="N1134" s="1" t="s">
        <v>45</v>
      </c>
      <c r="O1134" s="1">
        <f>IF(IFERROR(VLOOKUP(car_price_prediction_[[#This Row],[Car ID]],A1135:A3634,1,FALSE),0),1,0)</f>
        <v>0</v>
      </c>
    </row>
    <row r="1135" spans="1:15" x14ac:dyDescent="0.25">
      <c r="A1135">
        <v>1134</v>
      </c>
      <c r="B1135" s="1" t="s">
        <v>24</v>
      </c>
      <c r="C1135" s="1">
        <f>car_price_prediction_[[#This Row],[Year2]]</f>
        <v>2019</v>
      </c>
      <c r="D1135">
        <v>2019</v>
      </c>
      <c r="E1135">
        <f>car_price_prediction_[[#This Row],[Engine Size]]/10</f>
        <v>2</v>
      </c>
      <c r="F1135">
        <v>20</v>
      </c>
      <c r="G1135" s="1" t="s">
        <v>29</v>
      </c>
      <c r="H1135" s="1" t="s">
        <v>22</v>
      </c>
      <c r="I1135" s="12">
        <f>car_price_prediction_[[#This Row],[Mileage]]/1000</f>
        <v>33.524999999999999</v>
      </c>
      <c r="J1135" s="5">
        <v>33525</v>
      </c>
      <c r="K1135" s="1" t="s">
        <v>13</v>
      </c>
      <c r="L1135" s="5">
        <f>car_price_prediction_[[#This Row],[Price]]/100</f>
        <v>56612.31</v>
      </c>
      <c r="M1135">
        <v>5661231</v>
      </c>
      <c r="N1135" s="1" t="s">
        <v>53</v>
      </c>
      <c r="O1135" s="1">
        <f>IF(IFERROR(VLOOKUP(car_price_prediction_[[#This Row],[Car ID]],A1136:A3635,1,FALSE),0),1,0)</f>
        <v>0</v>
      </c>
    </row>
    <row r="1136" spans="1:15" x14ac:dyDescent="0.25">
      <c r="A1136">
        <v>1135</v>
      </c>
      <c r="B1136" s="1" t="s">
        <v>43</v>
      </c>
      <c r="C1136" s="1">
        <f>car_price_prediction_[[#This Row],[Year2]]</f>
        <v>2015</v>
      </c>
      <c r="D1136">
        <v>2015</v>
      </c>
      <c r="E1136">
        <f>car_price_prediction_[[#This Row],[Engine Size]]/10</f>
        <v>1.6</v>
      </c>
      <c r="F1136">
        <v>16</v>
      </c>
      <c r="G1136" s="1" t="s">
        <v>16</v>
      </c>
      <c r="H1136" s="1" t="s">
        <v>12</v>
      </c>
      <c r="I1136" s="12">
        <f>car_price_prediction_[[#This Row],[Mileage]]/1000</f>
        <v>211.47399999999999</v>
      </c>
      <c r="J1136" s="5">
        <v>211474</v>
      </c>
      <c r="K1136" s="1" t="s">
        <v>25</v>
      </c>
      <c r="L1136" s="5">
        <f>car_price_prediction_[[#This Row],[Price]]/100</f>
        <v>97705.95</v>
      </c>
      <c r="M1136">
        <v>9770595</v>
      </c>
      <c r="N1136" s="1" t="s">
        <v>52</v>
      </c>
      <c r="O1136" s="1">
        <f>IF(IFERROR(VLOOKUP(car_price_prediction_[[#This Row],[Car ID]],A1137:A3636,1,FALSE),0),1,0)</f>
        <v>0</v>
      </c>
    </row>
    <row r="1137" spans="1:15" x14ac:dyDescent="0.25">
      <c r="A1137">
        <v>1136</v>
      </c>
      <c r="B1137" s="1" t="s">
        <v>19</v>
      </c>
      <c r="C1137" s="1">
        <f>car_price_prediction_[[#This Row],[Year2]]</f>
        <v>2001</v>
      </c>
      <c r="D1137">
        <v>2001</v>
      </c>
      <c r="E1137">
        <f>car_price_prediction_[[#This Row],[Engine Size]]/10</f>
        <v>5.8</v>
      </c>
      <c r="F1137">
        <v>58</v>
      </c>
      <c r="G1137" s="1" t="s">
        <v>29</v>
      </c>
      <c r="H1137" s="1" t="s">
        <v>12</v>
      </c>
      <c r="I1137" s="12">
        <f>car_price_prediction_[[#This Row],[Mileage]]/1000</f>
        <v>96.007999999999996</v>
      </c>
      <c r="J1137" s="5">
        <v>96008</v>
      </c>
      <c r="K1137" s="1" t="s">
        <v>25</v>
      </c>
      <c r="L1137" s="5">
        <f>car_price_prediction_[[#This Row],[Price]]/100</f>
        <v>39870.93</v>
      </c>
      <c r="M1137">
        <v>3987093</v>
      </c>
      <c r="N1137" s="1" t="s">
        <v>20</v>
      </c>
      <c r="O1137" s="1">
        <f>IF(IFERROR(VLOOKUP(car_price_prediction_[[#This Row],[Car ID]],A1138:A3637,1,FALSE),0),1,0)</f>
        <v>0</v>
      </c>
    </row>
    <row r="1138" spans="1:15" x14ac:dyDescent="0.25">
      <c r="A1138">
        <v>1137</v>
      </c>
      <c r="B1138" s="1" t="s">
        <v>30</v>
      </c>
      <c r="C1138" s="1">
        <f>car_price_prediction_[[#This Row],[Year2]]</f>
        <v>2001</v>
      </c>
      <c r="D1138">
        <v>2001</v>
      </c>
      <c r="E1138">
        <f>car_price_prediction_[[#This Row],[Engine Size]]/10</f>
        <v>1.5</v>
      </c>
      <c r="F1138">
        <v>15</v>
      </c>
      <c r="G1138" s="1" t="s">
        <v>29</v>
      </c>
      <c r="H1138" s="1" t="s">
        <v>12</v>
      </c>
      <c r="I1138" s="12">
        <f>car_price_prediction_[[#This Row],[Mileage]]/1000</f>
        <v>44.347999999999999</v>
      </c>
      <c r="J1138" s="5">
        <v>44348</v>
      </c>
      <c r="K1138" s="1" t="s">
        <v>17</v>
      </c>
      <c r="L1138" s="5">
        <f>car_price_prediction_[[#This Row],[Price]]/100</f>
        <v>24729.99</v>
      </c>
      <c r="M1138">
        <v>2472999</v>
      </c>
      <c r="N1138" s="1" t="s">
        <v>45</v>
      </c>
      <c r="O1138" s="1">
        <f>IF(IFERROR(VLOOKUP(car_price_prediction_[[#This Row],[Car ID]],A1139:A3638,1,FALSE),0),1,0)</f>
        <v>0</v>
      </c>
    </row>
    <row r="1139" spans="1:15" x14ac:dyDescent="0.25">
      <c r="A1139">
        <v>1138</v>
      </c>
      <c r="B1139" s="1" t="s">
        <v>10</v>
      </c>
      <c r="C1139" s="1">
        <f>car_price_prediction_[[#This Row],[Year2]]</f>
        <v>2002</v>
      </c>
      <c r="D1139">
        <v>2002</v>
      </c>
      <c r="E1139">
        <f>car_price_prediction_[[#This Row],[Engine Size]]/10</f>
        <v>3.4</v>
      </c>
      <c r="F1139">
        <v>34</v>
      </c>
      <c r="G1139" s="1" t="s">
        <v>21</v>
      </c>
      <c r="H1139" s="1" t="s">
        <v>22</v>
      </c>
      <c r="I1139" s="12">
        <f>car_price_prediction_[[#This Row],[Mileage]]/1000</f>
        <v>202.25899999999999</v>
      </c>
      <c r="J1139" s="5">
        <v>202259</v>
      </c>
      <c r="K1139" s="1" t="s">
        <v>25</v>
      </c>
      <c r="L1139" s="5">
        <f>car_price_prediction_[[#This Row],[Price]]/100</f>
        <v>91620.23</v>
      </c>
      <c r="M1139">
        <v>9162023</v>
      </c>
      <c r="N1139" s="1" t="s">
        <v>33</v>
      </c>
      <c r="O1139" s="1">
        <f>IF(IFERROR(VLOOKUP(car_price_prediction_[[#This Row],[Car ID]],A1140:A3639,1,FALSE),0),1,0)</f>
        <v>0</v>
      </c>
    </row>
    <row r="1140" spans="1:15" x14ac:dyDescent="0.25">
      <c r="A1140">
        <v>1139</v>
      </c>
      <c r="B1140" s="1" t="s">
        <v>15</v>
      </c>
      <c r="C1140" s="1">
        <f>car_price_prediction_[[#This Row],[Year2]]</f>
        <v>2007</v>
      </c>
      <c r="D1140">
        <v>2007</v>
      </c>
      <c r="E1140">
        <f>car_price_prediction_[[#This Row],[Engine Size]]/10</f>
        <v>3.9</v>
      </c>
      <c r="F1140">
        <v>39</v>
      </c>
      <c r="G1140" s="1" t="s">
        <v>21</v>
      </c>
      <c r="H1140" s="1" t="s">
        <v>22</v>
      </c>
      <c r="I1140" s="12">
        <f>car_price_prediction_[[#This Row],[Mileage]]/1000</f>
        <v>269.41699999999997</v>
      </c>
      <c r="J1140" s="5">
        <v>269417</v>
      </c>
      <c r="K1140" s="1" t="s">
        <v>25</v>
      </c>
      <c r="L1140" s="5">
        <f>car_price_prediction_[[#This Row],[Price]]/100</f>
        <v>21609.73</v>
      </c>
      <c r="M1140">
        <v>2160973</v>
      </c>
      <c r="N1140" s="1" t="s">
        <v>18</v>
      </c>
      <c r="O1140" s="1">
        <f>IF(IFERROR(VLOOKUP(car_price_prediction_[[#This Row],[Car ID]],A1141:A3640,1,FALSE),0),1,0)</f>
        <v>0</v>
      </c>
    </row>
    <row r="1141" spans="1:15" x14ac:dyDescent="0.25">
      <c r="A1141">
        <v>1140</v>
      </c>
      <c r="B1141" s="1" t="s">
        <v>10</v>
      </c>
      <c r="C1141" s="1">
        <f>car_price_prediction_[[#This Row],[Year2]]</f>
        <v>2023</v>
      </c>
      <c r="D1141">
        <v>2023</v>
      </c>
      <c r="E1141">
        <f>car_price_prediction_[[#This Row],[Engine Size]]/10</f>
        <v>3.7</v>
      </c>
      <c r="F1141">
        <v>37</v>
      </c>
      <c r="G1141" s="1" t="s">
        <v>21</v>
      </c>
      <c r="H1141" s="1" t="s">
        <v>12</v>
      </c>
      <c r="I1141" s="12">
        <f>car_price_prediction_[[#This Row],[Mileage]]/1000</f>
        <v>206.64099999999999</v>
      </c>
      <c r="J1141" s="5">
        <v>206641</v>
      </c>
      <c r="K1141" s="1" t="s">
        <v>13</v>
      </c>
      <c r="L1141" s="5">
        <f>car_price_prediction_[[#This Row],[Price]]/100</f>
        <v>84270.17</v>
      </c>
      <c r="M1141">
        <v>8427017</v>
      </c>
      <c r="N1141" s="1" t="s">
        <v>33</v>
      </c>
      <c r="O1141" s="1">
        <f>IF(IFERROR(VLOOKUP(car_price_prediction_[[#This Row],[Car ID]],A1142:A3641,1,FALSE),0),1,0)</f>
        <v>0</v>
      </c>
    </row>
    <row r="1142" spans="1:15" x14ac:dyDescent="0.25">
      <c r="A1142">
        <v>1141</v>
      </c>
      <c r="B1142" s="1" t="s">
        <v>36</v>
      </c>
      <c r="C1142" s="1">
        <f>car_price_prediction_[[#This Row],[Year2]]</f>
        <v>2014</v>
      </c>
      <c r="D1142">
        <v>2014</v>
      </c>
      <c r="E1142">
        <f>car_price_prediction_[[#This Row],[Engine Size]]/10</f>
        <v>1.4</v>
      </c>
      <c r="F1142">
        <v>14</v>
      </c>
      <c r="G1142" s="1" t="s">
        <v>16</v>
      </c>
      <c r="H1142" s="1" t="s">
        <v>12</v>
      </c>
      <c r="I1142" s="12">
        <f>car_price_prediction_[[#This Row],[Mileage]]/1000</f>
        <v>134.607</v>
      </c>
      <c r="J1142" s="5">
        <v>134607</v>
      </c>
      <c r="K1142" s="1" t="s">
        <v>13</v>
      </c>
      <c r="L1142" s="5">
        <f>car_price_prediction_[[#This Row],[Price]]/100</f>
        <v>19270.419999999998</v>
      </c>
      <c r="M1142">
        <v>1927042</v>
      </c>
      <c r="N1142" s="1" t="s">
        <v>40</v>
      </c>
      <c r="O1142" s="1">
        <f>IF(IFERROR(VLOOKUP(car_price_prediction_[[#This Row],[Car ID]],A1143:A3642,1,FALSE),0),1,0)</f>
        <v>0</v>
      </c>
    </row>
    <row r="1143" spans="1:15" x14ac:dyDescent="0.25">
      <c r="A1143">
        <v>1142</v>
      </c>
      <c r="B1143" s="1" t="s">
        <v>30</v>
      </c>
      <c r="C1143" s="1">
        <f>car_price_prediction_[[#This Row],[Year2]]</f>
        <v>2006</v>
      </c>
      <c r="D1143">
        <v>2006</v>
      </c>
      <c r="E1143">
        <f>car_price_prediction_[[#This Row],[Engine Size]]/10</f>
        <v>1.3</v>
      </c>
      <c r="F1143">
        <v>13</v>
      </c>
      <c r="G1143" s="1" t="s">
        <v>16</v>
      </c>
      <c r="H1143" s="1" t="s">
        <v>22</v>
      </c>
      <c r="I1143" s="12">
        <f>car_price_prediction_[[#This Row],[Mileage]]/1000</f>
        <v>214.096</v>
      </c>
      <c r="J1143" s="5">
        <v>214096</v>
      </c>
      <c r="K1143" s="1" t="s">
        <v>17</v>
      </c>
      <c r="L1143" s="5">
        <f>car_price_prediction_[[#This Row],[Price]]/100</f>
        <v>67578.81</v>
      </c>
      <c r="M1143">
        <v>6757881</v>
      </c>
      <c r="N1143" s="1" t="s">
        <v>45</v>
      </c>
      <c r="O1143" s="1">
        <f>IF(IFERROR(VLOOKUP(car_price_prediction_[[#This Row],[Car ID]],A1144:A3643,1,FALSE),0),1,0)</f>
        <v>0</v>
      </c>
    </row>
    <row r="1144" spans="1:15" x14ac:dyDescent="0.25">
      <c r="A1144">
        <v>1143</v>
      </c>
      <c r="B1144" s="1" t="s">
        <v>10</v>
      </c>
      <c r="C1144" s="1">
        <f>car_price_prediction_[[#This Row],[Year2]]</f>
        <v>2005</v>
      </c>
      <c r="D1144">
        <v>2005</v>
      </c>
      <c r="E1144">
        <f>car_price_prediction_[[#This Row],[Engine Size]]/10</f>
        <v>1.5</v>
      </c>
      <c r="F1144">
        <v>15</v>
      </c>
      <c r="G1144" s="1" t="s">
        <v>21</v>
      </c>
      <c r="H1144" s="1" t="s">
        <v>22</v>
      </c>
      <c r="I1144" s="12">
        <f>car_price_prediction_[[#This Row],[Mileage]]/1000</f>
        <v>107.157</v>
      </c>
      <c r="J1144" s="5">
        <v>107157</v>
      </c>
      <c r="K1144" s="1" t="s">
        <v>25</v>
      </c>
      <c r="L1144" s="5">
        <f>car_price_prediction_[[#This Row],[Price]]/100</f>
        <v>19301.38</v>
      </c>
      <c r="M1144">
        <v>1930138</v>
      </c>
      <c r="N1144" s="1" t="s">
        <v>33</v>
      </c>
      <c r="O1144" s="1">
        <f>IF(IFERROR(VLOOKUP(car_price_prediction_[[#This Row],[Car ID]],A1145:A3644,1,FALSE),0),1,0)</f>
        <v>0</v>
      </c>
    </row>
    <row r="1145" spans="1:15" x14ac:dyDescent="0.25">
      <c r="A1145">
        <v>1144</v>
      </c>
      <c r="B1145" s="1" t="s">
        <v>43</v>
      </c>
      <c r="C1145" s="1">
        <f>car_price_prediction_[[#This Row],[Year2]]</f>
        <v>2008</v>
      </c>
      <c r="D1145">
        <v>2008</v>
      </c>
      <c r="E1145">
        <f>car_price_prediction_[[#This Row],[Engine Size]]/10</f>
        <v>3.9</v>
      </c>
      <c r="F1145">
        <v>39</v>
      </c>
      <c r="G1145" s="1" t="s">
        <v>16</v>
      </c>
      <c r="H1145" s="1" t="s">
        <v>12</v>
      </c>
      <c r="I1145" s="12">
        <f>car_price_prediction_[[#This Row],[Mileage]]/1000</f>
        <v>0.90800000000000003</v>
      </c>
      <c r="J1145" s="5">
        <v>908</v>
      </c>
      <c r="K1145" s="1" t="s">
        <v>25</v>
      </c>
      <c r="L1145" s="5">
        <f>car_price_prediction_[[#This Row],[Price]]/100</f>
        <v>92693.15</v>
      </c>
      <c r="M1145">
        <v>9269315</v>
      </c>
      <c r="N1145" s="1" t="s">
        <v>50</v>
      </c>
      <c r="O1145" s="1">
        <f>IF(IFERROR(VLOOKUP(car_price_prediction_[[#This Row],[Car ID]],A1146:A3645,1,FALSE),0),1,0)</f>
        <v>0</v>
      </c>
    </row>
    <row r="1146" spans="1:15" x14ac:dyDescent="0.25">
      <c r="A1146">
        <v>1145</v>
      </c>
      <c r="B1146" s="1" t="s">
        <v>15</v>
      </c>
      <c r="C1146" s="1">
        <f>car_price_prediction_[[#This Row],[Year2]]</f>
        <v>2019</v>
      </c>
      <c r="D1146">
        <v>2019</v>
      </c>
      <c r="E1146">
        <f>car_price_prediction_[[#This Row],[Engine Size]]/10</f>
        <v>3.7</v>
      </c>
      <c r="F1146">
        <v>37</v>
      </c>
      <c r="G1146" s="1" t="s">
        <v>16</v>
      </c>
      <c r="H1146" s="1" t="s">
        <v>22</v>
      </c>
      <c r="I1146" s="12">
        <f>car_price_prediction_[[#This Row],[Mileage]]/1000</f>
        <v>252.29900000000001</v>
      </c>
      <c r="J1146" s="5">
        <v>252299</v>
      </c>
      <c r="K1146" s="1" t="s">
        <v>25</v>
      </c>
      <c r="L1146" s="5">
        <f>car_price_prediction_[[#This Row],[Price]]/100</f>
        <v>58675.79</v>
      </c>
      <c r="M1146">
        <v>5867579</v>
      </c>
      <c r="N1146" s="1" t="s">
        <v>39</v>
      </c>
      <c r="O1146" s="1">
        <f>IF(IFERROR(VLOOKUP(car_price_prediction_[[#This Row],[Car ID]],A1147:A3646,1,FALSE),0),1,0)</f>
        <v>0</v>
      </c>
    </row>
    <row r="1147" spans="1:15" x14ac:dyDescent="0.25">
      <c r="A1147">
        <v>1146</v>
      </c>
      <c r="B1147" s="1" t="s">
        <v>24</v>
      </c>
      <c r="C1147" s="1">
        <f>car_price_prediction_[[#This Row],[Year2]]</f>
        <v>2000</v>
      </c>
      <c r="D1147">
        <v>2000</v>
      </c>
      <c r="E1147">
        <f>car_price_prediction_[[#This Row],[Engine Size]]/10</f>
        <v>2.2000000000000002</v>
      </c>
      <c r="F1147">
        <v>22</v>
      </c>
      <c r="G1147" s="1" t="s">
        <v>29</v>
      </c>
      <c r="H1147" s="1" t="s">
        <v>12</v>
      </c>
      <c r="I1147" s="12">
        <f>car_price_prediction_[[#This Row],[Mileage]]/1000</f>
        <v>201.22499999999999</v>
      </c>
      <c r="J1147" s="5">
        <v>201225</v>
      </c>
      <c r="K1147" s="1" t="s">
        <v>25</v>
      </c>
      <c r="L1147" s="5">
        <f>car_price_prediction_[[#This Row],[Price]]/100</f>
        <v>36281.01</v>
      </c>
      <c r="M1147">
        <v>3628101</v>
      </c>
      <c r="N1147" s="1" t="s">
        <v>26</v>
      </c>
      <c r="O1147" s="1">
        <f>IF(IFERROR(VLOOKUP(car_price_prediction_[[#This Row],[Car ID]],A1148:A3647,1,FALSE),0),1,0)</f>
        <v>0</v>
      </c>
    </row>
    <row r="1148" spans="1:15" x14ac:dyDescent="0.25">
      <c r="A1148">
        <v>1147</v>
      </c>
      <c r="B1148" s="1" t="s">
        <v>30</v>
      </c>
      <c r="C1148" s="1">
        <f>car_price_prediction_[[#This Row],[Year2]]</f>
        <v>2007</v>
      </c>
      <c r="D1148">
        <v>2007</v>
      </c>
      <c r="E1148">
        <f>car_price_prediction_[[#This Row],[Engine Size]]/10</f>
        <v>4.2</v>
      </c>
      <c r="F1148">
        <v>42</v>
      </c>
      <c r="G1148" s="1" t="s">
        <v>29</v>
      </c>
      <c r="H1148" s="1" t="s">
        <v>12</v>
      </c>
      <c r="I1148" s="12">
        <f>car_price_prediction_[[#This Row],[Mileage]]/1000</f>
        <v>108.352</v>
      </c>
      <c r="J1148" s="5">
        <v>108352</v>
      </c>
      <c r="K1148" s="1" t="s">
        <v>25</v>
      </c>
      <c r="L1148" s="5">
        <f>car_price_prediction_[[#This Row],[Price]]/100</f>
        <v>18330.66</v>
      </c>
      <c r="M1148">
        <v>1833066</v>
      </c>
      <c r="N1148" s="1" t="s">
        <v>45</v>
      </c>
      <c r="O1148" s="1">
        <f>IF(IFERROR(VLOOKUP(car_price_prediction_[[#This Row],[Car ID]],A1149:A3648,1,FALSE),0),1,0)</f>
        <v>0</v>
      </c>
    </row>
    <row r="1149" spans="1:15" x14ac:dyDescent="0.25">
      <c r="A1149">
        <v>1148</v>
      </c>
      <c r="B1149" s="1" t="s">
        <v>43</v>
      </c>
      <c r="C1149" s="1">
        <f>car_price_prediction_[[#This Row],[Year2]]</f>
        <v>2022</v>
      </c>
      <c r="D1149">
        <v>2022</v>
      </c>
      <c r="E1149">
        <f>car_price_prediction_[[#This Row],[Engine Size]]/10</f>
        <v>5.0999999999999996</v>
      </c>
      <c r="F1149">
        <v>51</v>
      </c>
      <c r="G1149" s="1" t="s">
        <v>21</v>
      </c>
      <c r="H1149" s="1" t="s">
        <v>22</v>
      </c>
      <c r="I1149" s="12">
        <f>car_price_prediction_[[#This Row],[Mileage]]/1000</f>
        <v>95.966999999999999</v>
      </c>
      <c r="J1149" s="5">
        <v>95967</v>
      </c>
      <c r="K1149" s="1" t="s">
        <v>25</v>
      </c>
      <c r="L1149" s="5">
        <f>car_price_prediction_[[#This Row],[Price]]/100</f>
        <v>40263.26</v>
      </c>
      <c r="M1149">
        <v>4026326</v>
      </c>
      <c r="N1149" s="1" t="s">
        <v>44</v>
      </c>
      <c r="O1149" s="1">
        <f>IF(IFERROR(VLOOKUP(car_price_prediction_[[#This Row],[Car ID]],A1150:A3649,1,FALSE),0),1,0)</f>
        <v>0</v>
      </c>
    </row>
    <row r="1150" spans="1:15" x14ac:dyDescent="0.25">
      <c r="A1150">
        <v>1149</v>
      </c>
      <c r="B1150" s="1" t="s">
        <v>19</v>
      </c>
      <c r="C1150" s="1">
        <f>car_price_prediction_[[#This Row],[Year2]]</f>
        <v>2022</v>
      </c>
      <c r="D1150">
        <v>2022</v>
      </c>
      <c r="E1150">
        <f>car_price_prediction_[[#This Row],[Engine Size]]/10</f>
        <v>1.2</v>
      </c>
      <c r="F1150">
        <v>12</v>
      </c>
      <c r="G1150" s="1" t="s">
        <v>16</v>
      </c>
      <c r="H1150" s="1" t="s">
        <v>22</v>
      </c>
      <c r="I1150" s="12">
        <f>car_price_prediction_[[#This Row],[Mileage]]/1000</f>
        <v>35.079000000000001</v>
      </c>
      <c r="J1150" s="5">
        <v>35079</v>
      </c>
      <c r="K1150" s="1" t="s">
        <v>17</v>
      </c>
      <c r="L1150" s="5">
        <f>car_price_prediction_[[#This Row],[Price]]/100</f>
        <v>7197.69</v>
      </c>
      <c r="M1150">
        <v>719769</v>
      </c>
      <c r="N1150" s="1" t="s">
        <v>20</v>
      </c>
      <c r="O1150" s="1">
        <f>IF(IFERROR(VLOOKUP(car_price_prediction_[[#This Row],[Car ID]],A1151:A3650,1,FALSE),0),1,0)</f>
        <v>0</v>
      </c>
    </row>
    <row r="1151" spans="1:15" x14ac:dyDescent="0.25">
      <c r="A1151">
        <v>1150</v>
      </c>
      <c r="B1151" s="1" t="s">
        <v>36</v>
      </c>
      <c r="C1151" s="1">
        <f>car_price_prediction_[[#This Row],[Year2]]</f>
        <v>2002</v>
      </c>
      <c r="D1151">
        <v>2002</v>
      </c>
      <c r="E1151">
        <f>car_price_prediction_[[#This Row],[Engine Size]]/10</f>
        <v>3.5</v>
      </c>
      <c r="F1151">
        <v>35</v>
      </c>
      <c r="G1151" s="1" t="s">
        <v>29</v>
      </c>
      <c r="H1151" s="1" t="s">
        <v>22</v>
      </c>
      <c r="I1151" s="12">
        <f>car_price_prediction_[[#This Row],[Mileage]]/1000</f>
        <v>212.62799999999999</v>
      </c>
      <c r="J1151" s="5">
        <v>212628</v>
      </c>
      <c r="K1151" s="1" t="s">
        <v>25</v>
      </c>
      <c r="L1151" s="5">
        <f>car_price_prediction_[[#This Row],[Price]]/100</f>
        <v>41570.33</v>
      </c>
      <c r="M1151">
        <v>4157033</v>
      </c>
      <c r="N1151" s="1" t="s">
        <v>46</v>
      </c>
      <c r="O1151" s="1">
        <f>IF(IFERROR(VLOOKUP(car_price_prediction_[[#This Row],[Car ID]],A1152:A3651,1,FALSE),0),1,0)</f>
        <v>0</v>
      </c>
    </row>
    <row r="1152" spans="1:15" x14ac:dyDescent="0.25">
      <c r="A1152">
        <v>1151</v>
      </c>
      <c r="B1152" s="1" t="s">
        <v>15</v>
      </c>
      <c r="C1152" s="1">
        <f>car_price_prediction_[[#This Row],[Year2]]</f>
        <v>2003</v>
      </c>
      <c r="D1152">
        <v>2003</v>
      </c>
      <c r="E1152">
        <f>car_price_prediction_[[#This Row],[Engine Size]]/10</f>
        <v>4.4000000000000004</v>
      </c>
      <c r="F1152">
        <v>44</v>
      </c>
      <c r="G1152" s="1" t="s">
        <v>11</v>
      </c>
      <c r="H1152" s="1" t="s">
        <v>12</v>
      </c>
      <c r="I1152" s="12">
        <f>car_price_prediction_[[#This Row],[Mileage]]/1000</f>
        <v>111.889</v>
      </c>
      <c r="J1152" s="5">
        <v>111889</v>
      </c>
      <c r="K1152" s="1" t="s">
        <v>25</v>
      </c>
      <c r="L1152" s="5">
        <f>car_price_prediction_[[#This Row],[Price]]/100</f>
        <v>28378.94</v>
      </c>
      <c r="M1152">
        <v>2837894</v>
      </c>
      <c r="N1152" s="1" t="s">
        <v>39</v>
      </c>
      <c r="O1152" s="1">
        <f>IF(IFERROR(VLOOKUP(car_price_prediction_[[#This Row],[Car ID]],A1153:A3652,1,FALSE),0),1,0)</f>
        <v>0</v>
      </c>
    </row>
    <row r="1153" spans="1:15" x14ac:dyDescent="0.25">
      <c r="A1153">
        <v>1152</v>
      </c>
      <c r="B1153" s="1" t="s">
        <v>30</v>
      </c>
      <c r="C1153" s="1">
        <f>car_price_prediction_[[#This Row],[Year2]]</f>
        <v>2014</v>
      </c>
      <c r="D1153">
        <v>2014</v>
      </c>
      <c r="E1153">
        <f>car_price_prediction_[[#This Row],[Engine Size]]/10</f>
        <v>2.2999999999999998</v>
      </c>
      <c r="F1153">
        <v>23</v>
      </c>
      <c r="G1153" s="1" t="s">
        <v>16</v>
      </c>
      <c r="H1153" s="1" t="s">
        <v>22</v>
      </c>
      <c r="I1153" s="12">
        <f>car_price_prediction_[[#This Row],[Mileage]]/1000</f>
        <v>262.06299999999999</v>
      </c>
      <c r="J1153" s="5">
        <v>262063</v>
      </c>
      <c r="K1153" s="1" t="s">
        <v>25</v>
      </c>
      <c r="L1153" s="5">
        <f>car_price_prediction_[[#This Row],[Price]]/100</f>
        <v>5985.39</v>
      </c>
      <c r="M1153">
        <v>598539</v>
      </c>
      <c r="N1153" s="1" t="s">
        <v>42</v>
      </c>
      <c r="O1153" s="1">
        <f>IF(IFERROR(VLOOKUP(car_price_prediction_[[#This Row],[Car ID]],A1154:A3653,1,FALSE),0),1,0)</f>
        <v>0</v>
      </c>
    </row>
    <row r="1154" spans="1:15" x14ac:dyDescent="0.25">
      <c r="A1154">
        <v>1153</v>
      </c>
      <c r="B1154" s="1" t="s">
        <v>30</v>
      </c>
      <c r="C1154" s="1">
        <f>car_price_prediction_[[#This Row],[Year2]]</f>
        <v>2005</v>
      </c>
      <c r="D1154">
        <v>2005</v>
      </c>
      <c r="E1154">
        <f>car_price_prediction_[[#This Row],[Engine Size]]/10</f>
        <v>2.5</v>
      </c>
      <c r="F1154">
        <v>25</v>
      </c>
      <c r="G1154" s="1" t="s">
        <v>11</v>
      </c>
      <c r="H1154" s="1" t="s">
        <v>22</v>
      </c>
      <c r="I1154" s="12">
        <f>car_price_prediction_[[#This Row],[Mileage]]/1000</f>
        <v>46.104999999999997</v>
      </c>
      <c r="J1154" s="5">
        <v>46105</v>
      </c>
      <c r="K1154" s="1" t="s">
        <v>17</v>
      </c>
      <c r="L1154" s="5">
        <f>car_price_prediction_[[#This Row],[Price]]/100</f>
        <v>44693.08</v>
      </c>
      <c r="M1154">
        <v>4469308</v>
      </c>
      <c r="N1154" s="1" t="s">
        <v>48</v>
      </c>
      <c r="O1154" s="1">
        <f>IF(IFERROR(VLOOKUP(car_price_prediction_[[#This Row],[Car ID]],A1155:A3654,1,FALSE),0),1,0)</f>
        <v>0</v>
      </c>
    </row>
    <row r="1155" spans="1:15" x14ac:dyDescent="0.25">
      <c r="A1155">
        <v>1154</v>
      </c>
      <c r="B1155" s="1" t="s">
        <v>24</v>
      </c>
      <c r="C1155" s="1">
        <f>car_price_prediction_[[#This Row],[Year2]]</f>
        <v>2014</v>
      </c>
      <c r="D1155">
        <v>2014</v>
      </c>
      <c r="E1155">
        <f>car_price_prediction_[[#This Row],[Engine Size]]/10</f>
        <v>4.0999999999999996</v>
      </c>
      <c r="F1155">
        <v>41</v>
      </c>
      <c r="G1155" s="1" t="s">
        <v>21</v>
      </c>
      <c r="H1155" s="1" t="s">
        <v>12</v>
      </c>
      <c r="I1155" s="12">
        <f>car_price_prediction_[[#This Row],[Mileage]]/1000</f>
        <v>132.95699999999999</v>
      </c>
      <c r="J1155" s="5">
        <v>132957</v>
      </c>
      <c r="K1155" s="1" t="s">
        <v>25</v>
      </c>
      <c r="L1155" s="5">
        <f>car_price_prediction_[[#This Row],[Price]]/100</f>
        <v>20751.59</v>
      </c>
      <c r="M1155">
        <v>2075159</v>
      </c>
      <c r="N1155" s="1" t="s">
        <v>34</v>
      </c>
      <c r="O1155" s="1">
        <f>IF(IFERROR(VLOOKUP(car_price_prediction_[[#This Row],[Car ID]],A1156:A3655,1,FALSE),0),1,0)</f>
        <v>0</v>
      </c>
    </row>
    <row r="1156" spans="1:15" x14ac:dyDescent="0.25">
      <c r="A1156">
        <v>1155</v>
      </c>
      <c r="B1156" s="1" t="s">
        <v>24</v>
      </c>
      <c r="C1156" s="1">
        <f>car_price_prediction_[[#This Row],[Year2]]</f>
        <v>2020</v>
      </c>
      <c r="D1156">
        <v>2020</v>
      </c>
      <c r="E1156">
        <f>car_price_prediction_[[#This Row],[Engine Size]]/10</f>
        <v>5.5</v>
      </c>
      <c r="F1156">
        <v>55</v>
      </c>
      <c r="G1156" s="1" t="s">
        <v>16</v>
      </c>
      <c r="H1156" s="1" t="s">
        <v>12</v>
      </c>
      <c r="I1156" s="12">
        <f>car_price_prediction_[[#This Row],[Mileage]]/1000</f>
        <v>1.0489999999999999</v>
      </c>
      <c r="J1156" s="5">
        <v>1049</v>
      </c>
      <c r="K1156" s="1" t="s">
        <v>17</v>
      </c>
      <c r="L1156" s="5">
        <f>car_price_prediction_[[#This Row],[Price]]/100</f>
        <v>19628.86</v>
      </c>
      <c r="M1156">
        <v>1962886</v>
      </c>
      <c r="N1156" s="1" t="s">
        <v>26</v>
      </c>
      <c r="O1156" s="1">
        <f>IF(IFERROR(VLOOKUP(car_price_prediction_[[#This Row],[Car ID]],A1157:A3656,1,FALSE),0),1,0)</f>
        <v>0</v>
      </c>
    </row>
    <row r="1157" spans="1:15" x14ac:dyDescent="0.25">
      <c r="A1157">
        <v>1156</v>
      </c>
      <c r="B1157" s="1" t="s">
        <v>19</v>
      </c>
      <c r="C1157" s="1">
        <f>car_price_prediction_[[#This Row],[Year2]]</f>
        <v>2002</v>
      </c>
      <c r="D1157">
        <v>2002</v>
      </c>
      <c r="E1157">
        <f>car_price_prediction_[[#This Row],[Engine Size]]/10</f>
        <v>5</v>
      </c>
      <c r="F1157">
        <v>50</v>
      </c>
      <c r="G1157" s="1" t="s">
        <v>21</v>
      </c>
      <c r="H1157" s="1" t="s">
        <v>22</v>
      </c>
      <c r="I1157" s="12">
        <f>car_price_prediction_[[#This Row],[Mileage]]/1000</f>
        <v>53.280999999999999</v>
      </c>
      <c r="J1157" s="5">
        <v>53281</v>
      </c>
      <c r="K1157" s="1" t="s">
        <v>13</v>
      </c>
      <c r="L1157" s="5">
        <f>car_price_prediction_[[#This Row],[Price]]/100</f>
        <v>72208.89</v>
      </c>
      <c r="M1157">
        <v>7220889</v>
      </c>
      <c r="N1157" s="1" t="s">
        <v>27</v>
      </c>
      <c r="O1157" s="1">
        <f>IF(IFERROR(VLOOKUP(car_price_prediction_[[#This Row],[Car ID]],A1158:A3657,1,FALSE),0),1,0)</f>
        <v>0</v>
      </c>
    </row>
    <row r="1158" spans="1:15" x14ac:dyDescent="0.25">
      <c r="A1158">
        <v>1157</v>
      </c>
      <c r="B1158" s="1" t="s">
        <v>36</v>
      </c>
      <c r="C1158" s="1">
        <f>car_price_prediction_[[#This Row],[Year2]]</f>
        <v>2020</v>
      </c>
      <c r="D1158">
        <v>2020</v>
      </c>
      <c r="E1158">
        <f>car_price_prediction_[[#This Row],[Engine Size]]/10</f>
        <v>3.9</v>
      </c>
      <c r="F1158">
        <v>39</v>
      </c>
      <c r="G1158" s="1" t="s">
        <v>21</v>
      </c>
      <c r="H1158" s="1" t="s">
        <v>12</v>
      </c>
      <c r="I1158" s="12">
        <f>car_price_prediction_[[#This Row],[Mileage]]/1000</f>
        <v>66.697000000000003</v>
      </c>
      <c r="J1158" s="5">
        <v>66697</v>
      </c>
      <c r="K1158" s="1" t="s">
        <v>25</v>
      </c>
      <c r="L1158" s="5">
        <f>car_price_prediction_[[#This Row],[Price]]/100</f>
        <v>97593.83</v>
      </c>
      <c r="M1158">
        <v>9759383</v>
      </c>
      <c r="N1158" s="1" t="s">
        <v>40</v>
      </c>
      <c r="O1158" s="1">
        <f>IF(IFERROR(VLOOKUP(car_price_prediction_[[#This Row],[Car ID]],A1159:A3658,1,FALSE),0),1,0)</f>
        <v>0</v>
      </c>
    </row>
    <row r="1159" spans="1:15" x14ac:dyDescent="0.25">
      <c r="A1159">
        <v>1158</v>
      </c>
      <c r="B1159" s="1" t="s">
        <v>19</v>
      </c>
      <c r="C1159" s="1">
        <f>car_price_prediction_[[#This Row],[Year2]]</f>
        <v>2020</v>
      </c>
      <c r="D1159">
        <v>2020</v>
      </c>
      <c r="E1159">
        <f>car_price_prediction_[[#This Row],[Engine Size]]/10</f>
        <v>4.7</v>
      </c>
      <c r="F1159">
        <v>47</v>
      </c>
      <c r="G1159" s="1" t="s">
        <v>21</v>
      </c>
      <c r="H1159" s="1" t="s">
        <v>12</v>
      </c>
      <c r="I1159" s="12">
        <f>car_price_prediction_[[#This Row],[Mileage]]/1000</f>
        <v>36.533999999999999</v>
      </c>
      <c r="J1159" s="5">
        <v>36534</v>
      </c>
      <c r="K1159" s="1" t="s">
        <v>17</v>
      </c>
      <c r="L1159" s="5">
        <f>car_price_prediction_[[#This Row],[Price]]/100</f>
        <v>27143.94</v>
      </c>
      <c r="M1159">
        <v>2714394</v>
      </c>
      <c r="N1159" s="1" t="s">
        <v>27</v>
      </c>
      <c r="O1159" s="1">
        <f>IF(IFERROR(VLOOKUP(car_price_prediction_[[#This Row],[Car ID]],A1160:A3659,1,FALSE),0),1,0)</f>
        <v>0</v>
      </c>
    </row>
    <row r="1160" spans="1:15" x14ac:dyDescent="0.25">
      <c r="A1160">
        <v>1159</v>
      </c>
      <c r="B1160" s="1" t="s">
        <v>43</v>
      </c>
      <c r="C1160" s="1">
        <f>car_price_prediction_[[#This Row],[Year2]]</f>
        <v>2013</v>
      </c>
      <c r="D1160">
        <v>2013</v>
      </c>
      <c r="E1160">
        <f>car_price_prediction_[[#This Row],[Engine Size]]/10</f>
        <v>2.8</v>
      </c>
      <c r="F1160">
        <v>28</v>
      </c>
      <c r="G1160" s="1" t="s">
        <v>21</v>
      </c>
      <c r="H1160" s="1" t="s">
        <v>12</v>
      </c>
      <c r="I1160" s="12">
        <f>car_price_prediction_[[#This Row],[Mileage]]/1000</f>
        <v>93.034000000000006</v>
      </c>
      <c r="J1160" s="5">
        <v>93034</v>
      </c>
      <c r="K1160" s="1" t="s">
        <v>13</v>
      </c>
      <c r="L1160" s="5">
        <f>car_price_prediction_[[#This Row],[Price]]/100</f>
        <v>78449.119999999995</v>
      </c>
      <c r="M1160">
        <v>7844912</v>
      </c>
      <c r="N1160" s="1" t="s">
        <v>50</v>
      </c>
      <c r="O1160" s="1">
        <f>IF(IFERROR(VLOOKUP(car_price_prediction_[[#This Row],[Car ID]],A1161:A3660,1,FALSE),0),1,0)</f>
        <v>0</v>
      </c>
    </row>
    <row r="1161" spans="1:15" x14ac:dyDescent="0.25">
      <c r="A1161">
        <v>1160</v>
      </c>
      <c r="B1161" s="1" t="s">
        <v>43</v>
      </c>
      <c r="C1161" s="1">
        <f>car_price_prediction_[[#This Row],[Year2]]</f>
        <v>2019</v>
      </c>
      <c r="D1161">
        <v>2019</v>
      </c>
      <c r="E1161">
        <f>car_price_prediction_[[#This Row],[Engine Size]]/10</f>
        <v>4.2</v>
      </c>
      <c r="F1161">
        <v>42</v>
      </c>
      <c r="G1161" s="1" t="s">
        <v>21</v>
      </c>
      <c r="H1161" s="1" t="s">
        <v>22</v>
      </c>
      <c r="I1161" s="12">
        <f>car_price_prediction_[[#This Row],[Mileage]]/1000</f>
        <v>58.097000000000001</v>
      </c>
      <c r="J1161" s="5">
        <v>58097</v>
      </c>
      <c r="K1161" s="1" t="s">
        <v>17</v>
      </c>
      <c r="L1161" s="5">
        <f>car_price_prediction_[[#This Row],[Price]]/100</f>
        <v>13322.64</v>
      </c>
      <c r="M1161">
        <v>1332264</v>
      </c>
      <c r="N1161" s="1" t="s">
        <v>44</v>
      </c>
      <c r="O1161" s="1">
        <f>IF(IFERROR(VLOOKUP(car_price_prediction_[[#This Row],[Car ID]],A1162:A3661,1,FALSE),0),1,0)</f>
        <v>0</v>
      </c>
    </row>
    <row r="1162" spans="1:15" x14ac:dyDescent="0.25">
      <c r="A1162">
        <v>1161</v>
      </c>
      <c r="B1162" s="1" t="s">
        <v>19</v>
      </c>
      <c r="C1162" s="1">
        <f>car_price_prediction_[[#This Row],[Year2]]</f>
        <v>2013</v>
      </c>
      <c r="D1162">
        <v>2013</v>
      </c>
      <c r="E1162">
        <f>car_price_prediction_[[#This Row],[Engine Size]]/10</f>
        <v>3.3</v>
      </c>
      <c r="F1162">
        <v>33</v>
      </c>
      <c r="G1162" s="1" t="s">
        <v>16</v>
      </c>
      <c r="H1162" s="1" t="s">
        <v>22</v>
      </c>
      <c r="I1162" s="12">
        <f>car_price_prediction_[[#This Row],[Mileage]]/1000</f>
        <v>184.88499999999999</v>
      </c>
      <c r="J1162" s="5">
        <v>184885</v>
      </c>
      <c r="K1162" s="1" t="s">
        <v>17</v>
      </c>
      <c r="L1162" s="5">
        <f>car_price_prediction_[[#This Row],[Price]]/100</f>
        <v>41249.71</v>
      </c>
      <c r="M1162">
        <v>4124971</v>
      </c>
      <c r="N1162" s="1" t="s">
        <v>27</v>
      </c>
      <c r="O1162" s="1">
        <f>IF(IFERROR(VLOOKUP(car_price_prediction_[[#This Row],[Car ID]],A1163:A3662,1,FALSE),0),1,0)</f>
        <v>0</v>
      </c>
    </row>
    <row r="1163" spans="1:15" x14ac:dyDescent="0.25">
      <c r="A1163">
        <v>1162</v>
      </c>
      <c r="B1163" s="1" t="s">
        <v>36</v>
      </c>
      <c r="C1163" s="1">
        <f>car_price_prediction_[[#This Row],[Year2]]</f>
        <v>2003</v>
      </c>
      <c r="D1163">
        <v>2003</v>
      </c>
      <c r="E1163">
        <f>car_price_prediction_[[#This Row],[Engine Size]]/10</f>
        <v>1.9</v>
      </c>
      <c r="F1163">
        <v>19</v>
      </c>
      <c r="G1163" s="1" t="s">
        <v>11</v>
      </c>
      <c r="H1163" s="1" t="s">
        <v>12</v>
      </c>
      <c r="I1163" s="12">
        <f>car_price_prediction_[[#This Row],[Mileage]]/1000</f>
        <v>287.18099999999998</v>
      </c>
      <c r="J1163" s="5">
        <v>287181</v>
      </c>
      <c r="K1163" s="1" t="s">
        <v>13</v>
      </c>
      <c r="L1163" s="5">
        <f>car_price_prediction_[[#This Row],[Price]]/100</f>
        <v>53135.37</v>
      </c>
      <c r="M1163">
        <v>5313537</v>
      </c>
      <c r="N1163" s="1" t="s">
        <v>46</v>
      </c>
      <c r="O1163" s="1">
        <f>IF(IFERROR(VLOOKUP(car_price_prediction_[[#This Row],[Car ID]],A1164:A3663,1,FALSE),0),1,0)</f>
        <v>0</v>
      </c>
    </row>
    <row r="1164" spans="1:15" x14ac:dyDescent="0.25">
      <c r="A1164">
        <v>1163</v>
      </c>
      <c r="B1164" s="1" t="s">
        <v>19</v>
      </c>
      <c r="C1164" s="1">
        <f>car_price_prediction_[[#This Row],[Year2]]</f>
        <v>2011</v>
      </c>
      <c r="D1164">
        <v>2011</v>
      </c>
      <c r="E1164">
        <f>car_price_prediction_[[#This Row],[Engine Size]]/10</f>
        <v>4.5</v>
      </c>
      <c r="F1164">
        <v>45</v>
      </c>
      <c r="G1164" s="1" t="s">
        <v>16</v>
      </c>
      <c r="H1164" s="1" t="s">
        <v>12</v>
      </c>
      <c r="I1164" s="12">
        <f>car_price_prediction_[[#This Row],[Mileage]]/1000</f>
        <v>27.277999999999999</v>
      </c>
      <c r="J1164" s="5">
        <v>27278</v>
      </c>
      <c r="K1164" s="1" t="s">
        <v>25</v>
      </c>
      <c r="L1164" s="5">
        <f>car_price_prediction_[[#This Row],[Price]]/100</f>
        <v>30530.959999999999</v>
      </c>
      <c r="M1164">
        <v>3053096</v>
      </c>
      <c r="N1164" s="1" t="s">
        <v>27</v>
      </c>
      <c r="O1164" s="1">
        <f>IF(IFERROR(VLOOKUP(car_price_prediction_[[#This Row],[Car ID]],A1165:A3664,1,FALSE),0),1,0)</f>
        <v>0</v>
      </c>
    </row>
    <row r="1165" spans="1:15" x14ac:dyDescent="0.25">
      <c r="A1165">
        <v>1164</v>
      </c>
      <c r="B1165" s="1" t="s">
        <v>36</v>
      </c>
      <c r="C1165" s="1">
        <f>car_price_prediction_[[#This Row],[Year2]]</f>
        <v>2016</v>
      </c>
      <c r="D1165">
        <v>2016</v>
      </c>
      <c r="E1165">
        <f>car_price_prediction_[[#This Row],[Engine Size]]/10</f>
        <v>3.8</v>
      </c>
      <c r="F1165">
        <v>38</v>
      </c>
      <c r="G1165" s="1" t="s">
        <v>16</v>
      </c>
      <c r="H1165" s="1" t="s">
        <v>12</v>
      </c>
      <c r="I1165" s="12">
        <f>car_price_prediction_[[#This Row],[Mileage]]/1000</f>
        <v>139.34399999999999</v>
      </c>
      <c r="J1165" s="5">
        <v>139344</v>
      </c>
      <c r="K1165" s="1" t="s">
        <v>25</v>
      </c>
      <c r="L1165" s="5">
        <f>car_price_prediction_[[#This Row],[Price]]/100</f>
        <v>55309.95</v>
      </c>
      <c r="M1165">
        <v>5530995</v>
      </c>
      <c r="N1165" s="1" t="s">
        <v>40</v>
      </c>
      <c r="O1165" s="1">
        <f>IF(IFERROR(VLOOKUP(car_price_prediction_[[#This Row],[Car ID]],A1166:A3665,1,FALSE),0),1,0)</f>
        <v>0</v>
      </c>
    </row>
    <row r="1166" spans="1:15" x14ac:dyDescent="0.25">
      <c r="A1166">
        <v>1165</v>
      </c>
      <c r="B1166" s="1" t="s">
        <v>36</v>
      </c>
      <c r="C1166" s="1">
        <f>car_price_prediction_[[#This Row],[Year2]]</f>
        <v>2006</v>
      </c>
      <c r="D1166">
        <v>2006</v>
      </c>
      <c r="E1166">
        <f>car_price_prediction_[[#This Row],[Engine Size]]/10</f>
        <v>2.8</v>
      </c>
      <c r="F1166">
        <v>28</v>
      </c>
      <c r="G1166" s="1" t="s">
        <v>16</v>
      </c>
      <c r="H1166" s="1" t="s">
        <v>22</v>
      </c>
      <c r="I1166" s="12">
        <f>car_price_prediction_[[#This Row],[Mileage]]/1000</f>
        <v>73.277000000000001</v>
      </c>
      <c r="J1166" s="5">
        <v>73277</v>
      </c>
      <c r="K1166" s="1" t="s">
        <v>17</v>
      </c>
      <c r="L1166" s="5">
        <f>car_price_prediction_[[#This Row],[Price]]/100</f>
        <v>88848.37</v>
      </c>
      <c r="M1166">
        <v>8884837</v>
      </c>
      <c r="N1166" s="1" t="s">
        <v>40</v>
      </c>
      <c r="O1166" s="1">
        <f>IF(IFERROR(VLOOKUP(car_price_prediction_[[#This Row],[Car ID]],A1167:A3666,1,FALSE),0),1,0)</f>
        <v>0</v>
      </c>
    </row>
    <row r="1167" spans="1:15" x14ac:dyDescent="0.25">
      <c r="A1167">
        <v>1166</v>
      </c>
      <c r="B1167" s="1" t="s">
        <v>10</v>
      </c>
      <c r="C1167" s="1">
        <f>car_price_prediction_[[#This Row],[Year2]]</f>
        <v>2008</v>
      </c>
      <c r="D1167">
        <v>2008</v>
      </c>
      <c r="E1167">
        <f>car_price_prediction_[[#This Row],[Engine Size]]/10</f>
        <v>5.6</v>
      </c>
      <c r="F1167">
        <v>56</v>
      </c>
      <c r="G1167" s="1" t="s">
        <v>29</v>
      </c>
      <c r="H1167" s="1" t="s">
        <v>12</v>
      </c>
      <c r="I1167" s="12">
        <f>car_price_prediction_[[#This Row],[Mileage]]/1000</f>
        <v>4.694</v>
      </c>
      <c r="J1167" s="5">
        <v>4694</v>
      </c>
      <c r="K1167" s="1" t="s">
        <v>13</v>
      </c>
      <c r="L1167" s="5">
        <f>car_price_prediction_[[#This Row],[Price]]/100</f>
        <v>94721.61</v>
      </c>
      <c r="M1167">
        <v>9472161</v>
      </c>
      <c r="N1167" s="1" t="s">
        <v>33</v>
      </c>
      <c r="O1167" s="1">
        <f>IF(IFERROR(VLOOKUP(car_price_prediction_[[#This Row],[Car ID]],A1168:A3667,1,FALSE),0),1,0)</f>
        <v>0</v>
      </c>
    </row>
    <row r="1168" spans="1:15" x14ac:dyDescent="0.25">
      <c r="A1168">
        <v>1167</v>
      </c>
      <c r="B1168" s="1" t="s">
        <v>15</v>
      </c>
      <c r="C1168" s="1">
        <f>car_price_prediction_[[#This Row],[Year2]]</f>
        <v>2002</v>
      </c>
      <c r="D1168">
        <v>2002</v>
      </c>
      <c r="E1168">
        <f>car_price_prediction_[[#This Row],[Engine Size]]/10</f>
        <v>1.1000000000000001</v>
      </c>
      <c r="F1168">
        <v>11</v>
      </c>
      <c r="G1168" s="1" t="s">
        <v>29</v>
      </c>
      <c r="H1168" s="1" t="s">
        <v>12</v>
      </c>
      <c r="I1168" s="12">
        <f>car_price_prediction_[[#This Row],[Mileage]]/1000</f>
        <v>58.15</v>
      </c>
      <c r="J1168" s="5">
        <v>58150</v>
      </c>
      <c r="K1168" s="1" t="s">
        <v>25</v>
      </c>
      <c r="L1168" s="5">
        <f>car_price_prediction_[[#This Row],[Price]]/100</f>
        <v>14552.91</v>
      </c>
      <c r="M1168">
        <v>1455291</v>
      </c>
      <c r="N1168" s="1" t="s">
        <v>51</v>
      </c>
      <c r="O1168" s="1">
        <f>IF(IFERROR(VLOOKUP(car_price_prediction_[[#This Row],[Car ID]],A1169:A3668,1,FALSE),0),1,0)</f>
        <v>0</v>
      </c>
    </row>
    <row r="1169" spans="1:15" x14ac:dyDescent="0.25">
      <c r="A1169">
        <v>1168</v>
      </c>
      <c r="B1169" s="1" t="s">
        <v>36</v>
      </c>
      <c r="C1169" s="1">
        <f>car_price_prediction_[[#This Row],[Year2]]</f>
        <v>2012</v>
      </c>
      <c r="D1169">
        <v>2012</v>
      </c>
      <c r="E1169">
        <f>car_price_prediction_[[#This Row],[Engine Size]]/10</f>
        <v>2.6</v>
      </c>
      <c r="F1169">
        <v>26</v>
      </c>
      <c r="G1169" s="1" t="s">
        <v>16</v>
      </c>
      <c r="H1169" s="1" t="s">
        <v>22</v>
      </c>
      <c r="I1169" s="12">
        <f>car_price_prediction_[[#This Row],[Mileage]]/1000</f>
        <v>67.47</v>
      </c>
      <c r="J1169" s="5">
        <v>67470</v>
      </c>
      <c r="K1169" s="1" t="s">
        <v>17</v>
      </c>
      <c r="L1169" s="5">
        <f>car_price_prediction_[[#This Row],[Price]]/100</f>
        <v>30825.360000000001</v>
      </c>
      <c r="M1169">
        <v>3082536</v>
      </c>
      <c r="N1169" s="1" t="s">
        <v>37</v>
      </c>
      <c r="O1169" s="1">
        <f>IF(IFERROR(VLOOKUP(car_price_prediction_[[#This Row],[Car ID]],A1170:A3669,1,FALSE),0),1,0)</f>
        <v>0</v>
      </c>
    </row>
    <row r="1170" spans="1:15" x14ac:dyDescent="0.25">
      <c r="A1170">
        <v>1169</v>
      </c>
      <c r="B1170" s="1" t="s">
        <v>24</v>
      </c>
      <c r="C1170" s="1">
        <f>car_price_prediction_[[#This Row],[Year2]]</f>
        <v>2014</v>
      </c>
      <c r="D1170">
        <v>2014</v>
      </c>
      <c r="E1170">
        <f>car_price_prediction_[[#This Row],[Engine Size]]/10</f>
        <v>1.3</v>
      </c>
      <c r="F1170">
        <v>13</v>
      </c>
      <c r="G1170" s="1" t="s">
        <v>11</v>
      </c>
      <c r="H1170" s="1" t="s">
        <v>12</v>
      </c>
      <c r="I1170" s="12">
        <f>car_price_prediction_[[#This Row],[Mileage]]/1000</f>
        <v>21.556000000000001</v>
      </c>
      <c r="J1170" s="5">
        <v>21556</v>
      </c>
      <c r="K1170" s="1" t="s">
        <v>13</v>
      </c>
      <c r="L1170" s="5">
        <f>car_price_prediction_[[#This Row],[Price]]/100</f>
        <v>98017.72</v>
      </c>
      <c r="M1170">
        <v>9801772</v>
      </c>
      <c r="N1170" s="1" t="s">
        <v>32</v>
      </c>
      <c r="O1170" s="1">
        <f>IF(IFERROR(VLOOKUP(car_price_prediction_[[#This Row],[Car ID]],A1171:A3670,1,FALSE),0),1,0)</f>
        <v>0</v>
      </c>
    </row>
    <row r="1171" spans="1:15" x14ac:dyDescent="0.25">
      <c r="A1171">
        <v>1170</v>
      </c>
      <c r="B1171" s="1" t="s">
        <v>36</v>
      </c>
      <c r="C1171" s="1">
        <f>car_price_prediction_[[#This Row],[Year2]]</f>
        <v>2017</v>
      </c>
      <c r="D1171">
        <v>2017</v>
      </c>
      <c r="E1171">
        <f>car_price_prediction_[[#This Row],[Engine Size]]/10</f>
        <v>4.8</v>
      </c>
      <c r="F1171">
        <v>48</v>
      </c>
      <c r="G1171" s="1" t="s">
        <v>16</v>
      </c>
      <c r="H1171" s="1" t="s">
        <v>22</v>
      </c>
      <c r="I1171" s="12">
        <f>car_price_prediction_[[#This Row],[Mileage]]/1000</f>
        <v>195.54300000000001</v>
      </c>
      <c r="J1171" s="5">
        <v>195543</v>
      </c>
      <c r="K1171" s="1" t="s">
        <v>17</v>
      </c>
      <c r="L1171" s="5">
        <f>car_price_prediction_[[#This Row],[Price]]/100</f>
        <v>30689.75</v>
      </c>
      <c r="M1171">
        <v>3068975</v>
      </c>
      <c r="N1171" s="1" t="s">
        <v>46</v>
      </c>
      <c r="O1171" s="1">
        <f>IF(IFERROR(VLOOKUP(car_price_prediction_[[#This Row],[Car ID]],A1172:A3671,1,FALSE),0),1,0)</f>
        <v>0</v>
      </c>
    </row>
    <row r="1172" spans="1:15" x14ac:dyDescent="0.25">
      <c r="A1172">
        <v>1171</v>
      </c>
      <c r="B1172" s="1" t="s">
        <v>36</v>
      </c>
      <c r="C1172" s="1">
        <f>car_price_prediction_[[#This Row],[Year2]]</f>
        <v>2018</v>
      </c>
      <c r="D1172">
        <v>2018</v>
      </c>
      <c r="E1172">
        <f>car_price_prediction_[[#This Row],[Engine Size]]/10</f>
        <v>4.5</v>
      </c>
      <c r="F1172">
        <v>45</v>
      </c>
      <c r="G1172" s="1" t="s">
        <v>21</v>
      </c>
      <c r="H1172" s="1" t="s">
        <v>22</v>
      </c>
      <c r="I1172" s="12">
        <f>car_price_prediction_[[#This Row],[Mileage]]/1000</f>
        <v>49.085999999999999</v>
      </c>
      <c r="J1172" s="5">
        <v>49086</v>
      </c>
      <c r="K1172" s="1" t="s">
        <v>13</v>
      </c>
      <c r="L1172" s="5">
        <f>car_price_prediction_[[#This Row],[Price]]/100</f>
        <v>7080.72</v>
      </c>
      <c r="M1172">
        <v>708072</v>
      </c>
      <c r="N1172" s="1" t="s">
        <v>40</v>
      </c>
      <c r="O1172" s="1">
        <f>IF(IFERROR(VLOOKUP(car_price_prediction_[[#This Row],[Car ID]],A1173:A3672,1,FALSE),0),1,0)</f>
        <v>0</v>
      </c>
    </row>
    <row r="1173" spans="1:15" x14ac:dyDescent="0.25">
      <c r="A1173">
        <v>1172</v>
      </c>
      <c r="B1173" s="1" t="s">
        <v>36</v>
      </c>
      <c r="C1173" s="1">
        <f>car_price_prediction_[[#This Row],[Year2]]</f>
        <v>2000</v>
      </c>
      <c r="D1173">
        <v>2000</v>
      </c>
      <c r="E1173">
        <f>car_price_prediction_[[#This Row],[Engine Size]]/10</f>
        <v>2.7</v>
      </c>
      <c r="F1173">
        <v>27</v>
      </c>
      <c r="G1173" s="1" t="s">
        <v>29</v>
      </c>
      <c r="H1173" s="1" t="s">
        <v>22</v>
      </c>
      <c r="I1173" s="12">
        <f>car_price_prediction_[[#This Row],[Mileage]]/1000</f>
        <v>149.97900000000001</v>
      </c>
      <c r="J1173" s="5">
        <v>149979</v>
      </c>
      <c r="K1173" s="1" t="s">
        <v>25</v>
      </c>
      <c r="L1173" s="5">
        <f>car_price_prediction_[[#This Row],[Price]]/100</f>
        <v>2907.81</v>
      </c>
      <c r="M1173">
        <v>290781</v>
      </c>
      <c r="N1173" s="1" t="s">
        <v>41</v>
      </c>
      <c r="O1173" s="1">
        <f>IF(IFERROR(VLOOKUP(car_price_prediction_[[#This Row],[Car ID]],A1174:A3673,1,FALSE),0),1,0)</f>
        <v>0</v>
      </c>
    </row>
    <row r="1174" spans="1:15" x14ac:dyDescent="0.25">
      <c r="A1174">
        <v>1173</v>
      </c>
      <c r="B1174" s="1" t="s">
        <v>10</v>
      </c>
      <c r="C1174" s="1">
        <f>car_price_prediction_[[#This Row],[Year2]]</f>
        <v>2005</v>
      </c>
      <c r="D1174">
        <v>2005</v>
      </c>
      <c r="E1174">
        <f>car_price_prediction_[[#This Row],[Engine Size]]/10</f>
        <v>4.4000000000000004</v>
      </c>
      <c r="F1174">
        <v>44</v>
      </c>
      <c r="G1174" s="1" t="s">
        <v>29</v>
      </c>
      <c r="H1174" s="1" t="s">
        <v>12</v>
      </c>
      <c r="I1174" s="12">
        <f>car_price_prediction_[[#This Row],[Mileage]]/1000</f>
        <v>248.399</v>
      </c>
      <c r="J1174" s="5">
        <v>248399</v>
      </c>
      <c r="K1174" s="1" t="s">
        <v>25</v>
      </c>
      <c r="L1174" s="5">
        <f>car_price_prediction_[[#This Row],[Price]]/100</f>
        <v>38854.730000000003</v>
      </c>
      <c r="M1174">
        <v>3885473</v>
      </c>
      <c r="N1174" s="1" t="s">
        <v>33</v>
      </c>
      <c r="O1174" s="1">
        <f>IF(IFERROR(VLOOKUP(car_price_prediction_[[#This Row],[Car ID]],A1175:A3674,1,FALSE),0),1,0)</f>
        <v>0</v>
      </c>
    </row>
    <row r="1175" spans="1:15" x14ac:dyDescent="0.25">
      <c r="A1175">
        <v>1174</v>
      </c>
      <c r="B1175" s="1" t="s">
        <v>10</v>
      </c>
      <c r="C1175" s="1">
        <f>car_price_prediction_[[#This Row],[Year2]]</f>
        <v>2022</v>
      </c>
      <c r="D1175">
        <v>2022</v>
      </c>
      <c r="E1175">
        <f>car_price_prediction_[[#This Row],[Engine Size]]/10</f>
        <v>3</v>
      </c>
      <c r="F1175">
        <v>30</v>
      </c>
      <c r="G1175" s="1" t="s">
        <v>16</v>
      </c>
      <c r="H1175" s="1" t="s">
        <v>12</v>
      </c>
      <c r="I1175" s="12">
        <f>car_price_prediction_[[#This Row],[Mileage]]/1000</f>
        <v>179.559</v>
      </c>
      <c r="J1175" s="5">
        <v>179559</v>
      </c>
      <c r="K1175" s="1" t="s">
        <v>17</v>
      </c>
      <c r="L1175" s="5">
        <f>car_price_prediction_[[#This Row],[Price]]/100</f>
        <v>2317.15</v>
      </c>
      <c r="M1175">
        <v>231715</v>
      </c>
      <c r="N1175" s="1" t="s">
        <v>49</v>
      </c>
      <c r="O1175" s="1">
        <f>IF(IFERROR(VLOOKUP(car_price_prediction_[[#This Row],[Car ID]],A1176:A3675,1,FALSE),0),1,0)</f>
        <v>0</v>
      </c>
    </row>
    <row r="1176" spans="1:15" x14ac:dyDescent="0.25">
      <c r="A1176">
        <v>1175</v>
      </c>
      <c r="B1176" s="1" t="s">
        <v>43</v>
      </c>
      <c r="C1176" s="1">
        <f>car_price_prediction_[[#This Row],[Year2]]</f>
        <v>2001</v>
      </c>
      <c r="D1176">
        <v>2001</v>
      </c>
      <c r="E1176">
        <f>car_price_prediction_[[#This Row],[Engine Size]]/10</f>
        <v>4.8</v>
      </c>
      <c r="F1176">
        <v>48</v>
      </c>
      <c r="G1176" s="1" t="s">
        <v>16</v>
      </c>
      <c r="H1176" s="1" t="s">
        <v>22</v>
      </c>
      <c r="I1176" s="12">
        <f>car_price_prediction_[[#This Row],[Mileage]]/1000</f>
        <v>99.468000000000004</v>
      </c>
      <c r="J1176" s="5">
        <v>99468</v>
      </c>
      <c r="K1176" s="1" t="s">
        <v>25</v>
      </c>
      <c r="L1176" s="5">
        <f>car_price_prediction_[[#This Row],[Price]]/100</f>
        <v>86348.52</v>
      </c>
      <c r="M1176">
        <v>8634852</v>
      </c>
      <c r="N1176" s="1" t="s">
        <v>44</v>
      </c>
      <c r="O1176" s="1">
        <f>IF(IFERROR(VLOOKUP(car_price_prediction_[[#This Row],[Car ID]],A1177:A3676,1,FALSE),0),1,0)</f>
        <v>0</v>
      </c>
    </row>
    <row r="1177" spans="1:15" x14ac:dyDescent="0.25">
      <c r="A1177">
        <v>1176</v>
      </c>
      <c r="B1177" s="1" t="s">
        <v>10</v>
      </c>
      <c r="C1177" s="1">
        <f>car_price_prediction_[[#This Row],[Year2]]</f>
        <v>2023</v>
      </c>
      <c r="D1177">
        <v>2023</v>
      </c>
      <c r="E1177">
        <f>car_price_prediction_[[#This Row],[Engine Size]]/10</f>
        <v>3.3</v>
      </c>
      <c r="F1177">
        <v>33</v>
      </c>
      <c r="G1177" s="1" t="s">
        <v>11</v>
      </c>
      <c r="H1177" s="1" t="s">
        <v>12</v>
      </c>
      <c r="I1177" s="12">
        <f>car_price_prediction_[[#This Row],[Mileage]]/1000</f>
        <v>295.53100000000001</v>
      </c>
      <c r="J1177" s="5">
        <v>295531</v>
      </c>
      <c r="K1177" s="1" t="s">
        <v>25</v>
      </c>
      <c r="L1177" s="5">
        <f>car_price_prediction_[[#This Row],[Price]]/100</f>
        <v>88851.63</v>
      </c>
      <c r="M1177">
        <v>8885163</v>
      </c>
      <c r="N1177" s="1" t="s">
        <v>14</v>
      </c>
      <c r="O1177" s="1">
        <f>IF(IFERROR(VLOOKUP(car_price_prediction_[[#This Row],[Car ID]],A1178:A3677,1,FALSE),0),1,0)</f>
        <v>0</v>
      </c>
    </row>
    <row r="1178" spans="1:15" x14ac:dyDescent="0.25">
      <c r="A1178">
        <v>1177</v>
      </c>
      <c r="B1178" s="1" t="s">
        <v>24</v>
      </c>
      <c r="C1178" s="1">
        <f>car_price_prediction_[[#This Row],[Year2]]</f>
        <v>2013</v>
      </c>
      <c r="D1178">
        <v>2013</v>
      </c>
      <c r="E1178">
        <f>car_price_prediction_[[#This Row],[Engine Size]]/10</f>
        <v>3.1</v>
      </c>
      <c r="F1178">
        <v>31</v>
      </c>
      <c r="G1178" s="1" t="s">
        <v>11</v>
      </c>
      <c r="H1178" s="1" t="s">
        <v>22</v>
      </c>
      <c r="I1178" s="12">
        <f>car_price_prediction_[[#This Row],[Mileage]]/1000</f>
        <v>68.602000000000004</v>
      </c>
      <c r="J1178" s="5">
        <v>68602</v>
      </c>
      <c r="K1178" s="1" t="s">
        <v>13</v>
      </c>
      <c r="L1178" s="5">
        <f>car_price_prediction_[[#This Row],[Price]]/100</f>
        <v>33206.69</v>
      </c>
      <c r="M1178">
        <v>3320669</v>
      </c>
      <c r="N1178" s="1" t="s">
        <v>53</v>
      </c>
      <c r="O1178" s="1">
        <f>IF(IFERROR(VLOOKUP(car_price_prediction_[[#This Row],[Car ID]],A1179:A3678,1,FALSE),0),1,0)</f>
        <v>0</v>
      </c>
    </row>
    <row r="1179" spans="1:15" x14ac:dyDescent="0.25">
      <c r="A1179">
        <v>1178</v>
      </c>
      <c r="B1179" s="1" t="s">
        <v>24</v>
      </c>
      <c r="C1179" s="1">
        <f>car_price_prediction_[[#This Row],[Year2]]</f>
        <v>2005</v>
      </c>
      <c r="D1179">
        <v>2005</v>
      </c>
      <c r="E1179">
        <f>car_price_prediction_[[#This Row],[Engine Size]]/10</f>
        <v>5.7</v>
      </c>
      <c r="F1179">
        <v>57</v>
      </c>
      <c r="G1179" s="1" t="s">
        <v>21</v>
      </c>
      <c r="H1179" s="1" t="s">
        <v>12</v>
      </c>
      <c r="I1179" s="12">
        <f>car_price_prediction_[[#This Row],[Mileage]]/1000</f>
        <v>2.46</v>
      </c>
      <c r="J1179" s="5">
        <v>2460</v>
      </c>
      <c r="K1179" s="1" t="s">
        <v>25</v>
      </c>
      <c r="L1179" s="5">
        <f>car_price_prediction_[[#This Row],[Price]]/100</f>
        <v>83241.03</v>
      </c>
      <c r="M1179">
        <v>8324103</v>
      </c>
      <c r="N1179" s="1" t="s">
        <v>26</v>
      </c>
      <c r="O1179" s="1">
        <f>IF(IFERROR(VLOOKUP(car_price_prediction_[[#This Row],[Car ID]],A1180:A3679,1,FALSE),0),1,0)</f>
        <v>0</v>
      </c>
    </row>
    <row r="1180" spans="1:15" x14ac:dyDescent="0.25">
      <c r="A1180">
        <v>1179</v>
      </c>
      <c r="B1180" s="1" t="s">
        <v>10</v>
      </c>
      <c r="C1180" s="1">
        <f>car_price_prediction_[[#This Row],[Year2]]</f>
        <v>2013</v>
      </c>
      <c r="D1180">
        <v>2013</v>
      </c>
      <c r="E1180">
        <f>car_price_prediction_[[#This Row],[Engine Size]]/10</f>
        <v>2.2999999999999998</v>
      </c>
      <c r="F1180">
        <v>23</v>
      </c>
      <c r="G1180" s="1" t="s">
        <v>16</v>
      </c>
      <c r="H1180" s="1" t="s">
        <v>22</v>
      </c>
      <c r="I1180" s="12">
        <f>car_price_prediction_[[#This Row],[Mileage]]/1000</f>
        <v>72.355999999999995</v>
      </c>
      <c r="J1180" s="5">
        <v>72356</v>
      </c>
      <c r="K1180" s="1" t="s">
        <v>13</v>
      </c>
      <c r="L1180" s="5">
        <f>car_price_prediction_[[#This Row],[Price]]/100</f>
        <v>39032.959999999999</v>
      </c>
      <c r="M1180">
        <v>3903296</v>
      </c>
      <c r="N1180" s="1" t="s">
        <v>49</v>
      </c>
      <c r="O1180" s="1">
        <f>IF(IFERROR(VLOOKUP(car_price_prediction_[[#This Row],[Car ID]],A1181:A3680,1,FALSE),0),1,0)</f>
        <v>0</v>
      </c>
    </row>
    <row r="1181" spans="1:15" x14ac:dyDescent="0.25">
      <c r="A1181">
        <v>1180</v>
      </c>
      <c r="B1181" s="1" t="s">
        <v>19</v>
      </c>
      <c r="C1181" s="1">
        <f>car_price_prediction_[[#This Row],[Year2]]</f>
        <v>2003</v>
      </c>
      <c r="D1181">
        <v>2003</v>
      </c>
      <c r="E1181">
        <f>car_price_prediction_[[#This Row],[Engine Size]]/10</f>
        <v>1.6</v>
      </c>
      <c r="F1181">
        <v>16</v>
      </c>
      <c r="G1181" s="1" t="s">
        <v>16</v>
      </c>
      <c r="H1181" s="1" t="s">
        <v>22</v>
      </c>
      <c r="I1181" s="12">
        <f>car_price_prediction_[[#This Row],[Mileage]]/1000</f>
        <v>259.92500000000001</v>
      </c>
      <c r="J1181" s="5">
        <v>259925</v>
      </c>
      <c r="K1181" s="1" t="s">
        <v>13</v>
      </c>
      <c r="L1181" s="5">
        <f>car_price_prediction_[[#This Row],[Price]]/100</f>
        <v>14406.85</v>
      </c>
      <c r="M1181">
        <v>1440685</v>
      </c>
      <c r="N1181" s="1" t="s">
        <v>27</v>
      </c>
      <c r="O1181" s="1">
        <f>IF(IFERROR(VLOOKUP(car_price_prediction_[[#This Row],[Car ID]],A1182:A3681,1,FALSE),0),1,0)</f>
        <v>0</v>
      </c>
    </row>
    <row r="1182" spans="1:15" x14ac:dyDescent="0.25">
      <c r="A1182">
        <v>1181</v>
      </c>
      <c r="B1182" s="1" t="s">
        <v>15</v>
      </c>
      <c r="C1182" s="1">
        <f>car_price_prediction_[[#This Row],[Year2]]</f>
        <v>2020</v>
      </c>
      <c r="D1182">
        <v>2020</v>
      </c>
      <c r="E1182">
        <f>car_price_prediction_[[#This Row],[Engine Size]]/10</f>
        <v>3.9</v>
      </c>
      <c r="F1182">
        <v>39</v>
      </c>
      <c r="G1182" s="1" t="s">
        <v>16</v>
      </c>
      <c r="H1182" s="1" t="s">
        <v>12</v>
      </c>
      <c r="I1182" s="12">
        <f>car_price_prediction_[[#This Row],[Mileage]]/1000</f>
        <v>16.190999999999999</v>
      </c>
      <c r="J1182" s="5">
        <v>16191</v>
      </c>
      <c r="K1182" s="1" t="s">
        <v>17</v>
      </c>
      <c r="L1182" s="5">
        <f>car_price_prediction_[[#This Row],[Price]]/100</f>
        <v>77017.259999999995</v>
      </c>
      <c r="M1182">
        <v>7701726</v>
      </c>
      <c r="N1182" s="1" t="s">
        <v>39</v>
      </c>
      <c r="O1182" s="1">
        <f>IF(IFERROR(VLOOKUP(car_price_prediction_[[#This Row],[Car ID]],A1183:A3682,1,FALSE),0),1,0)</f>
        <v>0</v>
      </c>
    </row>
    <row r="1183" spans="1:15" x14ac:dyDescent="0.25">
      <c r="A1183">
        <v>1182</v>
      </c>
      <c r="B1183" s="1" t="s">
        <v>10</v>
      </c>
      <c r="C1183" s="1">
        <f>car_price_prediction_[[#This Row],[Year2]]</f>
        <v>2007</v>
      </c>
      <c r="D1183">
        <v>2007</v>
      </c>
      <c r="E1183">
        <f>car_price_prediction_[[#This Row],[Engine Size]]/10</f>
        <v>5.8</v>
      </c>
      <c r="F1183">
        <v>58</v>
      </c>
      <c r="G1183" s="1" t="s">
        <v>29</v>
      </c>
      <c r="H1183" s="1" t="s">
        <v>12</v>
      </c>
      <c r="I1183" s="12">
        <f>car_price_prediction_[[#This Row],[Mileage]]/1000</f>
        <v>84.631</v>
      </c>
      <c r="J1183" s="5">
        <v>84631</v>
      </c>
      <c r="K1183" s="1" t="s">
        <v>13</v>
      </c>
      <c r="L1183" s="5">
        <f>car_price_prediction_[[#This Row],[Price]]/100</f>
        <v>61662.39</v>
      </c>
      <c r="M1183">
        <v>6166239</v>
      </c>
      <c r="N1183" s="1" t="s">
        <v>49</v>
      </c>
      <c r="O1183" s="1">
        <f>IF(IFERROR(VLOOKUP(car_price_prediction_[[#This Row],[Car ID]],A1184:A3683,1,FALSE),0),1,0)</f>
        <v>0</v>
      </c>
    </row>
    <row r="1184" spans="1:15" x14ac:dyDescent="0.25">
      <c r="A1184">
        <v>1183</v>
      </c>
      <c r="B1184" s="1" t="s">
        <v>36</v>
      </c>
      <c r="C1184" s="1">
        <f>car_price_prediction_[[#This Row],[Year2]]</f>
        <v>2002</v>
      </c>
      <c r="D1184">
        <v>2002</v>
      </c>
      <c r="E1184">
        <f>car_price_prediction_[[#This Row],[Engine Size]]/10</f>
        <v>2.9</v>
      </c>
      <c r="F1184">
        <v>29</v>
      </c>
      <c r="G1184" s="1" t="s">
        <v>21</v>
      </c>
      <c r="H1184" s="1" t="s">
        <v>12</v>
      </c>
      <c r="I1184" s="12">
        <f>car_price_prediction_[[#This Row],[Mileage]]/1000</f>
        <v>245.702</v>
      </c>
      <c r="J1184" s="5">
        <v>245702</v>
      </c>
      <c r="K1184" s="1" t="s">
        <v>25</v>
      </c>
      <c r="L1184" s="5">
        <f>car_price_prediction_[[#This Row],[Price]]/100</f>
        <v>31066.33</v>
      </c>
      <c r="M1184">
        <v>3106633</v>
      </c>
      <c r="N1184" s="1" t="s">
        <v>41</v>
      </c>
      <c r="O1184" s="1">
        <f>IF(IFERROR(VLOOKUP(car_price_prediction_[[#This Row],[Car ID]],A1185:A3684,1,FALSE),0),1,0)</f>
        <v>0</v>
      </c>
    </row>
    <row r="1185" spans="1:15" x14ac:dyDescent="0.25">
      <c r="A1185">
        <v>1184</v>
      </c>
      <c r="B1185" s="1" t="s">
        <v>30</v>
      </c>
      <c r="C1185" s="1">
        <f>car_price_prediction_[[#This Row],[Year2]]</f>
        <v>2018</v>
      </c>
      <c r="D1185">
        <v>2018</v>
      </c>
      <c r="E1185">
        <f>car_price_prediction_[[#This Row],[Engine Size]]/10</f>
        <v>1.3</v>
      </c>
      <c r="F1185">
        <v>13</v>
      </c>
      <c r="G1185" s="1" t="s">
        <v>11</v>
      </c>
      <c r="H1185" s="1" t="s">
        <v>12</v>
      </c>
      <c r="I1185" s="12">
        <f>car_price_prediction_[[#This Row],[Mileage]]/1000</f>
        <v>272.673</v>
      </c>
      <c r="J1185" s="5">
        <v>272673</v>
      </c>
      <c r="K1185" s="1" t="s">
        <v>13</v>
      </c>
      <c r="L1185" s="5">
        <f>car_price_prediction_[[#This Row],[Price]]/100</f>
        <v>29034.98</v>
      </c>
      <c r="M1185">
        <v>2903498</v>
      </c>
      <c r="N1185" s="1" t="s">
        <v>48</v>
      </c>
      <c r="O1185" s="1">
        <f>IF(IFERROR(VLOOKUP(car_price_prediction_[[#This Row],[Car ID]],A1186:A3685,1,FALSE),0),1,0)</f>
        <v>0</v>
      </c>
    </row>
    <row r="1186" spans="1:15" x14ac:dyDescent="0.25">
      <c r="A1186">
        <v>1185</v>
      </c>
      <c r="B1186" s="1" t="s">
        <v>15</v>
      </c>
      <c r="C1186" s="1">
        <f>car_price_prediction_[[#This Row],[Year2]]</f>
        <v>2013</v>
      </c>
      <c r="D1186">
        <v>2013</v>
      </c>
      <c r="E1186">
        <f>car_price_prediction_[[#This Row],[Engine Size]]/10</f>
        <v>2.7</v>
      </c>
      <c r="F1186">
        <v>27</v>
      </c>
      <c r="G1186" s="1" t="s">
        <v>29</v>
      </c>
      <c r="H1186" s="1" t="s">
        <v>22</v>
      </c>
      <c r="I1186" s="12">
        <f>car_price_prediction_[[#This Row],[Mileage]]/1000</f>
        <v>32.174999999999997</v>
      </c>
      <c r="J1186" s="5">
        <v>32175</v>
      </c>
      <c r="K1186" s="1" t="s">
        <v>13</v>
      </c>
      <c r="L1186" s="5">
        <f>car_price_prediction_[[#This Row],[Price]]/100</f>
        <v>97684.22</v>
      </c>
      <c r="M1186">
        <v>9768422</v>
      </c>
      <c r="N1186" s="1" t="s">
        <v>51</v>
      </c>
      <c r="O1186" s="1">
        <f>IF(IFERROR(VLOOKUP(car_price_prediction_[[#This Row],[Car ID]],A1187:A3686,1,FALSE),0),1,0)</f>
        <v>0</v>
      </c>
    </row>
    <row r="1187" spans="1:15" x14ac:dyDescent="0.25">
      <c r="A1187">
        <v>1186</v>
      </c>
      <c r="B1187" s="1" t="s">
        <v>15</v>
      </c>
      <c r="C1187" s="1">
        <f>car_price_prediction_[[#This Row],[Year2]]</f>
        <v>2019</v>
      </c>
      <c r="D1187">
        <v>2019</v>
      </c>
      <c r="E1187">
        <f>car_price_prediction_[[#This Row],[Engine Size]]/10</f>
        <v>3.5</v>
      </c>
      <c r="F1187">
        <v>35</v>
      </c>
      <c r="G1187" s="1" t="s">
        <v>29</v>
      </c>
      <c r="H1187" s="1" t="s">
        <v>22</v>
      </c>
      <c r="I1187" s="12">
        <f>car_price_prediction_[[#This Row],[Mileage]]/1000</f>
        <v>279.81900000000002</v>
      </c>
      <c r="J1187" s="5">
        <v>279819</v>
      </c>
      <c r="K1187" s="1" t="s">
        <v>17</v>
      </c>
      <c r="L1187" s="5">
        <f>car_price_prediction_[[#This Row],[Price]]/100</f>
        <v>8693.76</v>
      </c>
      <c r="M1187">
        <v>869376</v>
      </c>
      <c r="N1187" s="1" t="s">
        <v>18</v>
      </c>
      <c r="O1187" s="1">
        <f>IF(IFERROR(VLOOKUP(car_price_prediction_[[#This Row],[Car ID]],A1188:A3687,1,FALSE),0),1,0)</f>
        <v>0</v>
      </c>
    </row>
    <row r="1188" spans="1:15" x14ac:dyDescent="0.25">
      <c r="A1188">
        <v>1187</v>
      </c>
      <c r="B1188" s="1" t="s">
        <v>24</v>
      </c>
      <c r="C1188" s="1">
        <f>car_price_prediction_[[#This Row],[Year2]]</f>
        <v>2016</v>
      </c>
      <c r="D1188">
        <v>2016</v>
      </c>
      <c r="E1188">
        <f>car_price_prediction_[[#This Row],[Engine Size]]/10</f>
        <v>1.8</v>
      </c>
      <c r="F1188">
        <v>18</v>
      </c>
      <c r="G1188" s="1" t="s">
        <v>29</v>
      </c>
      <c r="H1188" s="1" t="s">
        <v>12</v>
      </c>
      <c r="I1188" s="12">
        <f>car_price_prediction_[[#This Row],[Mileage]]/1000</f>
        <v>157.048</v>
      </c>
      <c r="J1188" s="5">
        <v>157048</v>
      </c>
      <c r="K1188" s="1" t="s">
        <v>25</v>
      </c>
      <c r="L1188" s="5">
        <f>car_price_prediction_[[#This Row],[Price]]/100</f>
        <v>81930.84</v>
      </c>
      <c r="M1188">
        <v>8193084</v>
      </c>
      <c r="N1188" s="1" t="s">
        <v>53</v>
      </c>
      <c r="O1188" s="1">
        <f>IF(IFERROR(VLOOKUP(car_price_prediction_[[#This Row],[Car ID]],A1189:A3688,1,FALSE),0),1,0)</f>
        <v>0</v>
      </c>
    </row>
    <row r="1189" spans="1:15" x14ac:dyDescent="0.25">
      <c r="A1189">
        <v>1188</v>
      </c>
      <c r="B1189" s="1" t="s">
        <v>15</v>
      </c>
      <c r="C1189" s="1">
        <f>car_price_prediction_[[#This Row],[Year2]]</f>
        <v>2007</v>
      </c>
      <c r="D1189">
        <v>2007</v>
      </c>
      <c r="E1189">
        <f>car_price_prediction_[[#This Row],[Engine Size]]/10</f>
        <v>4.3</v>
      </c>
      <c r="F1189">
        <v>43</v>
      </c>
      <c r="G1189" s="1" t="s">
        <v>29</v>
      </c>
      <c r="H1189" s="1" t="s">
        <v>12</v>
      </c>
      <c r="I1189" s="12">
        <f>car_price_prediction_[[#This Row],[Mileage]]/1000</f>
        <v>194.18799999999999</v>
      </c>
      <c r="J1189" s="5">
        <v>194188</v>
      </c>
      <c r="K1189" s="1" t="s">
        <v>25</v>
      </c>
      <c r="L1189" s="5">
        <f>car_price_prediction_[[#This Row],[Price]]/100</f>
        <v>17161.68</v>
      </c>
      <c r="M1189">
        <v>1716168</v>
      </c>
      <c r="N1189" s="1" t="s">
        <v>35</v>
      </c>
      <c r="O1189" s="1">
        <f>IF(IFERROR(VLOOKUP(car_price_prediction_[[#This Row],[Car ID]],A1190:A3689,1,FALSE),0),1,0)</f>
        <v>0</v>
      </c>
    </row>
    <row r="1190" spans="1:15" x14ac:dyDescent="0.25">
      <c r="A1190">
        <v>1189</v>
      </c>
      <c r="B1190" s="1" t="s">
        <v>10</v>
      </c>
      <c r="C1190" s="1">
        <f>car_price_prediction_[[#This Row],[Year2]]</f>
        <v>2023</v>
      </c>
      <c r="D1190">
        <v>2023</v>
      </c>
      <c r="E1190">
        <f>car_price_prediction_[[#This Row],[Engine Size]]/10</f>
        <v>6</v>
      </c>
      <c r="F1190">
        <v>60</v>
      </c>
      <c r="G1190" s="1" t="s">
        <v>21</v>
      </c>
      <c r="H1190" s="1" t="s">
        <v>22</v>
      </c>
      <c r="I1190" s="12">
        <f>car_price_prediction_[[#This Row],[Mileage]]/1000</f>
        <v>62.820999999999998</v>
      </c>
      <c r="J1190" s="5">
        <v>62821</v>
      </c>
      <c r="K1190" s="1" t="s">
        <v>25</v>
      </c>
      <c r="L1190" s="5">
        <f>car_price_prediction_[[#This Row],[Price]]/100</f>
        <v>76742.789999999994</v>
      </c>
      <c r="M1190">
        <v>7674279</v>
      </c>
      <c r="N1190" s="1" t="s">
        <v>23</v>
      </c>
      <c r="O1190" s="1">
        <f>IF(IFERROR(VLOOKUP(car_price_prediction_[[#This Row],[Car ID]],A1191:A3690,1,FALSE),0),1,0)</f>
        <v>0</v>
      </c>
    </row>
    <row r="1191" spans="1:15" x14ac:dyDescent="0.25">
      <c r="A1191">
        <v>1190</v>
      </c>
      <c r="B1191" s="1" t="s">
        <v>36</v>
      </c>
      <c r="C1191" s="1">
        <f>car_price_prediction_[[#This Row],[Year2]]</f>
        <v>2013</v>
      </c>
      <c r="D1191">
        <v>2013</v>
      </c>
      <c r="E1191">
        <f>car_price_prediction_[[#This Row],[Engine Size]]/10</f>
        <v>3.3</v>
      </c>
      <c r="F1191">
        <v>33</v>
      </c>
      <c r="G1191" s="1" t="s">
        <v>16</v>
      </c>
      <c r="H1191" s="1" t="s">
        <v>12</v>
      </c>
      <c r="I1191" s="12">
        <f>car_price_prediction_[[#This Row],[Mileage]]/1000</f>
        <v>12.204000000000001</v>
      </c>
      <c r="J1191" s="5">
        <v>12204</v>
      </c>
      <c r="K1191" s="1" t="s">
        <v>13</v>
      </c>
      <c r="L1191" s="5">
        <f>car_price_prediction_[[#This Row],[Price]]/100</f>
        <v>25381.32</v>
      </c>
      <c r="M1191">
        <v>2538132</v>
      </c>
      <c r="N1191" s="1" t="s">
        <v>40</v>
      </c>
      <c r="O1191" s="1">
        <f>IF(IFERROR(VLOOKUP(car_price_prediction_[[#This Row],[Car ID]],A1192:A3691,1,FALSE),0),1,0)</f>
        <v>0</v>
      </c>
    </row>
    <row r="1192" spans="1:15" x14ac:dyDescent="0.25">
      <c r="A1192">
        <v>1191</v>
      </c>
      <c r="B1192" s="1" t="s">
        <v>36</v>
      </c>
      <c r="C1192" s="1">
        <f>car_price_prediction_[[#This Row],[Year2]]</f>
        <v>2005</v>
      </c>
      <c r="D1192">
        <v>2005</v>
      </c>
      <c r="E1192">
        <f>car_price_prediction_[[#This Row],[Engine Size]]/10</f>
        <v>2.8</v>
      </c>
      <c r="F1192">
        <v>28</v>
      </c>
      <c r="G1192" s="1" t="s">
        <v>11</v>
      </c>
      <c r="H1192" s="1" t="s">
        <v>12</v>
      </c>
      <c r="I1192" s="12">
        <f>car_price_prediction_[[#This Row],[Mileage]]/1000</f>
        <v>269.53800000000001</v>
      </c>
      <c r="J1192" s="5">
        <v>269538</v>
      </c>
      <c r="K1192" s="1" t="s">
        <v>25</v>
      </c>
      <c r="L1192" s="5">
        <f>car_price_prediction_[[#This Row],[Price]]/100</f>
        <v>97851.95</v>
      </c>
      <c r="M1192">
        <v>9785195</v>
      </c>
      <c r="N1192" s="1" t="s">
        <v>37</v>
      </c>
      <c r="O1192" s="1">
        <f>IF(IFERROR(VLOOKUP(car_price_prediction_[[#This Row],[Car ID]],A1193:A3692,1,FALSE),0),1,0)</f>
        <v>0</v>
      </c>
    </row>
    <row r="1193" spans="1:15" x14ac:dyDescent="0.25">
      <c r="A1193">
        <v>1192</v>
      </c>
      <c r="B1193" s="1" t="s">
        <v>43</v>
      </c>
      <c r="C1193" s="1">
        <f>car_price_prediction_[[#This Row],[Year2]]</f>
        <v>2022</v>
      </c>
      <c r="D1193">
        <v>2022</v>
      </c>
      <c r="E1193">
        <f>car_price_prediction_[[#This Row],[Engine Size]]/10</f>
        <v>3</v>
      </c>
      <c r="F1193">
        <v>30</v>
      </c>
      <c r="G1193" s="1" t="s">
        <v>11</v>
      </c>
      <c r="H1193" s="1" t="s">
        <v>12</v>
      </c>
      <c r="I1193" s="12">
        <f>car_price_prediction_[[#This Row],[Mileage]]/1000</f>
        <v>246.464</v>
      </c>
      <c r="J1193" s="5">
        <v>246464</v>
      </c>
      <c r="K1193" s="1" t="s">
        <v>25</v>
      </c>
      <c r="L1193" s="5">
        <f>car_price_prediction_[[#This Row],[Price]]/100</f>
        <v>9948.4699999999993</v>
      </c>
      <c r="M1193">
        <v>994847</v>
      </c>
      <c r="N1193" s="1" t="s">
        <v>52</v>
      </c>
      <c r="O1193" s="1">
        <f>IF(IFERROR(VLOOKUP(car_price_prediction_[[#This Row],[Car ID]],A1194:A3693,1,FALSE),0),1,0)</f>
        <v>0</v>
      </c>
    </row>
    <row r="1194" spans="1:15" x14ac:dyDescent="0.25">
      <c r="A1194">
        <v>1193</v>
      </c>
      <c r="B1194" s="1" t="s">
        <v>36</v>
      </c>
      <c r="C1194" s="1">
        <f>car_price_prediction_[[#This Row],[Year2]]</f>
        <v>2021</v>
      </c>
      <c r="D1194">
        <v>2021</v>
      </c>
      <c r="E1194">
        <f>car_price_prediction_[[#This Row],[Engine Size]]/10</f>
        <v>1.6</v>
      </c>
      <c r="F1194">
        <v>16</v>
      </c>
      <c r="G1194" s="1" t="s">
        <v>29</v>
      </c>
      <c r="H1194" s="1" t="s">
        <v>12</v>
      </c>
      <c r="I1194" s="12">
        <f>car_price_prediction_[[#This Row],[Mileage]]/1000</f>
        <v>33.593000000000004</v>
      </c>
      <c r="J1194" s="5">
        <v>33593</v>
      </c>
      <c r="K1194" s="1" t="s">
        <v>13</v>
      </c>
      <c r="L1194" s="5">
        <f>car_price_prediction_[[#This Row],[Price]]/100</f>
        <v>38453.160000000003</v>
      </c>
      <c r="M1194">
        <v>3845316</v>
      </c>
      <c r="N1194" s="1" t="s">
        <v>41</v>
      </c>
      <c r="O1194" s="1">
        <f>IF(IFERROR(VLOOKUP(car_price_prediction_[[#This Row],[Car ID]],A1195:A3694,1,FALSE),0),1,0)</f>
        <v>0</v>
      </c>
    </row>
    <row r="1195" spans="1:15" x14ac:dyDescent="0.25">
      <c r="A1195">
        <v>1194</v>
      </c>
      <c r="B1195" s="1" t="s">
        <v>36</v>
      </c>
      <c r="C1195" s="1">
        <f>car_price_prediction_[[#This Row],[Year2]]</f>
        <v>2015</v>
      </c>
      <c r="D1195">
        <v>2015</v>
      </c>
      <c r="E1195">
        <f>car_price_prediction_[[#This Row],[Engine Size]]/10</f>
        <v>5.4</v>
      </c>
      <c r="F1195">
        <v>54</v>
      </c>
      <c r="G1195" s="1" t="s">
        <v>29</v>
      </c>
      <c r="H1195" s="1" t="s">
        <v>22</v>
      </c>
      <c r="I1195" s="12">
        <f>car_price_prediction_[[#This Row],[Mileage]]/1000</f>
        <v>208.26</v>
      </c>
      <c r="J1195" s="5">
        <v>208260</v>
      </c>
      <c r="K1195" s="1" t="s">
        <v>17</v>
      </c>
      <c r="L1195" s="5">
        <f>car_price_prediction_[[#This Row],[Price]]/100</f>
        <v>45721.54</v>
      </c>
      <c r="M1195">
        <v>4572154</v>
      </c>
      <c r="N1195" s="1" t="s">
        <v>46</v>
      </c>
      <c r="O1195" s="1">
        <f>IF(IFERROR(VLOOKUP(car_price_prediction_[[#This Row],[Car ID]],A1196:A3695,1,FALSE),0),1,0)</f>
        <v>0</v>
      </c>
    </row>
    <row r="1196" spans="1:15" x14ac:dyDescent="0.25">
      <c r="A1196">
        <v>1195</v>
      </c>
      <c r="B1196" s="1" t="s">
        <v>24</v>
      </c>
      <c r="C1196" s="1">
        <f>car_price_prediction_[[#This Row],[Year2]]</f>
        <v>2018</v>
      </c>
      <c r="D1196">
        <v>2018</v>
      </c>
      <c r="E1196">
        <f>car_price_prediction_[[#This Row],[Engine Size]]/10</f>
        <v>3.1</v>
      </c>
      <c r="F1196">
        <v>31</v>
      </c>
      <c r="G1196" s="1" t="s">
        <v>21</v>
      </c>
      <c r="H1196" s="1" t="s">
        <v>22</v>
      </c>
      <c r="I1196" s="12">
        <f>car_price_prediction_[[#This Row],[Mileage]]/1000</f>
        <v>115.06399999999999</v>
      </c>
      <c r="J1196" s="5">
        <v>115064</v>
      </c>
      <c r="K1196" s="1" t="s">
        <v>17</v>
      </c>
      <c r="L1196" s="5">
        <f>car_price_prediction_[[#This Row],[Price]]/100</f>
        <v>83299.28</v>
      </c>
      <c r="M1196">
        <v>8329928</v>
      </c>
      <c r="N1196" s="1" t="s">
        <v>26</v>
      </c>
      <c r="O1196" s="1">
        <f>IF(IFERROR(VLOOKUP(car_price_prediction_[[#This Row],[Car ID]],A1197:A3696,1,FALSE),0),1,0)</f>
        <v>0</v>
      </c>
    </row>
    <row r="1197" spans="1:15" x14ac:dyDescent="0.25">
      <c r="A1197">
        <v>1196</v>
      </c>
      <c r="B1197" s="1" t="s">
        <v>36</v>
      </c>
      <c r="C1197" s="1">
        <f>car_price_prediction_[[#This Row],[Year2]]</f>
        <v>2013</v>
      </c>
      <c r="D1197">
        <v>2013</v>
      </c>
      <c r="E1197">
        <f>car_price_prediction_[[#This Row],[Engine Size]]/10</f>
        <v>2.9</v>
      </c>
      <c r="F1197">
        <v>29</v>
      </c>
      <c r="G1197" s="1" t="s">
        <v>29</v>
      </c>
      <c r="H1197" s="1" t="s">
        <v>12</v>
      </c>
      <c r="I1197" s="12">
        <f>car_price_prediction_[[#This Row],[Mileage]]/1000</f>
        <v>53.365000000000002</v>
      </c>
      <c r="J1197" s="5">
        <v>53365</v>
      </c>
      <c r="K1197" s="1" t="s">
        <v>13</v>
      </c>
      <c r="L1197" s="5">
        <f>car_price_prediction_[[#This Row],[Price]]/100</f>
        <v>77791.17</v>
      </c>
      <c r="M1197">
        <v>7779117</v>
      </c>
      <c r="N1197" s="1" t="s">
        <v>41</v>
      </c>
      <c r="O1197" s="1">
        <f>IF(IFERROR(VLOOKUP(car_price_prediction_[[#This Row],[Car ID]],A1198:A3697,1,FALSE),0),1,0)</f>
        <v>0</v>
      </c>
    </row>
    <row r="1198" spans="1:15" x14ac:dyDescent="0.25">
      <c r="A1198">
        <v>1197</v>
      </c>
      <c r="B1198" s="1" t="s">
        <v>43</v>
      </c>
      <c r="C1198" s="1">
        <f>car_price_prediction_[[#This Row],[Year2]]</f>
        <v>2018</v>
      </c>
      <c r="D1198">
        <v>2018</v>
      </c>
      <c r="E1198">
        <f>car_price_prediction_[[#This Row],[Engine Size]]/10</f>
        <v>4.3</v>
      </c>
      <c r="F1198">
        <v>43</v>
      </c>
      <c r="G1198" s="1" t="s">
        <v>11</v>
      </c>
      <c r="H1198" s="1" t="s">
        <v>22</v>
      </c>
      <c r="I1198" s="12">
        <f>car_price_prediction_[[#This Row],[Mileage]]/1000</f>
        <v>240.64400000000001</v>
      </c>
      <c r="J1198" s="5">
        <v>240644</v>
      </c>
      <c r="K1198" s="1" t="s">
        <v>17</v>
      </c>
      <c r="L1198" s="5">
        <f>car_price_prediction_[[#This Row],[Price]]/100</f>
        <v>40624.25</v>
      </c>
      <c r="M1198">
        <v>4062425</v>
      </c>
      <c r="N1198" s="1" t="s">
        <v>52</v>
      </c>
      <c r="O1198" s="1">
        <f>IF(IFERROR(VLOOKUP(car_price_prediction_[[#This Row],[Car ID]],A1199:A3698,1,FALSE),0),1,0)</f>
        <v>0</v>
      </c>
    </row>
    <row r="1199" spans="1:15" x14ac:dyDescent="0.25">
      <c r="A1199">
        <v>1198</v>
      </c>
      <c r="B1199" s="1" t="s">
        <v>30</v>
      </c>
      <c r="C1199" s="1">
        <f>car_price_prediction_[[#This Row],[Year2]]</f>
        <v>2002</v>
      </c>
      <c r="D1199">
        <v>2002</v>
      </c>
      <c r="E1199">
        <f>car_price_prediction_[[#This Row],[Engine Size]]/10</f>
        <v>3.2</v>
      </c>
      <c r="F1199">
        <v>32</v>
      </c>
      <c r="G1199" s="1" t="s">
        <v>11</v>
      </c>
      <c r="H1199" s="1" t="s">
        <v>12</v>
      </c>
      <c r="I1199" s="12">
        <f>car_price_prediction_[[#This Row],[Mileage]]/1000</f>
        <v>220.511</v>
      </c>
      <c r="J1199" s="5">
        <v>220511</v>
      </c>
      <c r="K1199" s="1" t="s">
        <v>17</v>
      </c>
      <c r="L1199" s="5">
        <f>car_price_prediction_[[#This Row],[Price]]/100</f>
        <v>58728.23</v>
      </c>
      <c r="M1199">
        <v>5872823</v>
      </c>
      <c r="N1199" s="1" t="s">
        <v>42</v>
      </c>
      <c r="O1199" s="1">
        <f>IF(IFERROR(VLOOKUP(car_price_prediction_[[#This Row],[Car ID]],A1200:A3699,1,FALSE),0),1,0)</f>
        <v>0</v>
      </c>
    </row>
    <row r="1200" spans="1:15" x14ac:dyDescent="0.25">
      <c r="A1200">
        <v>1199</v>
      </c>
      <c r="B1200" s="1" t="s">
        <v>10</v>
      </c>
      <c r="C1200" s="1">
        <f>car_price_prediction_[[#This Row],[Year2]]</f>
        <v>2009</v>
      </c>
      <c r="D1200">
        <v>2009</v>
      </c>
      <c r="E1200">
        <f>car_price_prediction_[[#This Row],[Engine Size]]/10</f>
        <v>4.2</v>
      </c>
      <c r="F1200">
        <v>42</v>
      </c>
      <c r="G1200" s="1" t="s">
        <v>16</v>
      </c>
      <c r="H1200" s="1" t="s">
        <v>12</v>
      </c>
      <c r="I1200" s="12">
        <f>car_price_prediction_[[#This Row],[Mileage]]/1000</f>
        <v>206.971</v>
      </c>
      <c r="J1200" s="5">
        <v>206971</v>
      </c>
      <c r="K1200" s="1" t="s">
        <v>17</v>
      </c>
      <c r="L1200" s="5">
        <f>car_price_prediction_[[#This Row],[Price]]/100</f>
        <v>84381.54</v>
      </c>
      <c r="M1200">
        <v>8438154</v>
      </c>
      <c r="N1200" s="1" t="s">
        <v>14</v>
      </c>
      <c r="O1200" s="1">
        <f>IF(IFERROR(VLOOKUP(car_price_prediction_[[#This Row],[Car ID]],A1201:A3700,1,FALSE),0),1,0)</f>
        <v>0</v>
      </c>
    </row>
    <row r="1201" spans="1:15" x14ac:dyDescent="0.25">
      <c r="A1201">
        <v>1200</v>
      </c>
      <c r="B1201" s="1" t="s">
        <v>24</v>
      </c>
      <c r="C1201" s="1">
        <f>car_price_prediction_[[#This Row],[Year2]]</f>
        <v>2018</v>
      </c>
      <c r="D1201">
        <v>2018</v>
      </c>
      <c r="E1201">
        <f>car_price_prediction_[[#This Row],[Engine Size]]/10</f>
        <v>1.3</v>
      </c>
      <c r="F1201">
        <v>13</v>
      </c>
      <c r="G1201" s="1" t="s">
        <v>16</v>
      </c>
      <c r="H1201" s="1" t="s">
        <v>12</v>
      </c>
      <c r="I1201" s="12">
        <f>car_price_prediction_[[#This Row],[Mileage]]/1000</f>
        <v>103.7</v>
      </c>
      <c r="J1201" s="5">
        <v>103700</v>
      </c>
      <c r="K1201" s="1" t="s">
        <v>25</v>
      </c>
      <c r="L1201" s="5">
        <f>car_price_prediction_[[#This Row],[Price]]/100</f>
        <v>6728.96</v>
      </c>
      <c r="M1201">
        <v>672896</v>
      </c>
      <c r="N1201" s="1" t="s">
        <v>26</v>
      </c>
      <c r="O1201" s="1">
        <f>IF(IFERROR(VLOOKUP(car_price_prediction_[[#This Row],[Car ID]],A1202:A3701,1,FALSE),0),1,0)</f>
        <v>0</v>
      </c>
    </row>
    <row r="1202" spans="1:15" x14ac:dyDescent="0.25">
      <c r="A1202">
        <v>1201</v>
      </c>
      <c r="B1202" s="1" t="s">
        <v>30</v>
      </c>
      <c r="C1202" s="1">
        <f>car_price_prediction_[[#This Row],[Year2]]</f>
        <v>2008</v>
      </c>
      <c r="D1202">
        <v>2008</v>
      </c>
      <c r="E1202">
        <f>car_price_prediction_[[#This Row],[Engine Size]]/10</f>
        <v>5.0999999999999996</v>
      </c>
      <c r="F1202">
        <v>51</v>
      </c>
      <c r="G1202" s="1" t="s">
        <v>11</v>
      </c>
      <c r="H1202" s="1" t="s">
        <v>22</v>
      </c>
      <c r="I1202" s="12">
        <f>car_price_prediction_[[#This Row],[Mileage]]/1000</f>
        <v>68.247</v>
      </c>
      <c r="J1202" s="5">
        <v>68247</v>
      </c>
      <c r="K1202" s="1" t="s">
        <v>17</v>
      </c>
      <c r="L1202" s="5">
        <f>car_price_prediction_[[#This Row],[Price]]/100</f>
        <v>81206.92</v>
      </c>
      <c r="M1202">
        <v>8120692</v>
      </c>
      <c r="N1202" s="1" t="s">
        <v>45</v>
      </c>
      <c r="O1202" s="1">
        <f>IF(IFERROR(VLOOKUP(car_price_prediction_[[#This Row],[Car ID]],A1203:A3702,1,FALSE),0),1,0)</f>
        <v>0</v>
      </c>
    </row>
    <row r="1203" spans="1:15" x14ac:dyDescent="0.25">
      <c r="A1203">
        <v>1202</v>
      </c>
      <c r="B1203" s="1" t="s">
        <v>24</v>
      </c>
      <c r="C1203" s="1">
        <f>car_price_prediction_[[#This Row],[Year2]]</f>
        <v>2019</v>
      </c>
      <c r="D1203">
        <v>2019</v>
      </c>
      <c r="E1203">
        <f>car_price_prediction_[[#This Row],[Engine Size]]/10</f>
        <v>5.7</v>
      </c>
      <c r="F1203">
        <v>57</v>
      </c>
      <c r="G1203" s="1" t="s">
        <v>11</v>
      </c>
      <c r="H1203" s="1" t="s">
        <v>22</v>
      </c>
      <c r="I1203" s="12">
        <f>car_price_prediction_[[#This Row],[Mileage]]/1000</f>
        <v>182.631</v>
      </c>
      <c r="J1203" s="5">
        <v>182631</v>
      </c>
      <c r="K1203" s="1" t="s">
        <v>25</v>
      </c>
      <c r="L1203" s="5">
        <f>car_price_prediction_[[#This Row],[Price]]/100</f>
        <v>94955.12</v>
      </c>
      <c r="M1203">
        <v>9495512</v>
      </c>
      <c r="N1203" s="1" t="s">
        <v>34</v>
      </c>
      <c r="O1203" s="1">
        <f>IF(IFERROR(VLOOKUP(car_price_prediction_[[#This Row],[Car ID]],A1204:A3703,1,FALSE),0),1,0)</f>
        <v>0</v>
      </c>
    </row>
    <row r="1204" spans="1:15" x14ac:dyDescent="0.25">
      <c r="A1204">
        <v>1203</v>
      </c>
      <c r="B1204" s="1" t="s">
        <v>19</v>
      </c>
      <c r="C1204" s="1">
        <f>car_price_prediction_[[#This Row],[Year2]]</f>
        <v>2012</v>
      </c>
      <c r="D1204">
        <v>2012</v>
      </c>
      <c r="E1204">
        <f>car_price_prediction_[[#This Row],[Engine Size]]/10</f>
        <v>4.2</v>
      </c>
      <c r="F1204">
        <v>42</v>
      </c>
      <c r="G1204" s="1" t="s">
        <v>21</v>
      </c>
      <c r="H1204" s="1" t="s">
        <v>22</v>
      </c>
      <c r="I1204" s="12">
        <f>car_price_prediction_[[#This Row],[Mileage]]/1000</f>
        <v>156.27000000000001</v>
      </c>
      <c r="J1204" s="5">
        <v>156270</v>
      </c>
      <c r="K1204" s="1" t="s">
        <v>17</v>
      </c>
      <c r="L1204" s="5">
        <f>car_price_prediction_[[#This Row],[Price]]/100</f>
        <v>8046.13</v>
      </c>
      <c r="M1204">
        <v>804613</v>
      </c>
      <c r="N1204" s="1" t="s">
        <v>38</v>
      </c>
      <c r="O1204" s="1">
        <f>IF(IFERROR(VLOOKUP(car_price_prediction_[[#This Row],[Car ID]],A1205:A3704,1,FALSE),0),1,0)</f>
        <v>0</v>
      </c>
    </row>
    <row r="1205" spans="1:15" x14ac:dyDescent="0.25">
      <c r="A1205">
        <v>1204</v>
      </c>
      <c r="B1205" s="1" t="s">
        <v>15</v>
      </c>
      <c r="C1205" s="1">
        <f>car_price_prediction_[[#This Row],[Year2]]</f>
        <v>2006</v>
      </c>
      <c r="D1205">
        <v>2006</v>
      </c>
      <c r="E1205">
        <f>car_price_prediction_[[#This Row],[Engine Size]]/10</f>
        <v>5.8</v>
      </c>
      <c r="F1205">
        <v>58</v>
      </c>
      <c r="G1205" s="1" t="s">
        <v>21</v>
      </c>
      <c r="H1205" s="1" t="s">
        <v>22</v>
      </c>
      <c r="I1205" s="12">
        <f>car_price_prediction_[[#This Row],[Mileage]]/1000</f>
        <v>153.56</v>
      </c>
      <c r="J1205" s="5">
        <v>153560</v>
      </c>
      <c r="K1205" s="1" t="s">
        <v>25</v>
      </c>
      <c r="L1205" s="5">
        <f>car_price_prediction_[[#This Row],[Price]]/100</f>
        <v>9330.19</v>
      </c>
      <c r="M1205">
        <v>933019</v>
      </c>
      <c r="N1205" s="1" t="s">
        <v>35</v>
      </c>
      <c r="O1205" s="1">
        <f>IF(IFERROR(VLOOKUP(car_price_prediction_[[#This Row],[Car ID]],A1206:A3705,1,FALSE),0),1,0)</f>
        <v>0</v>
      </c>
    </row>
    <row r="1206" spans="1:15" x14ac:dyDescent="0.25">
      <c r="A1206">
        <v>1205</v>
      </c>
      <c r="B1206" s="1" t="s">
        <v>19</v>
      </c>
      <c r="C1206" s="1">
        <f>car_price_prediction_[[#This Row],[Year2]]</f>
        <v>2013</v>
      </c>
      <c r="D1206">
        <v>2013</v>
      </c>
      <c r="E1206">
        <f>car_price_prediction_[[#This Row],[Engine Size]]/10</f>
        <v>1.8</v>
      </c>
      <c r="F1206">
        <v>18</v>
      </c>
      <c r="G1206" s="1" t="s">
        <v>11</v>
      </c>
      <c r="H1206" s="1" t="s">
        <v>22</v>
      </c>
      <c r="I1206" s="12">
        <f>car_price_prediction_[[#This Row],[Mileage]]/1000</f>
        <v>169.58699999999999</v>
      </c>
      <c r="J1206" s="5">
        <v>169587</v>
      </c>
      <c r="K1206" s="1" t="s">
        <v>13</v>
      </c>
      <c r="L1206" s="5">
        <f>car_price_prediction_[[#This Row],[Price]]/100</f>
        <v>37728.83</v>
      </c>
      <c r="M1206">
        <v>3772883</v>
      </c>
      <c r="N1206" s="1" t="s">
        <v>38</v>
      </c>
      <c r="O1206" s="1">
        <f>IF(IFERROR(VLOOKUP(car_price_prediction_[[#This Row],[Car ID]],A1207:A3706,1,FALSE),0),1,0)</f>
        <v>0</v>
      </c>
    </row>
    <row r="1207" spans="1:15" x14ac:dyDescent="0.25">
      <c r="A1207">
        <v>1206</v>
      </c>
      <c r="B1207" s="1" t="s">
        <v>36</v>
      </c>
      <c r="C1207" s="1">
        <f>car_price_prediction_[[#This Row],[Year2]]</f>
        <v>2008</v>
      </c>
      <c r="D1207">
        <v>2008</v>
      </c>
      <c r="E1207">
        <f>car_price_prediction_[[#This Row],[Engine Size]]/10</f>
        <v>3.4</v>
      </c>
      <c r="F1207">
        <v>34</v>
      </c>
      <c r="G1207" s="1" t="s">
        <v>29</v>
      </c>
      <c r="H1207" s="1" t="s">
        <v>12</v>
      </c>
      <c r="I1207" s="12">
        <f>car_price_prediction_[[#This Row],[Mileage]]/1000</f>
        <v>290.04199999999997</v>
      </c>
      <c r="J1207" s="5">
        <v>290042</v>
      </c>
      <c r="K1207" s="1" t="s">
        <v>13</v>
      </c>
      <c r="L1207" s="5">
        <f>car_price_prediction_[[#This Row],[Price]]/100</f>
        <v>13338.11</v>
      </c>
      <c r="M1207">
        <v>1333811</v>
      </c>
      <c r="N1207" s="1" t="s">
        <v>40</v>
      </c>
      <c r="O1207" s="1">
        <f>IF(IFERROR(VLOOKUP(car_price_prediction_[[#This Row],[Car ID]],A1208:A3707,1,FALSE),0),1,0)</f>
        <v>0</v>
      </c>
    </row>
    <row r="1208" spans="1:15" x14ac:dyDescent="0.25">
      <c r="A1208">
        <v>1207</v>
      </c>
      <c r="B1208" s="1" t="s">
        <v>30</v>
      </c>
      <c r="C1208" s="1">
        <f>car_price_prediction_[[#This Row],[Year2]]</f>
        <v>2022</v>
      </c>
      <c r="D1208">
        <v>2022</v>
      </c>
      <c r="E1208">
        <f>car_price_prediction_[[#This Row],[Engine Size]]/10</f>
        <v>4</v>
      </c>
      <c r="F1208">
        <v>40</v>
      </c>
      <c r="G1208" s="1" t="s">
        <v>16</v>
      </c>
      <c r="H1208" s="1" t="s">
        <v>12</v>
      </c>
      <c r="I1208" s="12">
        <f>car_price_prediction_[[#This Row],[Mileage]]/1000</f>
        <v>181.142</v>
      </c>
      <c r="J1208" s="5">
        <v>181142</v>
      </c>
      <c r="K1208" s="1" t="s">
        <v>17</v>
      </c>
      <c r="L1208" s="5">
        <f>car_price_prediction_[[#This Row],[Price]]/100</f>
        <v>50531.23</v>
      </c>
      <c r="M1208">
        <v>5053123</v>
      </c>
      <c r="N1208" s="1" t="s">
        <v>42</v>
      </c>
      <c r="O1208" s="1">
        <f>IF(IFERROR(VLOOKUP(car_price_prediction_[[#This Row],[Car ID]],A1209:A3708,1,FALSE),0),1,0)</f>
        <v>0</v>
      </c>
    </row>
    <row r="1209" spans="1:15" x14ac:dyDescent="0.25">
      <c r="A1209">
        <v>1208</v>
      </c>
      <c r="B1209" s="1" t="s">
        <v>36</v>
      </c>
      <c r="C1209" s="1">
        <f>car_price_prediction_[[#This Row],[Year2]]</f>
        <v>2018</v>
      </c>
      <c r="D1209">
        <v>2018</v>
      </c>
      <c r="E1209">
        <f>car_price_prediction_[[#This Row],[Engine Size]]/10</f>
        <v>3.9</v>
      </c>
      <c r="F1209">
        <v>39</v>
      </c>
      <c r="G1209" s="1" t="s">
        <v>11</v>
      </c>
      <c r="H1209" s="1" t="s">
        <v>22</v>
      </c>
      <c r="I1209" s="12">
        <f>car_price_prediction_[[#This Row],[Mileage]]/1000</f>
        <v>62.613</v>
      </c>
      <c r="J1209" s="5">
        <v>62613</v>
      </c>
      <c r="K1209" s="1" t="s">
        <v>25</v>
      </c>
      <c r="L1209" s="5">
        <f>car_price_prediction_[[#This Row],[Price]]/100</f>
        <v>74227.520000000004</v>
      </c>
      <c r="M1209">
        <v>7422752</v>
      </c>
      <c r="N1209" s="1" t="s">
        <v>46</v>
      </c>
      <c r="O1209" s="1">
        <f>IF(IFERROR(VLOOKUP(car_price_prediction_[[#This Row],[Car ID]],A1210:A3709,1,FALSE),0),1,0)</f>
        <v>0</v>
      </c>
    </row>
    <row r="1210" spans="1:15" x14ac:dyDescent="0.25">
      <c r="A1210">
        <v>1209</v>
      </c>
      <c r="B1210" s="1" t="s">
        <v>15</v>
      </c>
      <c r="C1210" s="1">
        <f>car_price_prediction_[[#This Row],[Year2]]</f>
        <v>2014</v>
      </c>
      <c r="D1210">
        <v>2014</v>
      </c>
      <c r="E1210">
        <f>car_price_prediction_[[#This Row],[Engine Size]]/10</f>
        <v>3</v>
      </c>
      <c r="F1210">
        <v>30</v>
      </c>
      <c r="G1210" s="1" t="s">
        <v>29</v>
      </c>
      <c r="H1210" s="1" t="s">
        <v>22</v>
      </c>
      <c r="I1210" s="12">
        <f>car_price_prediction_[[#This Row],[Mileage]]/1000</f>
        <v>96.706999999999994</v>
      </c>
      <c r="J1210" s="5">
        <v>96707</v>
      </c>
      <c r="K1210" s="1" t="s">
        <v>13</v>
      </c>
      <c r="L1210" s="5">
        <f>car_price_prediction_[[#This Row],[Price]]/100</f>
        <v>58855.43</v>
      </c>
      <c r="M1210">
        <v>5885543</v>
      </c>
      <c r="N1210" s="1" t="s">
        <v>18</v>
      </c>
      <c r="O1210" s="1">
        <f>IF(IFERROR(VLOOKUP(car_price_prediction_[[#This Row],[Car ID]],A1211:A3710,1,FALSE),0),1,0)</f>
        <v>0</v>
      </c>
    </row>
    <row r="1211" spans="1:15" x14ac:dyDescent="0.25">
      <c r="A1211">
        <v>1210</v>
      </c>
      <c r="B1211" s="1" t="s">
        <v>24</v>
      </c>
      <c r="C1211" s="1">
        <f>car_price_prediction_[[#This Row],[Year2]]</f>
        <v>2019</v>
      </c>
      <c r="D1211">
        <v>2019</v>
      </c>
      <c r="E1211">
        <f>car_price_prediction_[[#This Row],[Engine Size]]/10</f>
        <v>2.7</v>
      </c>
      <c r="F1211">
        <v>27</v>
      </c>
      <c r="G1211" s="1" t="s">
        <v>11</v>
      </c>
      <c r="H1211" s="1" t="s">
        <v>22</v>
      </c>
      <c r="I1211" s="12">
        <f>car_price_prediction_[[#This Row],[Mileage]]/1000</f>
        <v>47.003</v>
      </c>
      <c r="J1211" s="5">
        <v>47003</v>
      </c>
      <c r="K1211" s="1" t="s">
        <v>13</v>
      </c>
      <c r="L1211" s="5">
        <f>car_price_prediction_[[#This Row],[Price]]/100</f>
        <v>23661.03</v>
      </c>
      <c r="M1211">
        <v>2366103</v>
      </c>
      <c r="N1211" s="1" t="s">
        <v>26</v>
      </c>
      <c r="O1211" s="1">
        <f>IF(IFERROR(VLOOKUP(car_price_prediction_[[#This Row],[Car ID]],A1212:A3711,1,FALSE),0),1,0)</f>
        <v>0</v>
      </c>
    </row>
    <row r="1212" spans="1:15" x14ac:dyDescent="0.25">
      <c r="A1212">
        <v>1211</v>
      </c>
      <c r="B1212" s="1" t="s">
        <v>15</v>
      </c>
      <c r="C1212" s="1">
        <f>car_price_prediction_[[#This Row],[Year2]]</f>
        <v>2013</v>
      </c>
      <c r="D1212">
        <v>2013</v>
      </c>
      <c r="E1212">
        <f>car_price_prediction_[[#This Row],[Engine Size]]/10</f>
        <v>1.6</v>
      </c>
      <c r="F1212">
        <v>16</v>
      </c>
      <c r="G1212" s="1" t="s">
        <v>16</v>
      </c>
      <c r="H1212" s="1" t="s">
        <v>12</v>
      </c>
      <c r="I1212" s="12">
        <f>car_price_prediction_[[#This Row],[Mileage]]/1000</f>
        <v>48.478000000000002</v>
      </c>
      <c r="J1212" s="5">
        <v>48478</v>
      </c>
      <c r="K1212" s="1" t="s">
        <v>13</v>
      </c>
      <c r="L1212" s="5">
        <f>car_price_prediction_[[#This Row],[Price]]/100</f>
        <v>67207.070000000007</v>
      </c>
      <c r="M1212">
        <v>6720707</v>
      </c>
      <c r="N1212" s="1" t="s">
        <v>39</v>
      </c>
      <c r="O1212" s="1">
        <f>IF(IFERROR(VLOOKUP(car_price_prediction_[[#This Row],[Car ID]],A1213:A3712,1,FALSE),0),1,0)</f>
        <v>0</v>
      </c>
    </row>
    <row r="1213" spans="1:15" x14ac:dyDescent="0.25">
      <c r="A1213">
        <v>1212</v>
      </c>
      <c r="B1213" s="1" t="s">
        <v>43</v>
      </c>
      <c r="C1213" s="1">
        <f>car_price_prediction_[[#This Row],[Year2]]</f>
        <v>2023</v>
      </c>
      <c r="D1213">
        <v>2023</v>
      </c>
      <c r="E1213">
        <f>car_price_prediction_[[#This Row],[Engine Size]]/10</f>
        <v>3</v>
      </c>
      <c r="F1213">
        <v>30</v>
      </c>
      <c r="G1213" s="1" t="s">
        <v>16</v>
      </c>
      <c r="H1213" s="1" t="s">
        <v>22</v>
      </c>
      <c r="I1213" s="12">
        <f>car_price_prediction_[[#This Row],[Mileage]]/1000</f>
        <v>59.03</v>
      </c>
      <c r="J1213" s="5">
        <v>59030</v>
      </c>
      <c r="K1213" s="1" t="s">
        <v>13</v>
      </c>
      <c r="L1213" s="5">
        <f>car_price_prediction_[[#This Row],[Price]]/100</f>
        <v>70061.179999999993</v>
      </c>
      <c r="M1213">
        <v>7006118</v>
      </c>
      <c r="N1213" s="1" t="s">
        <v>52</v>
      </c>
      <c r="O1213" s="1">
        <f>IF(IFERROR(VLOOKUP(car_price_prediction_[[#This Row],[Car ID]],A1214:A3713,1,FALSE),0),1,0)</f>
        <v>0</v>
      </c>
    </row>
    <row r="1214" spans="1:15" x14ac:dyDescent="0.25">
      <c r="A1214">
        <v>1213</v>
      </c>
      <c r="B1214" s="1" t="s">
        <v>15</v>
      </c>
      <c r="C1214" s="1">
        <f>car_price_prediction_[[#This Row],[Year2]]</f>
        <v>2005</v>
      </c>
      <c r="D1214">
        <v>2005</v>
      </c>
      <c r="E1214">
        <f>car_price_prediction_[[#This Row],[Engine Size]]/10</f>
        <v>1.8</v>
      </c>
      <c r="F1214">
        <v>18</v>
      </c>
      <c r="G1214" s="1" t="s">
        <v>21</v>
      </c>
      <c r="H1214" s="1" t="s">
        <v>12</v>
      </c>
      <c r="I1214" s="12">
        <f>car_price_prediction_[[#This Row],[Mileage]]/1000</f>
        <v>184.13300000000001</v>
      </c>
      <c r="J1214" s="5">
        <v>184133</v>
      </c>
      <c r="K1214" s="1" t="s">
        <v>17</v>
      </c>
      <c r="L1214" s="5">
        <f>car_price_prediction_[[#This Row],[Price]]/100</f>
        <v>93582.37</v>
      </c>
      <c r="M1214">
        <v>9358237</v>
      </c>
      <c r="N1214" s="1" t="s">
        <v>51</v>
      </c>
      <c r="O1214" s="1">
        <f>IF(IFERROR(VLOOKUP(car_price_prediction_[[#This Row],[Car ID]],A1215:A3714,1,FALSE),0),1,0)</f>
        <v>0</v>
      </c>
    </row>
    <row r="1215" spans="1:15" x14ac:dyDescent="0.25">
      <c r="A1215">
        <v>1214</v>
      </c>
      <c r="B1215" s="1" t="s">
        <v>43</v>
      </c>
      <c r="C1215" s="1">
        <f>car_price_prediction_[[#This Row],[Year2]]</f>
        <v>2020</v>
      </c>
      <c r="D1215">
        <v>2020</v>
      </c>
      <c r="E1215">
        <f>car_price_prediction_[[#This Row],[Engine Size]]/10</f>
        <v>4.7</v>
      </c>
      <c r="F1215">
        <v>47</v>
      </c>
      <c r="G1215" s="1" t="s">
        <v>21</v>
      </c>
      <c r="H1215" s="1" t="s">
        <v>12</v>
      </c>
      <c r="I1215" s="12">
        <f>car_price_prediction_[[#This Row],[Mileage]]/1000</f>
        <v>145.92099999999999</v>
      </c>
      <c r="J1215" s="5">
        <v>145921</v>
      </c>
      <c r="K1215" s="1" t="s">
        <v>25</v>
      </c>
      <c r="L1215" s="5">
        <f>car_price_prediction_[[#This Row],[Price]]/100</f>
        <v>18945.71</v>
      </c>
      <c r="M1215">
        <v>1894571</v>
      </c>
      <c r="N1215" s="1" t="s">
        <v>52</v>
      </c>
      <c r="O1215" s="1">
        <f>IF(IFERROR(VLOOKUP(car_price_prediction_[[#This Row],[Car ID]],A1216:A3715,1,FALSE),0),1,0)</f>
        <v>0</v>
      </c>
    </row>
    <row r="1216" spans="1:15" x14ac:dyDescent="0.25">
      <c r="A1216">
        <v>1215</v>
      </c>
      <c r="B1216" s="1" t="s">
        <v>15</v>
      </c>
      <c r="C1216" s="1">
        <f>car_price_prediction_[[#This Row],[Year2]]</f>
        <v>2003</v>
      </c>
      <c r="D1216">
        <v>2003</v>
      </c>
      <c r="E1216">
        <f>car_price_prediction_[[#This Row],[Engine Size]]/10</f>
        <v>2</v>
      </c>
      <c r="F1216">
        <v>20</v>
      </c>
      <c r="G1216" s="1" t="s">
        <v>21</v>
      </c>
      <c r="H1216" s="1" t="s">
        <v>22</v>
      </c>
      <c r="I1216" s="12">
        <f>car_price_prediction_[[#This Row],[Mileage]]/1000</f>
        <v>246.16</v>
      </c>
      <c r="J1216" s="5">
        <v>246160</v>
      </c>
      <c r="K1216" s="1" t="s">
        <v>13</v>
      </c>
      <c r="L1216" s="5">
        <f>car_price_prediction_[[#This Row],[Price]]/100</f>
        <v>70771.94</v>
      </c>
      <c r="M1216">
        <v>7077194</v>
      </c>
      <c r="N1216" s="1" t="s">
        <v>18</v>
      </c>
      <c r="O1216" s="1">
        <f>IF(IFERROR(VLOOKUP(car_price_prediction_[[#This Row],[Car ID]],A1217:A3716,1,FALSE),0),1,0)</f>
        <v>0</v>
      </c>
    </row>
    <row r="1217" spans="1:15" x14ac:dyDescent="0.25">
      <c r="A1217">
        <v>1216</v>
      </c>
      <c r="B1217" s="1" t="s">
        <v>10</v>
      </c>
      <c r="C1217" s="1">
        <f>car_price_prediction_[[#This Row],[Year2]]</f>
        <v>2007</v>
      </c>
      <c r="D1217">
        <v>2007</v>
      </c>
      <c r="E1217">
        <f>car_price_prediction_[[#This Row],[Engine Size]]/10</f>
        <v>1.3</v>
      </c>
      <c r="F1217">
        <v>13</v>
      </c>
      <c r="G1217" s="1" t="s">
        <v>21</v>
      </c>
      <c r="H1217" s="1" t="s">
        <v>12</v>
      </c>
      <c r="I1217" s="12">
        <f>car_price_prediction_[[#This Row],[Mileage]]/1000</f>
        <v>267.589</v>
      </c>
      <c r="J1217" s="5">
        <v>267589</v>
      </c>
      <c r="K1217" s="1" t="s">
        <v>17</v>
      </c>
      <c r="L1217" s="5">
        <f>car_price_prediction_[[#This Row],[Price]]/100</f>
        <v>91585.59</v>
      </c>
      <c r="M1217">
        <v>9158559</v>
      </c>
      <c r="N1217" s="1" t="s">
        <v>33</v>
      </c>
      <c r="O1217" s="1">
        <f>IF(IFERROR(VLOOKUP(car_price_prediction_[[#This Row],[Car ID]],A1218:A3717,1,FALSE),0),1,0)</f>
        <v>0</v>
      </c>
    </row>
    <row r="1218" spans="1:15" x14ac:dyDescent="0.25">
      <c r="A1218">
        <v>1217</v>
      </c>
      <c r="B1218" s="1" t="s">
        <v>43</v>
      </c>
      <c r="C1218" s="1">
        <f>car_price_prediction_[[#This Row],[Year2]]</f>
        <v>2016</v>
      </c>
      <c r="D1218">
        <v>2016</v>
      </c>
      <c r="E1218">
        <f>car_price_prediction_[[#This Row],[Engine Size]]/10</f>
        <v>3.8</v>
      </c>
      <c r="F1218">
        <v>38</v>
      </c>
      <c r="G1218" s="1" t="s">
        <v>16</v>
      </c>
      <c r="H1218" s="1" t="s">
        <v>12</v>
      </c>
      <c r="I1218" s="12">
        <f>car_price_prediction_[[#This Row],[Mileage]]/1000</f>
        <v>149.11199999999999</v>
      </c>
      <c r="J1218" s="5">
        <v>149112</v>
      </c>
      <c r="K1218" s="1" t="s">
        <v>13</v>
      </c>
      <c r="L1218" s="5">
        <f>car_price_prediction_[[#This Row],[Price]]/100</f>
        <v>52648.59</v>
      </c>
      <c r="M1218">
        <v>5264859</v>
      </c>
      <c r="N1218" s="1" t="s">
        <v>52</v>
      </c>
      <c r="O1218" s="1">
        <f>IF(IFERROR(VLOOKUP(car_price_prediction_[[#This Row],[Car ID]],A1219:A3718,1,FALSE),0),1,0)</f>
        <v>0</v>
      </c>
    </row>
    <row r="1219" spans="1:15" x14ac:dyDescent="0.25">
      <c r="A1219">
        <v>1218</v>
      </c>
      <c r="B1219" s="1" t="s">
        <v>30</v>
      </c>
      <c r="C1219" s="1">
        <f>car_price_prediction_[[#This Row],[Year2]]</f>
        <v>2008</v>
      </c>
      <c r="D1219">
        <v>2008</v>
      </c>
      <c r="E1219">
        <f>car_price_prediction_[[#This Row],[Engine Size]]/10</f>
        <v>4</v>
      </c>
      <c r="F1219">
        <v>40</v>
      </c>
      <c r="G1219" s="1" t="s">
        <v>29</v>
      </c>
      <c r="H1219" s="1" t="s">
        <v>22</v>
      </c>
      <c r="I1219" s="12">
        <f>car_price_prediction_[[#This Row],[Mileage]]/1000</f>
        <v>262.39</v>
      </c>
      <c r="J1219" s="5">
        <v>262390</v>
      </c>
      <c r="K1219" s="1" t="s">
        <v>13</v>
      </c>
      <c r="L1219" s="5">
        <f>car_price_prediction_[[#This Row],[Price]]/100</f>
        <v>39370.97</v>
      </c>
      <c r="M1219">
        <v>3937097</v>
      </c>
      <c r="N1219" s="1" t="s">
        <v>42</v>
      </c>
      <c r="O1219" s="1">
        <f>IF(IFERROR(VLOOKUP(car_price_prediction_[[#This Row],[Car ID]],A1220:A3719,1,FALSE),0),1,0)</f>
        <v>0</v>
      </c>
    </row>
    <row r="1220" spans="1:15" x14ac:dyDescent="0.25">
      <c r="A1220">
        <v>1219</v>
      </c>
      <c r="B1220" s="1" t="s">
        <v>36</v>
      </c>
      <c r="C1220" s="1">
        <f>car_price_prediction_[[#This Row],[Year2]]</f>
        <v>2000</v>
      </c>
      <c r="D1220">
        <v>2000</v>
      </c>
      <c r="E1220">
        <f>car_price_prediction_[[#This Row],[Engine Size]]/10</f>
        <v>5.4</v>
      </c>
      <c r="F1220">
        <v>54</v>
      </c>
      <c r="G1220" s="1" t="s">
        <v>29</v>
      </c>
      <c r="H1220" s="1" t="s">
        <v>12</v>
      </c>
      <c r="I1220" s="12">
        <f>car_price_prediction_[[#This Row],[Mileage]]/1000</f>
        <v>31.152999999999999</v>
      </c>
      <c r="J1220" s="5">
        <v>31153</v>
      </c>
      <c r="K1220" s="1" t="s">
        <v>13</v>
      </c>
      <c r="L1220" s="5">
        <f>car_price_prediction_[[#This Row],[Price]]/100</f>
        <v>2122.12</v>
      </c>
      <c r="M1220">
        <v>212212</v>
      </c>
      <c r="N1220" s="1" t="s">
        <v>40</v>
      </c>
      <c r="O1220" s="1">
        <f>IF(IFERROR(VLOOKUP(car_price_prediction_[[#This Row],[Car ID]],A1221:A3720,1,FALSE),0),1,0)</f>
        <v>0</v>
      </c>
    </row>
    <row r="1221" spans="1:15" x14ac:dyDescent="0.25">
      <c r="A1221">
        <v>1220</v>
      </c>
      <c r="B1221" s="1" t="s">
        <v>36</v>
      </c>
      <c r="C1221" s="1">
        <f>car_price_prediction_[[#This Row],[Year2]]</f>
        <v>2023</v>
      </c>
      <c r="D1221">
        <v>2023</v>
      </c>
      <c r="E1221">
        <f>car_price_prediction_[[#This Row],[Engine Size]]/10</f>
        <v>3.9</v>
      </c>
      <c r="F1221">
        <v>39</v>
      </c>
      <c r="G1221" s="1" t="s">
        <v>29</v>
      </c>
      <c r="H1221" s="1" t="s">
        <v>22</v>
      </c>
      <c r="I1221" s="12">
        <f>car_price_prediction_[[#This Row],[Mileage]]/1000</f>
        <v>267.35599999999999</v>
      </c>
      <c r="J1221" s="5">
        <v>267356</v>
      </c>
      <c r="K1221" s="1" t="s">
        <v>13</v>
      </c>
      <c r="L1221" s="5">
        <f>car_price_prediction_[[#This Row],[Price]]/100</f>
        <v>87344.75</v>
      </c>
      <c r="M1221">
        <v>8734475</v>
      </c>
      <c r="N1221" s="1" t="s">
        <v>46</v>
      </c>
      <c r="O1221" s="1">
        <f>IF(IFERROR(VLOOKUP(car_price_prediction_[[#This Row],[Car ID]],A1222:A3721,1,FALSE),0),1,0)</f>
        <v>0</v>
      </c>
    </row>
    <row r="1222" spans="1:15" x14ac:dyDescent="0.25">
      <c r="A1222">
        <v>1221</v>
      </c>
      <c r="B1222" s="1" t="s">
        <v>19</v>
      </c>
      <c r="C1222" s="1">
        <f>car_price_prediction_[[#This Row],[Year2]]</f>
        <v>2019</v>
      </c>
      <c r="D1222">
        <v>2019</v>
      </c>
      <c r="E1222">
        <f>car_price_prediction_[[#This Row],[Engine Size]]/10</f>
        <v>2.7</v>
      </c>
      <c r="F1222">
        <v>27</v>
      </c>
      <c r="G1222" s="1" t="s">
        <v>11</v>
      </c>
      <c r="H1222" s="1" t="s">
        <v>12</v>
      </c>
      <c r="I1222" s="12">
        <f>car_price_prediction_[[#This Row],[Mileage]]/1000</f>
        <v>134.411</v>
      </c>
      <c r="J1222" s="5">
        <v>134411</v>
      </c>
      <c r="K1222" s="1" t="s">
        <v>17</v>
      </c>
      <c r="L1222" s="5">
        <f>car_price_prediction_[[#This Row],[Price]]/100</f>
        <v>42453.41</v>
      </c>
      <c r="M1222">
        <v>4245341</v>
      </c>
      <c r="N1222" s="1" t="s">
        <v>38</v>
      </c>
      <c r="O1222" s="1">
        <f>IF(IFERROR(VLOOKUP(car_price_prediction_[[#This Row],[Car ID]],A1223:A3722,1,FALSE),0),1,0)</f>
        <v>0</v>
      </c>
    </row>
    <row r="1223" spans="1:15" x14ac:dyDescent="0.25">
      <c r="A1223">
        <v>1222</v>
      </c>
      <c r="B1223" s="1" t="s">
        <v>36</v>
      </c>
      <c r="C1223" s="1">
        <f>car_price_prediction_[[#This Row],[Year2]]</f>
        <v>2013</v>
      </c>
      <c r="D1223">
        <v>2013</v>
      </c>
      <c r="E1223">
        <f>car_price_prediction_[[#This Row],[Engine Size]]/10</f>
        <v>5</v>
      </c>
      <c r="F1223">
        <v>50</v>
      </c>
      <c r="G1223" s="1" t="s">
        <v>21</v>
      </c>
      <c r="H1223" s="1" t="s">
        <v>22</v>
      </c>
      <c r="I1223" s="12">
        <f>car_price_prediction_[[#This Row],[Mileage]]/1000</f>
        <v>56.238</v>
      </c>
      <c r="J1223" s="5">
        <v>56238</v>
      </c>
      <c r="K1223" s="1" t="s">
        <v>25</v>
      </c>
      <c r="L1223" s="5">
        <f>car_price_prediction_[[#This Row],[Price]]/100</f>
        <v>92863.83</v>
      </c>
      <c r="M1223">
        <v>9286383</v>
      </c>
      <c r="N1223" s="1" t="s">
        <v>46</v>
      </c>
      <c r="O1223" s="1">
        <f>IF(IFERROR(VLOOKUP(car_price_prediction_[[#This Row],[Car ID]],A1224:A3723,1,FALSE),0),1,0)</f>
        <v>0</v>
      </c>
    </row>
    <row r="1224" spans="1:15" x14ac:dyDescent="0.25">
      <c r="A1224">
        <v>1223</v>
      </c>
      <c r="B1224" s="1" t="s">
        <v>24</v>
      </c>
      <c r="C1224" s="1">
        <f>car_price_prediction_[[#This Row],[Year2]]</f>
        <v>2010</v>
      </c>
      <c r="D1224">
        <v>2010</v>
      </c>
      <c r="E1224">
        <f>car_price_prediction_[[#This Row],[Engine Size]]/10</f>
        <v>3.7</v>
      </c>
      <c r="F1224">
        <v>37</v>
      </c>
      <c r="G1224" s="1" t="s">
        <v>21</v>
      </c>
      <c r="H1224" s="1" t="s">
        <v>22</v>
      </c>
      <c r="I1224" s="12">
        <f>car_price_prediction_[[#This Row],[Mileage]]/1000</f>
        <v>296.75099999999998</v>
      </c>
      <c r="J1224" s="5">
        <v>296751</v>
      </c>
      <c r="K1224" s="1" t="s">
        <v>17</v>
      </c>
      <c r="L1224" s="5">
        <f>car_price_prediction_[[#This Row],[Price]]/100</f>
        <v>85537.04</v>
      </c>
      <c r="M1224">
        <v>8553704</v>
      </c>
      <c r="N1224" s="1" t="s">
        <v>34</v>
      </c>
      <c r="O1224" s="1">
        <f>IF(IFERROR(VLOOKUP(car_price_prediction_[[#This Row],[Car ID]],A1225:A3724,1,FALSE),0),1,0)</f>
        <v>0</v>
      </c>
    </row>
    <row r="1225" spans="1:15" x14ac:dyDescent="0.25">
      <c r="A1225">
        <v>1224</v>
      </c>
      <c r="B1225" s="1" t="s">
        <v>10</v>
      </c>
      <c r="C1225" s="1">
        <f>car_price_prediction_[[#This Row],[Year2]]</f>
        <v>2020</v>
      </c>
      <c r="D1225">
        <v>2020</v>
      </c>
      <c r="E1225">
        <f>car_price_prediction_[[#This Row],[Engine Size]]/10</f>
        <v>1.4</v>
      </c>
      <c r="F1225">
        <v>14</v>
      </c>
      <c r="G1225" s="1" t="s">
        <v>16</v>
      </c>
      <c r="H1225" s="1" t="s">
        <v>12</v>
      </c>
      <c r="I1225" s="12">
        <f>car_price_prediction_[[#This Row],[Mileage]]/1000</f>
        <v>52.055</v>
      </c>
      <c r="J1225" s="5">
        <v>52055</v>
      </c>
      <c r="K1225" s="1" t="s">
        <v>17</v>
      </c>
      <c r="L1225" s="5">
        <f>car_price_prediction_[[#This Row],[Price]]/100</f>
        <v>40780.79</v>
      </c>
      <c r="M1225">
        <v>4078079</v>
      </c>
      <c r="N1225" s="1" t="s">
        <v>33</v>
      </c>
      <c r="O1225" s="1">
        <f>IF(IFERROR(VLOOKUP(car_price_prediction_[[#This Row],[Car ID]],A1226:A3725,1,FALSE),0),1,0)</f>
        <v>0</v>
      </c>
    </row>
    <row r="1226" spans="1:15" x14ac:dyDescent="0.25">
      <c r="A1226">
        <v>1225</v>
      </c>
      <c r="B1226" s="1" t="s">
        <v>15</v>
      </c>
      <c r="C1226" s="1">
        <f>car_price_prediction_[[#This Row],[Year2]]</f>
        <v>2002</v>
      </c>
      <c r="D1226">
        <v>2002</v>
      </c>
      <c r="E1226">
        <f>car_price_prediction_[[#This Row],[Engine Size]]/10</f>
        <v>3.8</v>
      </c>
      <c r="F1226">
        <v>38</v>
      </c>
      <c r="G1226" s="1" t="s">
        <v>16</v>
      </c>
      <c r="H1226" s="1" t="s">
        <v>22</v>
      </c>
      <c r="I1226" s="12">
        <f>car_price_prediction_[[#This Row],[Mileage]]/1000</f>
        <v>104.509</v>
      </c>
      <c r="J1226" s="5">
        <v>104509</v>
      </c>
      <c r="K1226" s="1" t="s">
        <v>17</v>
      </c>
      <c r="L1226" s="5">
        <f>car_price_prediction_[[#This Row],[Price]]/100</f>
        <v>59521.86</v>
      </c>
      <c r="M1226">
        <v>5952186</v>
      </c>
      <c r="N1226" s="1" t="s">
        <v>39</v>
      </c>
      <c r="O1226" s="1">
        <f>IF(IFERROR(VLOOKUP(car_price_prediction_[[#This Row],[Car ID]],A1227:A3726,1,FALSE),0),1,0)</f>
        <v>0</v>
      </c>
    </row>
    <row r="1227" spans="1:15" x14ac:dyDescent="0.25">
      <c r="A1227">
        <v>1226</v>
      </c>
      <c r="B1227" s="1" t="s">
        <v>19</v>
      </c>
      <c r="C1227" s="1">
        <f>car_price_prediction_[[#This Row],[Year2]]</f>
        <v>2008</v>
      </c>
      <c r="D1227">
        <v>2008</v>
      </c>
      <c r="E1227">
        <f>car_price_prediction_[[#This Row],[Engine Size]]/10</f>
        <v>5.5</v>
      </c>
      <c r="F1227">
        <v>55</v>
      </c>
      <c r="G1227" s="1" t="s">
        <v>11</v>
      </c>
      <c r="H1227" s="1" t="s">
        <v>12</v>
      </c>
      <c r="I1227" s="12">
        <f>car_price_prediction_[[#This Row],[Mileage]]/1000</f>
        <v>135.46700000000001</v>
      </c>
      <c r="J1227" s="5">
        <v>135467</v>
      </c>
      <c r="K1227" s="1" t="s">
        <v>13</v>
      </c>
      <c r="L1227" s="5">
        <f>car_price_prediction_[[#This Row],[Price]]/100</f>
        <v>7581.53</v>
      </c>
      <c r="M1227">
        <v>758153</v>
      </c>
      <c r="N1227" s="1" t="s">
        <v>28</v>
      </c>
      <c r="O1227" s="1">
        <f>IF(IFERROR(VLOOKUP(car_price_prediction_[[#This Row],[Car ID]],A1228:A3727,1,FALSE),0),1,0)</f>
        <v>0</v>
      </c>
    </row>
    <row r="1228" spans="1:15" x14ac:dyDescent="0.25">
      <c r="A1228">
        <v>1227</v>
      </c>
      <c r="B1228" s="1" t="s">
        <v>24</v>
      </c>
      <c r="C1228" s="1">
        <f>car_price_prediction_[[#This Row],[Year2]]</f>
        <v>2013</v>
      </c>
      <c r="D1228">
        <v>2013</v>
      </c>
      <c r="E1228">
        <f>car_price_prediction_[[#This Row],[Engine Size]]/10</f>
        <v>3</v>
      </c>
      <c r="F1228">
        <v>30</v>
      </c>
      <c r="G1228" s="1" t="s">
        <v>11</v>
      </c>
      <c r="H1228" s="1" t="s">
        <v>12</v>
      </c>
      <c r="I1228" s="12">
        <f>car_price_prediction_[[#This Row],[Mileage]]/1000</f>
        <v>127.378</v>
      </c>
      <c r="J1228" s="5">
        <v>127378</v>
      </c>
      <c r="K1228" s="1" t="s">
        <v>25</v>
      </c>
      <c r="L1228" s="5">
        <f>car_price_prediction_[[#This Row],[Price]]/100</f>
        <v>30006.03</v>
      </c>
      <c r="M1228">
        <v>3000603</v>
      </c>
      <c r="N1228" s="1" t="s">
        <v>32</v>
      </c>
      <c r="O1228" s="1">
        <f>IF(IFERROR(VLOOKUP(car_price_prediction_[[#This Row],[Car ID]],A1229:A3728,1,FALSE),0),1,0)</f>
        <v>0</v>
      </c>
    </row>
    <row r="1229" spans="1:15" x14ac:dyDescent="0.25">
      <c r="A1229">
        <v>1228</v>
      </c>
      <c r="B1229" s="1" t="s">
        <v>24</v>
      </c>
      <c r="C1229" s="1">
        <f>car_price_prediction_[[#This Row],[Year2]]</f>
        <v>2008</v>
      </c>
      <c r="D1229">
        <v>2008</v>
      </c>
      <c r="E1229">
        <f>car_price_prediction_[[#This Row],[Engine Size]]/10</f>
        <v>2.5</v>
      </c>
      <c r="F1229">
        <v>25</v>
      </c>
      <c r="G1229" s="1" t="s">
        <v>29</v>
      </c>
      <c r="H1229" s="1" t="s">
        <v>22</v>
      </c>
      <c r="I1229" s="12">
        <f>car_price_prediction_[[#This Row],[Mileage]]/1000</f>
        <v>87.686999999999998</v>
      </c>
      <c r="J1229" s="5">
        <v>87687</v>
      </c>
      <c r="K1229" s="1" t="s">
        <v>13</v>
      </c>
      <c r="L1229" s="5">
        <f>car_price_prediction_[[#This Row],[Price]]/100</f>
        <v>72475.92</v>
      </c>
      <c r="M1229">
        <v>7247592</v>
      </c>
      <c r="N1229" s="1" t="s">
        <v>34</v>
      </c>
      <c r="O1229" s="1">
        <f>IF(IFERROR(VLOOKUP(car_price_prediction_[[#This Row],[Car ID]],A1230:A3729,1,FALSE),0),1,0)</f>
        <v>0</v>
      </c>
    </row>
    <row r="1230" spans="1:15" x14ac:dyDescent="0.25">
      <c r="A1230">
        <v>1229</v>
      </c>
      <c r="B1230" s="1" t="s">
        <v>43</v>
      </c>
      <c r="C1230" s="1">
        <f>car_price_prediction_[[#This Row],[Year2]]</f>
        <v>2003</v>
      </c>
      <c r="D1230">
        <v>2003</v>
      </c>
      <c r="E1230">
        <f>car_price_prediction_[[#This Row],[Engine Size]]/10</f>
        <v>1.7</v>
      </c>
      <c r="F1230">
        <v>17</v>
      </c>
      <c r="G1230" s="1" t="s">
        <v>16</v>
      </c>
      <c r="H1230" s="1" t="s">
        <v>12</v>
      </c>
      <c r="I1230" s="12">
        <f>car_price_prediction_[[#This Row],[Mileage]]/1000</f>
        <v>102.652</v>
      </c>
      <c r="J1230" s="5">
        <v>102652</v>
      </c>
      <c r="K1230" s="1" t="s">
        <v>17</v>
      </c>
      <c r="L1230" s="5">
        <f>car_price_prediction_[[#This Row],[Price]]/100</f>
        <v>69401.539999999994</v>
      </c>
      <c r="M1230">
        <v>6940154</v>
      </c>
      <c r="N1230" s="1" t="s">
        <v>50</v>
      </c>
      <c r="O1230" s="1">
        <f>IF(IFERROR(VLOOKUP(car_price_prediction_[[#This Row],[Car ID]],A1231:A3730,1,FALSE),0),1,0)</f>
        <v>0</v>
      </c>
    </row>
    <row r="1231" spans="1:15" x14ac:dyDescent="0.25">
      <c r="A1231">
        <v>1230</v>
      </c>
      <c r="B1231" s="1" t="s">
        <v>36</v>
      </c>
      <c r="C1231" s="1">
        <f>car_price_prediction_[[#This Row],[Year2]]</f>
        <v>2003</v>
      </c>
      <c r="D1231">
        <v>2003</v>
      </c>
      <c r="E1231">
        <f>car_price_prediction_[[#This Row],[Engine Size]]/10</f>
        <v>1.8</v>
      </c>
      <c r="F1231">
        <v>18</v>
      </c>
      <c r="G1231" s="1" t="s">
        <v>21</v>
      </c>
      <c r="H1231" s="1" t="s">
        <v>22</v>
      </c>
      <c r="I1231" s="12">
        <f>car_price_prediction_[[#This Row],[Mileage]]/1000</f>
        <v>55.773000000000003</v>
      </c>
      <c r="J1231" s="5">
        <v>55773</v>
      </c>
      <c r="K1231" s="1" t="s">
        <v>13</v>
      </c>
      <c r="L1231" s="5">
        <f>car_price_prediction_[[#This Row],[Price]]/100</f>
        <v>3857.01</v>
      </c>
      <c r="M1231">
        <v>385701</v>
      </c>
      <c r="N1231" s="1" t="s">
        <v>40</v>
      </c>
      <c r="O1231" s="1">
        <f>IF(IFERROR(VLOOKUP(car_price_prediction_[[#This Row],[Car ID]],A1232:A3731,1,FALSE),0),1,0)</f>
        <v>0</v>
      </c>
    </row>
    <row r="1232" spans="1:15" x14ac:dyDescent="0.25">
      <c r="A1232">
        <v>1231</v>
      </c>
      <c r="B1232" s="1" t="s">
        <v>30</v>
      </c>
      <c r="C1232" s="1">
        <f>car_price_prediction_[[#This Row],[Year2]]</f>
        <v>2007</v>
      </c>
      <c r="D1232">
        <v>2007</v>
      </c>
      <c r="E1232">
        <f>car_price_prediction_[[#This Row],[Engine Size]]/10</f>
        <v>3.2</v>
      </c>
      <c r="F1232">
        <v>32</v>
      </c>
      <c r="G1232" s="1" t="s">
        <v>29</v>
      </c>
      <c r="H1232" s="1" t="s">
        <v>12</v>
      </c>
      <c r="I1232" s="12">
        <f>car_price_prediction_[[#This Row],[Mileage]]/1000</f>
        <v>202.66800000000001</v>
      </c>
      <c r="J1232" s="5">
        <v>202668</v>
      </c>
      <c r="K1232" s="1" t="s">
        <v>25</v>
      </c>
      <c r="L1232" s="5">
        <f>car_price_prediction_[[#This Row],[Price]]/100</f>
        <v>81817.759999999995</v>
      </c>
      <c r="M1232">
        <v>8181776</v>
      </c>
      <c r="N1232" s="1" t="s">
        <v>45</v>
      </c>
      <c r="O1232" s="1">
        <f>IF(IFERROR(VLOOKUP(car_price_prediction_[[#This Row],[Car ID]],A1233:A3732,1,FALSE),0),1,0)</f>
        <v>0</v>
      </c>
    </row>
    <row r="1233" spans="1:15" x14ac:dyDescent="0.25">
      <c r="A1233">
        <v>1232</v>
      </c>
      <c r="B1233" s="1" t="s">
        <v>30</v>
      </c>
      <c r="C1233" s="1">
        <f>car_price_prediction_[[#This Row],[Year2]]</f>
        <v>2001</v>
      </c>
      <c r="D1233">
        <v>2001</v>
      </c>
      <c r="E1233">
        <f>car_price_prediction_[[#This Row],[Engine Size]]/10</f>
        <v>4</v>
      </c>
      <c r="F1233">
        <v>40</v>
      </c>
      <c r="G1233" s="1" t="s">
        <v>21</v>
      </c>
      <c r="H1233" s="1" t="s">
        <v>12</v>
      </c>
      <c r="I1233" s="12">
        <f>car_price_prediction_[[#This Row],[Mileage]]/1000</f>
        <v>27.584</v>
      </c>
      <c r="J1233" s="5">
        <v>27584</v>
      </c>
      <c r="K1233" s="1" t="s">
        <v>25</v>
      </c>
      <c r="L1233" s="5">
        <f>car_price_prediction_[[#This Row],[Price]]/100</f>
        <v>27404.42</v>
      </c>
      <c r="M1233">
        <v>2740442</v>
      </c>
      <c r="N1233" s="1" t="s">
        <v>45</v>
      </c>
      <c r="O1233" s="1">
        <f>IF(IFERROR(VLOOKUP(car_price_prediction_[[#This Row],[Car ID]],A1234:A3733,1,FALSE),0),1,0)</f>
        <v>0</v>
      </c>
    </row>
    <row r="1234" spans="1:15" x14ac:dyDescent="0.25">
      <c r="A1234">
        <v>1233</v>
      </c>
      <c r="B1234" s="1" t="s">
        <v>19</v>
      </c>
      <c r="C1234" s="1">
        <f>car_price_prediction_[[#This Row],[Year2]]</f>
        <v>2008</v>
      </c>
      <c r="D1234">
        <v>2008</v>
      </c>
      <c r="E1234">
        <f>car_price_prediction_[[#This Row],[Engine Size]]/10</f>
        <v>1.4</v>
      </c>
      <c r="F1234">
        <v>14</v>
      </c>
      <c r="G1234" s="1" t="s">
        <v>29</v>
      </c>
      <c r="H1234" s="1" t="s">
        <v>22</v>
      </c>
      <c r="I1234" s="12">
        <f>car_price_prediction_[[#This Row],[Mileage]]/1000</f>
        <v>244.90100000000001</v>
      </c>
      <c r="J1234" s="5">
        <v>244901</v>
      </c>
      <c r="K1234" s="1" t="s">
        <v>13</v>
      </c>
      <c r="L1234" s="5">
        <f>car_price_prediction_[[#This Row],[Price]]/100</f>
        <v>4882.07</v>
      </c>
      <c r="M1234">
        <v>488207</v>
      </c>
      <c r="N1234" s="1" t="s">
        <v>20</v>
      </c>
      <c r="O1234" s="1">
        <f>IF(IFERROR(VLOOKUP(car_price_prediction_[[#This Row],[Car ID]],A1235:A3734,1,FALSE),0),1,0)</f>
        <v>0</v>
      </c>
    </row>
    <row r="1235" spans="1:15" x14ac:dyDescent="0.25">
      <c r="A1235">
        <v>1234</v>
      </c>
      <c r="B1235" s="1" t="s">
        <v>10</v>
      </c>
      <c r="C1235" s="1">
        <f>car_price_prediction_[[#This Row],[Year2]]</f>
        <v>2013</v>
      </c>
      <c r="D1235">
        <v>2013</v>
      </c>
      <c r="E1235">
        <f>car_price_prediction_[[#This Row],[Engine Size]]/10</f>
        <v>5.7</v>
      </c>
      <c r="F1235">
        <v>57</v>
      </c>
      <c r="G1235" s="1" t="s">
        <v>21</v>
      </c>
      <c r="H1235" s="1" t="s">
        <v>12</v>
      </c>
      <c r="I1235" s="12">
        <f>car_price_prediction_[[#This Row],[Mileage]]/1000</f>
        <v>265.48200000000003</v>
      </c>
      <c r="J1235" s="5">
        <v>265482</v>
      </c>
      <c r="K1235" s="1" t="s">
        <v>17</v>
      </c>
      <c r="L1235" s="5">
        <f>car_price_prediction_[[#This Row],[Price]]/100</f>
        <v>49890.41</v>
      </c>
      <c r="M1235">
        <v>4989041</v>
      </c>
      <c r="N1235" s="1" t="s">
        <v>49</v>
      </c>
      <c r="O1235" s="1">
        <f>IF(IFERROR(VLOOKUP(car_price_prediction_[[#This Row],[Car ID]],A1236:A3735,1,FALSE),0),1,0)</f>
        <v>0</v>
      </c>
    </row>
    <row r="1236" spans="1:15" x14ac:dyDescent="0.25">
      <c r="A1236">
        <v>1235</v>
      </c>
      <c r="B1236" s="1" t="s">
        <v>30</v>
      </c>
      <c r="C1236" s="1">
        <f>car_price_prediction_[[#This Row],[Year2]]</f>
        <v>2021</v>
      </c>
      <c r="D1236">
        <v>2021</v>
      </c>
      <c r="E1236">
        <f>car_price_prediction_[[#This Row],[Engine Size]]/10</f>
        <v>4.8</v>
      </c>
      <c r="F1236">
        <v>48</v>
      </c>
      <c r="G1236" s="1" t="s">
        <v>11</v>
      </c>
      <c r="H1236" s="1" t="s">
        <v>12</v>
      </c>
      <c r="I1236" s="12">
        <f>car_price_prediction_[[#This Row],[Mileage]]/1000</f>
        <v>62.600999999999999</v>
      </c>
      <c r="J1236" s="5">
        <v>62601</v>
      </c>
      <c r="K1236" s="1" t="s">
        <v>13</v>
      </c>
      <c r="L1236" s="5">
        <f>car_price_prediction_[[#This Row],[Price]]/100</f>
        <v>37377.589999999997</v>
      </c>
      <c r="M1236">
        <v>3737759</v>
      </c>
      <c r="N1236" s="1" t="s">
        <v>48</v>
      </c>
      <c r="O1236" s="1">
        <f>IF(IFERROR(VLOOKUP(car_price_prediction_[[#This Row],[Car ID]],A1237:A3736,1,FALSE),0),1,0)</f>
        <v>0</v>
      </c>
    </row>
    <row r="1237" spans="1:15" x14ac:dyDescent="0.25">
      <c r="A1237">
        <v>1236</v>
      </c>
      <c r="B1237" s="1" t="s">
        <v>15</v>
      </c>
      <c r="C1237" s="1">
        <f>car_price_prediction_[[#This Row],[Year2]]</f>
        <v>2008</v>
      </c>
      <c r="D1237">
        <v>2008</v>
      </c>
      <c r="E1237">
        <f>car_price_prediction_[[#This Row],[Engine Size]]/10</f>
        <v>3.9</v>
      </c>
      <c r="F1237">
        <v>39</v>
      </c>
      <c r="G1237" s="1" t="s">
        <v>29</v>
      </c>
      <c r="H1237" s="1" t="s">
        <v>12</v>
      </c>
      <c r="I1237" s="12">
        <f>car_price_prediction_[[#This Row],[Mileage]]/1000</f>
        <v>136.559</v>
      </c>
      <c r="J1237" s="5">
        <v>136559</v>
      </c>
      <c r="K1237" s="1" t="s">
        <v>17</v>
      </c>
      <c r="L1237" s="5">
        <f>car_price_prediction_[[#This Row],[Price]]/100</f>
        <v>95693.28</v>
      </c>
      <c r="M1237">
        <v>9569328</v>
      </c>
      <c r="N1237" s="1" t="s">
        <v>18</v>
      </c>
      <c r="O1237" s="1">
        <f>IF(IFERROR(VLOOKUP(car_price_prediction_[[#This Row],[Car ID]],A1238:A3737,1,FALSE),0),1,0)</f>
        <v>0</v>
      </c>
    </row>
    <row r="1238" spans="1:15" x14ac:dyDescent="0.25">
      <c r="A1238">
        <v>1237</v>
      </c>
      <c r="B1238" s="1" t="s">
        <v>30</v>
      </c>
      <c r="C1238" s="1">
        <f>car_price_prediction_[[#This Row],[Year2]]</f>
        <v>2023</v>
      </c>
      <c r="D1238">
        <v>2023</v>
      </c>
      <c r="E1238">
        <f>car_price_prediction_[[#This Row],[Engine Size]]/10</f>
        <v>5.0999999999999996</v>
      </c>
      <c r="F1238">
        <v>51</v>
      </c>
      <c r="G1238" s="1" t="s">
        <v>21</v>
      </c>
      <c r="H1238" s="1" t="s">
        <v>12</v>
      </c>
      <c r="I1238" s="12">
        <f>car_price_prediction_[[#This Row],[Mileage]]/1000</f>
        <v>36.281999999999996</v>
      </c>
      <c r="J1238" s="5">
        <v>36282</v>
      </c>
      <c r="K1238" s="1" t="s">
        <v>25</v>
      </c>
      <c r="L1238" s="5">
        <f>car_price_prediction_[[#This Row],[Price]]/100</f>
        <v>71184.98</v>
      </c>
      <c r="M1238">
        <v>7118498</v>
      </c>
      <c r="N1238" s="1" t="s">
        <v>31</v>
      </c>
      <c r="O1238" s="1">
        <f>IF(IFERROR(VLOOKUP(car_price_prediction_[[#This Row],[Car ID]],A1239:A3738,1,FALSE),0),1,0)</f>
        <v>0</v>
      </c>
    </row>
    <row r="1239" spans="1:15" x14ac:dyDescent="0.25">
      <c r="A1239">
        <v>1238</v>
      </c>
      <c r="B1239" s="1" t="s">
        <v>19</v>
      </c>
      <c r="C1239" s="1">
        <f>car_price_prediction_[[#This Row],[Year2]]</f>
        <v>2022</v>
      </c>
      <c r="D1239">
        <v>2022</v>
      </c>
      <c r="E1239">
        <f>car_price_prediction_[[#This Row],[Engine Size]]/10</f>
        <v>1.4</v>
      </c>
      <c r="F1239">
        <v>14</v>
      </c>
      <c r="G1239" s="1" t="s">
        <v>21</v>
      </c>
      <c r="H1239" s="1" t="s">
        <v>12</v>
      </c>
      <c r="I1239" s="12">
        <f>car_price_prediction_[[#This Row],[Mileage]]/1000</f>
        <v>226.137</v>
      </c>
      <c r="J1239" s="5">
        <v>226137</v>
      </c>
      <c r="K1239" s="1" t="s">
        <v>13</v>
      </c>
      <c r="L1239" s="5">
        <f>car_price_prediction_[[#This Row],[Price]]/100</f>
        <v>56223.94</v>
      </c>
      <c r="M1239">
        <v>5622394</v>
      </c>
      <c r="N1239" s="1" t="s">
        <v>28</v>
      </c>
      <c r="O1239" s="1">
        <f>IF(IFERROR(VLOOKUP(car_price_prediction_[[#This Row],[Car ID]],A1240:A3739,1,FALSE),0),1,0)</f>
        <v>0</v>
      </c>
    </row>
    <row r="1240" spans="1:15" x14ac:dyDescent="0.25">
      <c r="A1240">
        <v>1239</v>
      </c>
      <c r="B1240" s="1" t="s">
        <v>30</v>
      </c>
      <c r="C1240" s="1">
        <f>car_price_prediction_[[#This Row],[Year2]]</f>
        <v>2015</v>
      </c>
      <c r="D1240">
        <v>2015</v>
      </c>
      <c r="E1240">
        <f>car_price_prediction_[[#This Row],[Engine Size]]/10</f>
        <v>3.4</v>
      </c>
      <c r="F1240">
        <v>34</v>
      </c>
      <c r="G1240" s="1" t="s">
        <v>16</v>
      </c>
      <c r="H1240" s="1" t="s">
        <v>12</v>
      </c>
      <c r="I1240" s="12">
        <f>car_price_prediction_[[#This Row],[Mileage]]/1000</f>
        <v>95.798000000000002</v>
      </c>
      <c r="J1240" s="5">
        <v>95798</v>
      </c>
      <c r="K1240" s="1" t="s">
        <v>25</v>
      </c>
      <c r="L1240" s="5">
        <f>car_price_prediction_[[#This Row],[Price]]/100</f>
        <v>53498.93</v>
      </c>
      <c r="M1240">
        <v>5349893</v>
      </c>
      <c r="N1240" s="1" t="s">
        <v>45</v>
      </c>
      <c r="O1240" s="1">
        <f>IF(IFERROR(VLOOKUP(car_price_prediction_[[#This Row],[Car ID]],A1241:A3740,1,FALSE),0),1,0)</f>
        <v>0</v>
      </c>
    </row>
    <row r="1241" spans="1:15" x14ac:dyDescent="0.25">
      <c r="A1241">
        <v>1240</v>
      </c>
      <c r="B1241" s="1" t="s">
        <v>15</v>
      </c>
      <c r="C1241" s="1">
        <f>car_price_prediction_[[#This Row],[Year2]]</f>
        <v>2016</v>
      </c>
      <c r="D1241">
        <v>2016</v>
      </c>
      <c r="E1241">
        <f>car_price_prediction_[[#This Row],[Engine Size]]/10</f>
        <v>4.2</v>
      </c>
      <c r="F1241">
        <v>42</v>
      </c>
      <c r="G1241" s="1" t="s">
        <v>29</v>
      </c>
      <c r="H1241" s="1" t="s">
        <v>12</v>
      </c>
      <c r="I1241" s="12">
        <f>car_price_prediction_[[#This Row],[Mileage]]/1000</f>
        <v>130.96299999999999</v>
      </c>
      <c r="J1241" s="5">
        <v>130963</v>
      </c>
      <c r="K1241" s="1" t="s">
        <v>17</v>
      </c>
      <c r="L1241" s="5">
        <f>car_price_prediction_[[#This Row],[Price]]/100</f>
        <v>20133.13</v>
      </c>
      <c r="M1241">
        <v>2013313</v>
      </c>
      <c r="N1241" s="1" t="s">
        <v>39</v>
      </c>
      <c r="O1241" s="1">
        <f>IF(IFERROR(VLOOKUP(car_price_prediction_[[#This Row],[Car ID]],A1242:A3741,1,FALSE),0),1,0)</f>
        <v>0</v>
      </c>
    </row>
    <row r="1242" spans="1:15" x14ac:dyDescent="0.25">
      <c r="A1242">
        <v>1241</v>
      </c>
      <c r="B1242" s="1" t="s">
        <v>43</v>
      </c>
      <c r="C1242" s="1">
        <f>car_price_prediction_[[#This Row],[Year2]]</f>
        <v>2015</v>
      </c>
      <c r="D1242">
        <v>2015</v>
      </c>
      <c r="E1242">
        <f>car_price_prediction_[[#This Row],[Engine Size]]/10</f>
        <v>5.0999999999999996</v>
      </c>
      <c r="F1242">
        <v>51</v>
      </c>
      <c r="G1242" s="1" t="s">
        <v>21</v>
      </c>
      <c r="H1242" s="1" t="s">
        <v>12</v>
      </c>
      <c r="I1242" s="12">
        <f>car_price_prediction_[[#This Row],[Mileage]]/1000</f>
        <v>159.876</v>
      </c>
      <c r="J1242" s="5">
        <v>159876</v>
      </c>
      <c r="K1242" s="1" t="s">
        <v>17</v>
      </c>
      <c r="L1242" s="5">
        <f>car_price_prediction_[[#This Row],[Price]]/100</f>
        <v>40357.760000000002</v>
      </c>
      <c r="M1242">
        <v>4035776</v>
      </c>
      <c r="N1242" s="1" t="s">
        <v>52</v>
      </c>
      <c r="O1242" s="1">
        <f>IF(IFERROR(VLOOKUP(car_price_prediction_[[#This Row],[Car ID]],A1243:A3742,1,FALSE),0),1,0)</f>
        <v>0</v>
      </c>
    </row>
    <row r="1243" spans="1:15" x14ac:dyDescent="0.25">
      <c r="A1243">
        <v>1242</v>
      </c>
      <c r="B1243" s="1" t="s">
        <v>10</v>
      </c>
      <c r="C1243" s="1">
        <f>car_price_prediction_[[#This Row],[Year2]]</f>
        <v>2011</v>
      </c>
      <c r="D1243">
        <v>2011</v>
      </c>
      <c r="E1243">
        <f>car_price_prediction_[[#This Row],[Engine Size]]/10</f>
        <v>4.9000000000000004</v>
      </c>
      <c r="F1243">
        <v>49</v>
      </c>
      <c r="G1243" s="1" t="s">
        <v>16</v>
      </c>
      <c r="H1243" s="1" t="s">
        <v>22</v>
      </c>
      <c r="I1243" s="12">
        <f>car_price_prediction_[[#This Row],[Mileage]]/1000</f>
        <v>140.98699999999999</v>
      </c>
      <c r="J1243" s="5">
        <v>140987</v>
      </c>
      <c r="K1243" s="1" t="s">
        <v>13</v>
      </c>
      <c r="L1243" s="5">
        <f>car_price_prediction_[[#This Row],[Price]]/100</f>
        <v>68913.460000000006</v>
      </c>
      <c r="M1243">
        <v>6891346</v>
      </c>
      <c r="N1243" s="1" t="s">
        <v>23</v>
      </c>
      <c r="O1243" s="1">
        <f>IF(IFERROR(VLOOKUP(car_price_prediction_[[#This Row],[Car ID]],A1244:A3743,1,FALSE),0),1,0)</f>
        <v>0</v>
      </c>
    </row>
    <row r="1244" spans="1:15" x14ac:dyDescent="0.25">
      <c r="A1244">
        <v>1243</v>
      </c>
      <c r="B1244" s="1" t="s">
        <v>19</v>
      </c>
      <c r="C1244" s="1">
        <f>car_price_prediction_[[#This Row],[Year2]]</f>
        <v>2002</v>
      </c>
      <c r="D1244">
        <v>2002</v>
      </c>
      <c r="E1244">
        <f>car_price_prediction_[[#This Row],[Engine Size]]/10</f>
        <v>2.4</v>
      </c>
      <c r="F1244">
        <v>24</v>
      </c>
      <c r="G1244" s="1" t="s">
        <v>21</v>
      </c>
      <c r="H1244" s="1" t="s">
        <v>12</v>
      </c>
      <c r="I1244" s="12">
        <f>car_price_prediction_[[#This Row],[Mileage]]/1000</f>
        <v>273.30200000000002</v>
      </c>
      <c r="J1244" s="5">
        <v>273302</v>
      </c>
      <c r="K1244" s="1" t="s">
        <v>13</v>
      </c>
      <c r="L1244" s="5">
        <f>car_price_prediction_[[#This Row],[Price]]/100</f>
        <v>92834.17</v>
      </c>
      <c r="M1244">
        <v>9283417</v>
      </c>
      <c r="N1244" s="1" t="s">
        <v>20</v>
      </c>
      <c r="O1244" s="1">
        <f>IF(IFERROR(VLOOKUP(car_price_prediction_[[#This Row],[Car ID]],A1245:A3744,1,FALSE),0),1,0)</f>
        <v>0</v>
      </c>
    </row>
    <row r="1245" spans="1:15" x14ac:dyDescent="0.25">
      <c r="A1245">
        <v>1244</v>
      </c>
      <c r="B1245" s="1" t="s">
        <v>43</v>
      </c>
      <c r="C1245" s="1">
        <f>car_price_prediction_[[#This Row],[Year2]]</f>
        <v>2010</v>
      </c>
      <c r="D1245">
        <v>2010</v>
      </c>
      <c r="E1245">
        <f>car_price_prediction_[[#This Row],[Engine Size]]/10</f>
        <v>5.7</v>
      </c>
      <c r="F1245">
        <v>57</v>
      </c>
      <c r="G1245" s="1" t="s">
        <v>29</v>
      </c>
      <c r="H1245" s="1" t="s">
        <v>12</v>
      </c>
      <c r="I1245" s="12">
        <f>car_price_prediction_[[#This Row],[Mileage]]/1000</f>
        <v>205.22900000000001</v>
      </c>
      <c r="J1245" s="5">
        <v>205229</v>
      </c>
      <c r="K1245" s="1" t="s">
        <v>13</v>
      </c>
      <c r="L1245" s="5">
        <f>car_price_prediction_[[#This Row],[Price]]/100</f>
        <v>82564.09</v>
      </c>
      <c r="M1245">
        <v>8256409</v>
      </c>
      <c r="N1245" s="1" t="s">
        <v>50</v>
      </c>
      <c r="O1245" s="1">
        <f>IF(IFERROR(VLOOKUP(car_price_prediction_[[#This Row],[Car ID]],A1246:A3745,1,FALSE),0),1,0)</f>
        <v>0</v>
      </c>
    </row>
    <row r="1246" spans="1:15" x14ac:dyDescent="0.25">
      <c r="A1246">
        <v>1245</v>
      </c>
      <c r="B1246" s="1" t="s">
        <v>43</v>
      </c>
      <c r="C1246" s="1">
        <f>car_price_prediction_[[#This Row],[Year2]]</f>
        <v>2013</v>
      </c>
      <c r="D1246">
        <v>2013</v>
      </c>
      <c r="E1246">
        <f>car_price_prediction_[[#This Row],[Engine Size]]/10</f>
        <v>1.6</v>
      </c>
      <c r="F1246">
        <v>16</v>
      </c>
      <c r="G1246" s="1" t="s">
        <v>11</v>
      </c>
      <c r="H1246" s="1" t="s">
        <v>22</v>
      </c>
      <c r="I1246" s="12">
        <f>car_price_prediction_[[#This Row],[Mileage]]/1000</f>
        <v>10.547000000000001</v>
      </c>
      <c r="J1246" s="5">
        <v>10547</v>
      </c>
      <c r="K1246" s="1" t="s">
        <v>25</v>
      </c>
      <c r="L1246" s="5">
        <f>car_price_prediction_[[#This Row],[Price]]/100</f>
        <v>33537.03</v>
      </c>
      <c r="M1246">
        <v>3353703</v>
      </c>
      <c r="N1246" s="1" t="s">
        <v>44</v>
      </c>
      <c r="O1246" s="1">
        <f>IF(IFERROR(VLOOKUP(car_price_prediction_[[#This Row],[Car ID]],A1247:A3746,1,FALSE),0),1,0)</f>
        <v>0</v>
      </c>
    </row>
    <row r="1247" spans="1:15" x14ac:dyDescent="0.25">
      <c r="A1247">
        <v>1246</v>
      </c>
      <c r="B1247" s="1" t="s">
        <v>43</v>
      </c>
      <c r="C1247" s="1">
        <f>car_price_prediction_[[#This Row],[Year2]]</f>
        <v>2017</v>
      </c>
      <c r="D1247">
        <v>2017</v>
      </c>
      <c r="E1247">
        <f>car_price_prediction_[[#This Row],[Engine Size]]/10</f>
        <v>5.4</v>
      </c>
      <c r="F1247">
        <v>54</v>
      </c>
      <c r="G1247" s="1" t="s">
        <v>29</v>
      </c>
      <c r="H1247" s="1" t="s">
        <v>22</v>
      </c>
      <c r="I1247" s="12">
        <f>car_price_prediction_[[#This Row],[Mileage]]/1000</f>
        <v>264.60300000000001</v>
      </c>
      <c r="J1247" s="5">
        <v>264603</v>
      </c>
      <c r="K1247" s="1" t="s">
        <v>17</v>
      </c>
      <c r="L1247" s="5">
        <f>car_price_prediction_[[#This Row],[Price]]/100</f>
        <v>46225.88</v>
      </c>
      <c r="M1247">
        <v>4622588</v>
      </c>
      <c r="N1247" s="1" t="s">
        <v>44</v>
      </c>
      <c r="O1247" s="1">
        <f>IF(IFERROR(VLOOKUP(car_price_prediction_[[#This Row],[Car ID]],A1248:A3747,1,FALSE),0),1,0)</f>
        <v>0</v>
      </c>
    </row>
    <row r="1248" spans="1:15" x14ac:dyDescent="0.25">
      <c r="A1248">
        <v>1247</v>
      </c>
      <c r="B1248" s="1" t="s">
        <v>24</v>
      </c>
      <c r="C1248" s="1">
        <f>car_price_prediction_[[#This Row],[Year2]]</f>
        <v>2020</v>
      </c>
      <c r="D1248">
        <v>2020</v>
      </c>
      <c r="E1248">
        <f>car_price_prediction_[[#This Row],[Engine Size]]/10</f>
        <v>5.9</v>
      </c>
      <c r="F1248">
        <v>59</v>
      </c>
      <c r="G1248" s="1" t="s">
        <v>29</v>
      </c>
      <c r="H1248" s="1" t="s">
        <v>22</v>
      </c>
      <c r="I1248" s="12">
        <f>car_price_prediction_[[#This Row],[Mileage]]/1000</f>
        <v>63.146000000000001</v>
      </c>
      <c r="J1248" s="5">
        <v>63146</v>
      </c>
      <c r="K1248" s="1" t="s">
        <v>17</v>
      </c>
      <c r="L1248" s="5">
        <f>car_price_prediction_[[#This Row],[Price]]/100</f>
        <v>12877.16</v>
      </c>
      <c r="M1248">
        <v>1287716</v>
      </c>
      <c r="N1248" s="1" t="s">
        <v>34</v>
      </c>
      <c r="O1248" s="1">
        <f>IF(IFERROR(VLOOKUP(car_price_prediction_[[#This Row],[Car ID]],A1249:A3748,1,FALSE),0),1,0)</f>
        <v>0</v>
      </c>
    </row>
    <row r="1249" spans="1:15" x14ac:dyDescent="0.25">
      <c r="A1249">
        <v>1248</v>
      </c>
      <c r="B1249" s="1" t="s">
        <v>10</v>
      </c>
      <c r="C1249" s="1">
        <f>car_price_prediction_[[#This Row],[Year2]]</f>
        <v>2020</v>
      </c>
      <c r="D1249">
        <v>2020</v>
      </c>
      <c r="E1249">
        <f>car_price_prediction_[[#This Row],[Engine Size]]/10</f>
        <v>1.9</v>
      </c>
      <c r="F1249">
        <v>19</v>
      </c>
      <c r="G1249" s="1" t="s">
        <v>21</v>
      </c>
      <c r="H1249" s="1" t="s">
        <v>12</v>
      </c>
      <c r="I1249" s="12">
        <f>car_price_prediction_[[#This Row],[Mileage]]/1000</f>
        <v>107.761</v>
      </c>
      <c r="J1249" s="5">
        <v>107761</v>
      </c>
      <c r="K1249" s="1" t="s">
        <v>25</v>
      </c>
      <c r="L1249" s="5">
        <f>car_price_prediction_[[#This Row],[Price]]/100</f>
        <v>14706.37</v>
      </c>
      <c r="M1249">
        <v>1470637</v>
      </c>
      <c r="N1249" s="1" t="s">
        <v>33</v>
      </c>
      <c r="O1249" s="1">
        <f>IF(IFERROR(VLOOKUP(car_price_prediction_[[#This Row],[Car ID]],A1250:A3749,1,FALSE),0),1,0)</f>
        <v>0</v>
      </c>
    </row>
    <row r="1250" spans="1:15" x14ac:dyDescent="0.25">
      <c r="A1250">
        <v>1249</v>
      </c>
      <c r="B1250" s="1" t="s">
        <v>36</v>
      </c>
      <c r="C1250" s="1">
        <f>car_price_prediction_[[#This Row],[Year2]]</f>
        <v>2004</v>
      </c>
      <c r="D1250">
        <v>2004</v>
      </c>
      <c r="E1250">
        <f>car_price_prediction_[[#This Row],[Engine Size]]/10</f>
        <v>4.5999999999999996</v>
      </c>
      <c r="F1250">
        <v>46</v>
      </c>
      <c r="G1250" s="1" t="s">
        <v>21</v>
      </c>
      <c r="H1250" s="1" t="s">
        <v>22</v>
      </c>
      <c r="I1250" s="12">
        <f>car_price_prediction_[[#This Row],[Mileage]]/1000</f>
        <v>82.97</v>
      </c>
      <c r="J1250" s="5">
        <v>82970</v>
      </c>
      <c r="K1250" s="1" t="s">
        <v>13</v>
      </c>
      <c r="L1250" s="5">
        <f>car_price_prediction_[[#This Row],[Price]]/100</f>
        <v>49671.89</v>
      </c>
      <c r="M1250">
        <v>4967189</v>
      </c>
      <c r="N1250" s="1" t="s">
        <v>46</v>
      </c>
      <c r="O1250" s="1">
        <f>IF(IFERROR(VLOOKUP(car_price_prediction_[[#This Row],[Car ID]],A1251:A3750,1,FALSE),0),1,0)</f>
        <v>0</v>
      </c>
    </row>
    <row r="1251" spans="1:15" x14ac:dyDescent="0.25">
      <c r="A1251">
        <v>1250</v>
      </c>
      <c r="B1251" s="1" t="s">
        <v>10</v>
      </c>
      <c r="C1251" s="1">
        <f>car_price_prediction_[[#This Row],[Year2]]</f>
        <v>2015</v>
      </c>
      <c r="D1251">
        <v>2015</v>
      </c>
      <c r="E1251">
        <f>car_price_prediction_[[#This Row],[Engine Size]]/10</f>
        <v>1.2</v>
      </c>
      <c r="F1251">
        <v>12</v>
      </c>
      <c r="G1251" s="1" t="s">
        <v>29</v>
      </c>
      <c r="H1251" s="1" t="s">
        <v>22</v>
      </c>
      <c r="I1251" s="12">
        <f>car_price_prediction_[[#This Row],[Mileage]]/1000</f>
        <v>191.88900000000001</v>
      </c>
      <c r="J1251" s="5">
        <v>191889</v>
      </c>
      <c r="K1251" s="1" t="s">
        <v>13</v>
      </c>
      <c r="L1251" s="5">
        <f>car_price_prediction_[[#This Row],[Price]]/100</f>
        <v>55370.84</v>
      </c>
      <c r="M1251">
        <v>5537084</v>
      </c>
      <c r="N1251" s="1" t="s">
        <v>14</v>
      </c>
      <c r="O1251" s="1">
        <f>IF(IFERROR(VLOOKUP(car_price_prediction_[[#This Row],[Car ID]],A1252:A3751,1,FALSE),0),1,0)</f>
        <v>0</v>
      </c>
    </row>
    <row r="1252" spans="1:15" x14ac:dyDescent="0.25">
      <c r="A1252">
        <v>1251</v>
      </c>
      <c r="B1252" s="1" t="s">
        <v>24</v>
      </c>
      <c r="C1252" s="1">
        <f>car_price_prediction_[[#This Row],[Year2]]</f>
        <v>2019</v>
      </c>
      <c r="D1252">
        <v>2019</v>
      </c>
      <c r="E1252">
        <f>car_price_prediction_[[#This Row],[Engine Size]]/10</f>
        <v>3</v>
      </c>
      <c r="F1252">
        <v>30</v>
      </c>
      <c r="G1252" s="1" t="s">
        <v>16</v>
      </c>
      <c r="H1252" s="1" t="s">
        <v>12</v>
      </c>
      <c r="I1252" s="12">
        <f>car_price_prediction_[[#This Row],[Mileage]]/1000</f>
        <v>169.31899999999999</v>
      </c>
      <c r="J1252" s="5">
        <v>169319</v>
      </c>
      <c r="K1252" s="1" t="s">
        <v>25</v>
      </c>
      <c r="L1252" s="5">
        <f>car_price_prediction_[[#This Row],[Price]]/100</f>
        <v>30082.57</v>
      </c>
      <c r="M1252">
        <v>3008257</v>
      </c>
      <c r="N1252" s="1" t="s">
        <v>26</v>
      </c>
      <c r="O1252" s="1">
        <f>IF(IFERROR(VLOOKUP(car_price_prediction_[[#This Row],[Car ID]],A1253:A3752,1,FALSE),0),1,0)</f>
        <v>0</v>
      </c>
    </row>
    <row r="1253" spans="1:15" x14ac:dyDescent="0.25">
      <c r="A1253">
        <v>1252</v>
      </c>
      <c r="B1253" s="1" t="s">
        <v>36</v>
      </c>
      <c r="C1253" s="1">
        <f>car_price_prediction_[[#This Row],[Year2]]</f>
        <v>2004</v>
      </c>
      <c r="D1253">
        <v>2004</v>
      </c>
      <c r="E1253">
        <f>car_price_prediction_[[#This Row],[Engine Size]]/10</f>
        <v>3.6</v>
      </c>
      <c r="F1253">
        <v>36</v>
      </c>
      <c r="G1253" s="1" t="s">
        <v>16</v>
      </c>
      <c r="H1253" s="1" t="s">
        <v>12</v>
      </c>
      <c r="I1253" s="12">
        <f>car_price_prediction_[[#This Row],[Mileage]]/1000</f>
        <v>15.419</v>
      </c>
      <c r="J1253" s="5">
        <v>15419</v>
      </c>
      <c r="K1253" s="1" t="s">
        <v>17</v>
      </c>
      <c r="L1253" s="5">
        <f>car_price_prediction_[[#This Row],[Price]]/100</f>
        <v>66064.36</v>
      </c>
      <c r="M1253">
        <v>6606436</v>
      </c>
      <c r="N1253" s="1" t="s">
        <v>37</v>
      </c>
      <c r="O1253" s="1">
        <f>IF(IFERROR(VLOOKUP(car_price_prediction_[[#This Row],[Car ID]],A1254:A3753,1,FALSE),0),1,0)</f>
        <v>0</v>
      </c>
    </row>
    <row r="1254" spans="1:15" x14ac:dyDescent="0.25">
      <c r="A1254">
        <v>1253</v>
      </c>
      <c r="B1254" s="1" t="s">
        <v>10</v>
      </c>
      <c r="C1254" s="1">
        <f>car_price_prediction_[[#This Row],[Year2]]</f>
        <v>2002</v>
      </c>
      <c r="D1254">
        <v>2002</v>
      </c>
      <c r="E1254">
        <f>car_price_prediction_[[#This Row],[Engine Size]]/10</f>
        <v>3.9</v>
      </c>
      <c r="F1254">
        <v>39</v>
      </c>
      <c r="G1254" s="1" t="s">
        <v>16</v>
      </c>
      <c r="H1254" s="1" t="s">
        <v>22</v>
      </c>
      <c r="I1254" s="12">
        <f>car_price_prediction_[[#This Row],[Mileage]]/1000</f>
        <v>35.576999999999998</v>
      </c>
      <c r="J1254" s="5">
        <v>35577</v>
      </c>
      <c r="K1254" s="1" t="s">
        <v>17</v>
      </c>
      <c r="L1254" s="5">
        <f>car_price_prediction_[[#This Row],[Price]]/100</f>
        <v>71821.17</v>
      </c>
      <c r="M1254">
        <v>7182117</v>
      </c>
      <c r="N1254" s="1" t="s">
        <v>49</v>
      </c>
      <c r="O1254" s="1">
        <f>IF(IFERROR(VLOOKUP(car_price_prediction_[[#This Row],[Car ID]],A1255:A3754,1,FALSE),0),1,0)</f>
        <v>0</v>
      </c>
    </row>
    <row r="1255" spans="1:15" x14ac:dyDescent="0.25">
      <c r="A1255">
        <v>1254</v>
      </c>
      <c r="B1255" s="1" t="s">
        <v>43</v>
      </c>
      <c r="C1255" s="1">
        <f>car_price_prediction_[[#This Row],[Year2]]</f>
        <v>2011</v>
      </c>
      <c r="D1255">
        <v>2011</v>
      </c>
      <c r="E1255">
        <f>car_price_prediction_[[#This Row],[Engine Size]]/10</f>
        <v>5.7</v>
      </c>
      <c r="F1255">
        <v>57</v>
      </c>
      <c r="G1255" s="1" t="s">
        <v>21</v>
      </c>
      <c r="H1255" s="1" t="s">
        <v>22</v>
      </c>
      <c r="I1255" s="12">
        <f>car_price_prediction_[[#This Row],[Mileage]]/1000</f>
        <v>2.9209999999999998</v>
      </c>
      <c r="J1255" s="5">
        <v>2921</v>
      </c>
      <c r="K1255" s="1" t="s">
        <v>17</v>
      </c>
      <c r="L1255" s="5">
        <f>car_price_prediction_[[#This Row],[Price]]/100</f>
        <v>33416.03</v>
      </c>
      <c r="M1255">
        <v>3341603</v>
      </c>
      <c r="N1255" s="1" t="s">
        <v>50</v>
      </c>
      <c r="O1255" s="1">
        <f>IF(IFERROR(VLOOKUP(car_price_prediction_[[#This Row],[Car ID]],A1256:A3755,1,FALSE),0),1,0)</f>
        <v>0</v>
      </c>
    </row>
    <row r="1256" spans="1:15" x14ac:dyDescent="0.25">
      <c r="A1256">
        <v>1255</v>
      </c>
      <c r="B1256" s="1" t="s">
        <v>19</v>
      </c>
      <c r="C1256" s="1">
        <f>car_price_prediction_[[#This Row],[Year2]]</f>
        <v>2000</v>
      </c>
      <c r="D1256">
        <v>2000</v>
      </c>
      <c r="E1256">
        <f>car_price_prediction_[[#This Row],[Engine Size]]/10</f>
        <v>4.4000000000000004</v>
      </c>
      <c r="F1256">
        <v>44</v>
      </c>
      <c r="G1256" s="1" t="s">
        <v>21</v>
      </c>
      <c r="H1256" s="1" t="s">
        <v>12</v>
      </c>
      <c r="I1256" s="12">
        <f>car_price_prediction_[[#This Row],[Mileage]]/1000</f>
        <v>144.535</v>
      </c>
      <c r="J1256" s="5">
        <v>144535</v>
      </c>
      <c r="K1256" s="1" t="s">
        <v>17</v>
      </c>
      <c r="L1256" s="5">
        <f>car_price_prediction_[[#This Row],[Price]]/100</f>
        <v>77050.350000000006</v>
      </c>
      <c r="M1256">
        <v>7705035</v>
      </c>
      <c r="N1256" s="1" t="s">
        <v>38</v>
      </c>
      <c r="O1256" s="1">
        <f>IF(IFERROR(VLOOKUP(car_price_prediction_[[#This Row],[Car ID]],A1257:A3756,1,FALSE),0),1,0)</f>
        <v>0</v>
      </c>
    </row>
    <row r="1257" spans="1:15" x14ac:dyDescent="0.25">
      <c r="A1257">
        <v>1256</v>
      </c>
      <c r="B1257" s="1" t="s">
        <v>36</v>
      </c>
      <c r="C1257" s="1">
        <f>car_price_prediction_[[#This Row],[Year2]]</f>
        <v>2020</v>
      </c>
      <c r="D1257">
        <v>2020</v>
      </c>
      <c r="E1257">
        <f>car_price_prediction_[[#This Row],[Engine Size]]/10</f>
        <v>3.4</v>
      </c>
      <c r="F1257">
        <v>34</v>
      </c>
      <c r="G1257" s="1" t="s">
        <v>29</v>
      </c>
      <c r="H1257" s="1" t="s">
        <v>12</v>
      </c>
      <c r="I1257" s="12">
        <f>car_price_prediction_[[#This Row],[Mileage]]/1000</f>
        <v>156.54599999999999</v>
      </c>
      <c r="J1257" s="5">
        <v>156546</v>
      </c>
      <c r="K1257" s="1" t="s">
        <v>25</v>
      </c>
      <c r="L1257" s="5">
        <f>car_price_prediction_[[#This Row],[Price]]/100</f>
        <v>24532.47</v>
      </c>
      <c r="M1257">
        <v>2453247</v>
      </c>
      <c r="N1257" s="1" t="s">
        <v>46</v>
      </c>
      <c r="O1257" s="1">
        <f>IF(IFERROR(VLOOKUP(car_price_prediction_[[#This Row],[Car ID]],A1258:A3757,1,FALSE),0),1,0)</f>
        <v>0</v>
      </c>
    </row>
    <row r="1258" spans="1:15" x14ac:dyDescent="0.25">
      <c r="A1258">
        <v>1257</v>
      </c>
      <c r="B1258" s="1" t="s">
        <v>15</v>
      </c>
      <c r="C1258" s="1">
        <f>car_price_prediction_[[#This Row],[Year2]]</f>
        <v>2008</v>
      </c>
      <c r="D1258">
        <v>2008</v>
      </c>
      <c r="E1258">
        <f>car_price_prediction_[[#This Row],[Engine Size]]/10</f>
        <v>5</v>
      </c>
      <c r="F1258">
        <v>50</v>
      </c>
      <c r="G1258" s="1" t="s">
        <v>11</v>
      </c>
      <c r="H1258" s="1" t="s">
        <v>12</v>
      </c>
      <c r="I1258" s="12">
        <f>car_price_prediction_[[#This Row],[Mileage]]/1000</f>
        <v>125.53400000000001</v>
      </c>
      <c r="J1258" s="5">
        <v>125534</v>
      </c>
      <c r="K1258" s="1" t="s">
        <v>17</v>
      </c>
      <c r="L1258" s="5">
        <f>car_price_prediction_[[#This Row],[Price]]/100</f>
        <v>56703.88</v>
      </c>
      <c r="M1258">
        <v>5670388</v>
      </c>
      <c r="N1258" s="1" t="s">
        <v>39</v>
      </c>
      <c r="O1258" s="1">
        <f>IF(IFERROR(VLOOKUP(car_price_prediction_[[#This Row],[Car ID]],A1259:A3758,1,FALSE),0),1,0)</f>
        <v>0</v>
      </c>
    </row>
    <row r="1259" spans="1:15" x14ac:dyDescent="0.25">
      <c r="A1259">
        <v>1258</v>
      </c>
      <c r="B1259" s="1" t="s">
        <v>15</v>
      </c>
      <c r="C1259" s="1">
        <f>car_price_prediction_[[#This Row],[Year2]]</f>
        <v>2008</v>
      </c>
      <c r="D1259">
        <v>2008</v>
      </c>
      <c r="E1259">
        <f>car_price_prediction_[[#This Row],[Engine Size]]/10</f>
        <v>5.8</v>
      </c>
      <c r="F1259">
        <v>58</v>
      </c>
      <c r="G1259" s="1" t="s">
        <v>21</v>
      </c>
      <c r="H1259" s="1" t="s">
        <v>12</v>
      </c>
      <c r="I1259" s="12">
        <f>car_price_prediction_[[#This Row],[Mileage]]/1000</f>
        <v>256.87200000000001</v>
      </c>
      <c r="J1259" s="5">
        <v>256872</v>
      </c>
      <c r="K1259" s="1" t="s">
        <v>25</v>
      </c>
      <c r="L1259" s="5">
        <f>car_price_prediction_[[#This Row],[Price]]/100</f>
        <v>8140.67</v>
      </c>
      <c r="M1259">
        <v>814067</v>
      </c>
      <c r="N1259" s="1" t="s">
        <v>18</v>
      </c>
      <c r="O1259" s="1">
        <f>IF(IFERROR(VLOOKUP(car_price_prediction_[[#This Row],[Car ID]],A1260:A3759,1,FALSE),0),1,0)</f>
        <v>0</v>
      </c>
    </row>
    <row r="1260" spans="1:15" x14ac:dyDescent="0.25">
      <c r="A1260">
        <v>1259</v>
      </c>
      <c r="B1260" s="1" t="s">
        <v>30</v>
      </c>
      <c r="C1260" s="1">
        <f>car_price_prediction_[[#This Row],[Year2]]</f>
        <v>2003</v>
      </c>
      <c r="D1260">
        <v>2003</v>
      </c>
      <c r="E1260">
        <f>car_price_prediction_[[#This Row],[Engine Size]]/10</f>
        <v>1.1000000000000001</v>
      </c>
      <c r="F1260">
        <v>11</v>
      </c>
      <c r="G1260" s="1" t="s">
        <v>29</v>
      </c>
      <c r="H1260" s="1" t="s">
        <v>12</v>
      </c>
      <c r="I1260" s="12">
        <f>car_price_prediction_[[#This Row],[Mileage]]/1000</f>
        <v>72.828000000000003</v>
      </c>
      <c r="J1260" s="5">
        <v>72828</v>
      </c>
      <c r="K1260" s="1" t="s">
        <v>13</v>
      </c>
      <c r="L1260" s="5">
        <f>car_price_prediction_[[#This Row],[Price]]/100</f>
        <v>56015.86</v>
      </c>
      <c r="M1260">
        <v>5601586</v>
      </c>
      <c r="N1260" s="1" t="s">
        <v>31</v>
      </c>
      <c r="O1260" s="1">
        <f>IF(IFERROR(VLOOKUP(car_price_prediction_[[#This Row],[Car ID]],A1261:A3760,1,FALSE),0),1,0)</f>
        <v>0</v>
      </c>
    </row>
    <row r="1261" spans="1:15" x14ac:dyDescent="0.25">
      <c r="A1261">
        <v>1260</v>
      </c>
      <c r="B1261" s="1" t="s">
        <v>36</v>
      </c>
      <c r="C1261" s="1">
        <f>car_price_prediction_[[#This Row],[Year2]]</f>
        <v>2002</v>
      </c>
      <c r="D1261">
        <v>2002</v>
      </c>
      <c r="E1261">
        <f>car_price_prediction_[[#This Row],[Engine Size]]/10</f>
        <v>5.9</v>
      </c>
      <c r="F1261">
        <v>59</v>
      </c>
      <c r="G1261" s="1" t="s">
        <v>29</v>
      </c>
      <c r="H1261" s="1" t="s">
        <v>22</v>
      </c>
      <c r="I1261" s="12">
        <f>car_price_prediction_[[#This Row],[Mileage]]/1000</f>
        <v>123.649</v>
      </c>
      <c r="J1261" s="5">
        <v>123649</v>
      </c>
      <c r="K1261" s="1" t="s">
        <v>25</v>
      </c>
      <c r="L1261" s="5">
        <f>car_price_prediction_[[#This Row],[Price]]/100</f>
        <v>91256.46</v>
      </c>
      <c r="M1261">
        <v>9125646</v>
      </c>
      <c r="N1261" s="1" t="s">
        <v>37</v>
      </c>
      <c r="O1261" s="1">
        <f>IF(IFERROR(VLOOKUP(car_price_prediction_[[#This Row],[Car ID]],A1262:A3761,1,FALSE),0),1,0)</f>
        <v>0</v>
      </c>
    </row>
    <row r="1262" spans="1:15" x14ac:dyDescent="0.25">
      <c r="A1262">
        <v>1261</v>
      </c>
      <c r="B1262" s="1" t="s">
        <v>19</v>
      </c>
      <c r="C1262" s="1">
        <f>car_price_prediction_[[#This Row],[Year2]]</f>
        <v>2016</v>
      </c>
      <c r="D1262">
        <v>2016</v>
      </c>
      <c r="E1262">
        <f>car_price_prediction_[[#This Row],[Engine Size]]/10</f>
        <v>1.4</v>
      </c>
      <c r="F1262">
        <v>14</v>
      </c>
      <c r="G1262" s="1" t="s">
        <v>11</v>
      </c>
      <c r="H1262" s="1" t="s">
        <v>12</v>
      </c>
      <c r="I1262" s="12">
        <f>car_price_prediction_[[#This Row],[Mileage]]/1000</f>
        <v>55.152000000000001</v>
      </c>
      <c r="J1262" s="5">
        <v>55152</v>
      </c>
      <c r="K1262" s="1" t="s">
        <v>17</v>
      </c>
      <c r="L1262" s="5">
        <f>car_price_prediction_[[#This Row],[Price]]/100</f>
        <v>10557.62</v>
      </c>
      <c r="M1262">
        <v>1055762</v>
      </c>
      <c r="N1262" s="1" t="s">
        <v>28</v>
      </c>
      <c r="O1262" s="1">
        <f>IF(IFERROR(VLOOKUP(car_price_prediction_[[#This Row],[Car ID]],A1263:A3762,1,FALSE),0),1,0)</f>
        <v>0</v>
      </c>
    </row>
    <row r="1263" spans="1:15" x14ac:dyDescent="0.25">
      <c r="A1263">
        <v>1262</v>
      </c>
      <c r="B1263" s="1" t="s">
        <v>24</v>
      </c>
      <c r="C1263" s="1">
        <f>car_price_prediction_[[#This Row],[Year2]]</f>
        <v>2001</v>
      </c>
      <c r="D1263">
        <v>2001</v>
      </c>
      <c r="E1263">
        <f>car_price_prediction_[[#This Row],[Engine Size]]/10</f>
        <v>5.0999999999999996</v>
      </c>
      <c r="F1263">
        <v>51</v>
      </c>
      <c r="G1263" s="1" t="s">
        <v>16</v>
      </c>
      <c r="H1263" s="1" t="s">
        <v>12</v>
      </c>
      <c r="I1263" s="12">
        <f>car_price_prediction_[[#This Row],[Mileage]]/1000</f>
        <v>220.07300000000001</v>
      </c>
      <c r="J1263" s="5">
        <v>220073</v>
      </c>
      <c r="K1263" s="1" t="s">
        <v>13</v>
      </c>
      <c r="L1263" s="5">
        <f>car_price_prediction_[[#This Row],[Price]]/100</f>
        <v>60889.82</v>
      </c>
      <c r="M1263">
        <v>6088982</v>
      </c>
      <c r="N1263" s="1" t="s">
        <v>34</v>
      </c>
      <c r="O1263" s="1">
        <f>IF(IFERROR(VLOOKUP(car_price_prediction_[[#This Row],[Car ID]],A1264:A3763,1,FALSE),0),1,0)</f>
        <v>0</v>
      </c>
    </row>
    <row r="1264" spans="1:15" x14ac:dyDescent="0.25">
      <c r="A1264">
        <v>1263</v>
      </c>
      <c r="B1264" s="1" t="s">
        <v>43</v>
      </c>
      <c r="C1264" s="1">
        <f>car_price_prediction_[[#This Row],[Year2]]</f>
        <v>2023</v>
      </c>
      <c r="D1264">
        <v>2023</v>
      </c>
      <c r="E1264">
        <f>car_price_prediction_[[#This Row],[Engine Size]]/10</f>
        <v>2.4</v>
      </c>
      <c r="F1264">
        <v>24</v>
      </c>
      <c r="G1264" s="1" t="s">
        <v>29</v>
      </c>
      <c r="H1264" s="1" t="s">
        <v>12</v>
      </c>
      <c r="I1264" s="12">
        <f>car_price_prediction_[[#This Row],[Mileage]]/1000</f>
        <v>223.393</v>
      </c>
      <c r="J1264" s="5">
        <v>223393</v>
      </c>
      <c r="K1264" s="1" t="s">
        <v>25</v>
      </c>
      <c r="L1264" s="5">
        <f>car_price_prediction_[[#This Row],[Price]]/100</f>
        <v>58366.77</v>
      </c>
      <c r="M1264">
        <v>5836677</v>
      </c>
      <c r="N1264" s="1" t="s">
        <v>44</v>
      </c>
      <c r="O1264" s="1">
        <f>IF(IFERROR(VLOOKUP(car_price_prediction_[[#This Row],[Car ID]],A1265:A3764,1,FALSE),0),1,0)</f>
        <v>0</v>
      </c>
    </row>
    <row r="1265" spans="1:15" x14ac:dyDescent="0.25">
      <c r="A1265">
        <v>1264</v>
      </c>
      <c r="B1265" s="1" t="s">
        <v>30</v>
      </c>
      <c r="C1265" s="1">
        <f>car_price_prediction_[[#This Row],[Year2]]</f>
        <v>2000</v>
      </c>
      <c r="D1265">
        <v>2000</v>
      </c>
      <c r="E1265">
        <f>car_price_prediction_[[#This Row],[Engine Size]]/10</f>
        <v>1.7</v>
      </c>
      <c r="F1265">
        <v>17</v>
      </c>
      <c r="G1265" s="1" t="s">
        <v>29</v>
      </c>
      <c r="H1265" s="1" t="s">
        <v>12</v>
      </c>
      <c r="I1265" s="12">
        <f>car_price_prediction_[[#This Row],[Mileage]]/1000</f>
        <v>86.569000000000003</v>
      </c>
      <c r="J1265" s="5">
        <v>86569</v>
      </c>
      <c r="K1265" s="1" t="s">
        <v>25</v>
      </c>
      <c r="L1265" s="5">
        <f>car_price_prediction_[[#This Row],[Price]]/100</f>
        <v>67733.570000000007</v>
      </c>
      <c r="M1265">
        <v>6773357</v>
      </c>
      <c r="N1265" s="1" t="s">
        <v>42</v>
      </c>
      <c r="O1265" s="1">
        <f>IF(IFERROR(VLOOKUP(car_price_prediction_[[#This Row],[Car ID]],A1266:A3765,1,FALSE),0),1,0)</f>
        <v>0</v>
      </c>
    </row>
    <row r="1266" spans="1:15" x14ac:dyDescent="0.25">
      <c r="A1266">
        <v>1265</v>
      </c>
      <c r="B1266" s="1" t="s">
        <v>15</v>
      </c>
      <c r="C1266" s="1">
        <f>car_price_prediction_[[#This Row],[Year2]]</f>
        <v>2007</v>
      </c>
      <c r="D1266">
        <v>2007</v>
      </c>
      <c r="E1266">
        <f>car_price_prediction_[[#This Row],[Engine Size]]/10</f>
        <v>3.2</v>
      </c>
      <c r="F1266">
        <v>32</v>
      </c>
      <c r="G1266" s="1" t="s">
        <v>29</v>
      </c>
      <c r="H1266" s="1" t="s">
        <v>12</v>
      </c>
      <c r="I1266" s="12">
        <f>car_price_prediction_[[#This Row],[Mileage]]/1000</f>
        <v>156.84399999999999</v>
      </c>
      <c r="J1266" s="5">
        <v>156844</v>
      </c>
      <c r="K1266" s="1" t="s">
        <v>25</v>
      </c>
      <c r="L1266" s="5">
        <f>car_price_prediction_[[#This Row],[Price]]/100</f>
        <v>84173.65</v>
      </c>
      <c r="M1266">
        <v>8417365</v>
      </c>
      <c r="N1266" s="1" t="s">
        <v>51</v>
      </c>
      <c r="O1266" s="1">
        <f>IF(IFERROR(VLOOKUP(car_price_prediction_[[#This Row],[Car ID]],A1267:A3766,1,FALSE),0),1,0)</f>
        <v>0</v>
      </c>
    </row>
    <row r="1267" spans="1:15" x14ac:dyDescent="0.25">
      <c r="A1267">
        <v>1266</v>
      </c>
      <c r="B1267" s="1" t="s">
        <v>24</v>
      </c>
      <c r="C1267" s="1">
        <f>car_price_prediction_[[#This Row],[Year2]]</f>
        <v>2012</v>
      </c>
      <c r="D1267">
        <v>2012</v>
      </c>
      <c r="E1267">
        <f>car_price_prediction_[[#This Row],[Engine Size]]/10</f>
        <v>4.2</v>
      </c>
      <c r="F1267">
        <v>42</v>
      </c>
      <c r="G1267" s="1" t="s">
        <v>16</v>
      </c>
      <c r="H1267" s="1" t="s">
        <v>22</v>
      </c>
      <c r="I1267" s="12">
        <f>car_price_prediction_[[#This Row],[Mileage]]/1000</f>
        <v>159.56200000000001</v>
      </c>
      <c r="J1267" s="5">
        <v>159562</v>
      </c>
      <c r="K1267" s="1" t="s">
        <v>13</v>
      </c>
      <c r="L1267" s="5">
        <f>car_price_prediction_[[#This Row],[Price]]/100</f>
        <v>73956.039999999994</v>
      </c>
      <c r="M1267">
        <v>7395604</v>
      </c>
      <c r="N1267" s="1" t="s">
        <v>53</v>
      </c>
      <c r="O1267" s="1">
        <f>IF(IFERROR(VLOOKUP(car_price_prediction_[[#This Row],[Car ID]],A1268:A3767,1,FALSE),0),1,0)</f>
        <v>0</v>
      </c>
    </row>
    <row r="1268" spans="1:15" x14ac:dyDescent="0.25">
      <c r="A1268">
        <v>1267</v>
      </c>
      <c r="B1268" s="1" t="s">
        <v>24</v>
      </c>
      <c r="C1268" s="1">
        <f>car_price_prediction_[[#This Row],[Year2]]</f>
        <v>2022</v>
      </c>
      <c r="D1268">
        <v>2022</v>
      </c>
      <c r="E1268">
        <f>car_price_prediction_[[#This Row],[Engine Size]]/10</f>
        <v>2.9</v>
      </c>
      <c r="F1268">
        <v>29</v>
      </c>
      <c r="G1268" s="1" t="s">
        <v>16</v>
      </c>
      <c r="H1268" s="1" t="s">
        <v>12</v>
      </c>
      <c r="I1268" s="12">
        <f>car_price_prediction_[[#This Row],[Mileage]]/1000</f>
        <v>122.53700000000001</v>
      </c>
      <c r="J1268" s="5">
        <v>122537</v>
      </c>
      <c r="K1268" s="1" t="s">
        <v>25</v>
      </c>
      <c r="L1268" s="5">
        <f>car_price_prediction_[[#This Row],[Price]]/100</f>
        <v>80076.86</v>
      </c>
      <c r="M1268">
        <v>8007686</v>
      </c>
      <c r="N1268" s="1" t="s">
        <v>26</v>
      </c>
      <c r="O1268" s="1">
        <f>IF(IFERROR(VLOOKUP(car_price_prediction_[[#This Row],[Car ID]],A1269:A3768,1,FALSE),0),1,0)</f>
        <v>0</v>
      </c>
    </row>
    <row r="1269" spans="1:15" x14ac:dyDescent="0.25">
      <c r="A1269">
        <v>1268</v>
      </c>
      <c r="B1269" s="1" t="s">
        <v>43</v>
      </c>
      <c r="C1269" s="1">
        <f>car_price_prediction_[[#This Row],[Year2]]</f>
        <v>2014</v>
      </c>
      <c r="D1269">
        <v>2014</v>
      </c>
      <c r="E1269">
        <f>car_price_prediction_[[#This Row],[Engine Size]]/10</f>
        <v>1.3</v>
      </c>
      <c r="F1269">
        <v>13</v>
      </c>
      <c r="G1269" s="1" t="s">
        <v>11</v>
      </c>
      <c r="H1269" s="1" t="s">
        <v>22</v>
      </c>
      <c r="I1269" s="12">
        <f>car_price_prediction_[[#This Row],[Mileage]]/1000</f>
        <v>53.805999999999997</v>
      </c>
      <c r="J1269" s="5">
        <v>53806</v>
      </c>
      <c r="K1269" s="1" t="s">
        <v>17</v>
      </c>
      <c r="L1269" s="5">
        <f>car_price_prediction_[[#This Row],[Price]]/100</f>
        <v>32437.59</v>
      </c>
      <c r="M1269">
        <v>3243759</v>
      </c>
      <c r="N1269" s="1" t="s">
        <v>50</v>
      </c>
      <c r="O1269" s="1">
        <f>IF(IFERROR(VLOOKUP(car_price_prediction_[[#This Row],[Car ID]],A1270:A3769,1,FALSE),0),1,0)</f>
        <v>0</v>
      </c>
    </row>
    <row r="1270" spans="1:15" x14ac:dyDescent="0.25">
      <c r="A1270">
        <v>1269</v>
      </c>
      <c r="B1270" s="1" t="s">
        <v>36</v>
      </c>
      <c r="C1270" s="1">
        <f>car_price_prediction_[[#This Row],[Year2]]</f>
        <v>2007</v>
      </c>
      <c r="D1270">
        <v>2007</v>
      </c>
      <c r="E1270">
        <f>car_price_prediction_[[#This Row],[Engine Size]]/10</f>
        <v>4</v>
      </c>
      <c r="F1270">
        <v>40</v>
      </c>
      <c r="G1270" s="1" t="s">
        <v>21</v>
      </c>
      <c r="H1270" s="1" t="s">
        <v>12</v>
      </c>
      <c r="I1270" s="12">
        <f>car_price_prediction_[[#This Row],[Mileage]]/1000</f>
        <v>75.992000000000004</v>
      </c>
      <c r="J1270" s="5">
        <v>75992</v>
      </c>
      <c r="K1270" s="1" t="s">
        <v>13</v>
      </c>
      <c r="L1270" s="5">
        <f>car_price_prediction_[[#This Row],[Price]]/100</f>
        <v>41812.25</v>
      </c>
      <c r="M1270">
        <v>4181225</v>
      </c>
      <c r="N1270" s="1" t="s">
        <v>46</v>
      </c>
      <c r="O1270" s="1">
        <f>IF(IFERROR(VLOOKUP(car_price_prediction_[[#This Row],[Car ID]],A1271:A3770,1,FALSE),0),1,0)</f>
        <v>0</v>
      </c>
    </row>
    <row r="1271" spans="1:15" x14ac:dyDescent="0.25">
      <c r="A1271">
        <v>1270</v>
      </c>
      <c r="B1271" s="1" t="s">
        <v>15</v>
      </c>
      <c r="C1271" s="1">
        <f>car_price_prediction_[[#This Row],[Year2]]</f>
        <v>2011</v>
      </c>
      <c r="D1271">
        <v>2011</v>
      </c>
      <c r="E1271">
        <f>car_price_prediction_[[#This Row],[Engine Size]]/10</f>
        <v>5.5</v>
      </c>
      <c r="F1271">
        <v>55</v>
      </c>
      <c r="G1271" s="1" t="s">
        <v>16</v>
      </c>
      <c r="H1271" s="1" t="s">
        <v>22</v>
      </c>
      <c r="I1271" s="12">
        <f>car_price_prediction_[[#This Row],[Mileage]]/1000</f>
        <v>284.464</v>
      </c>
      <c r="J1271" s="5">
        <v>284464</v>
      </c>
      <c r="K1271" s="1" t="s">
        <v>13</v>
      </c>
      <c r="L1271" s="5">
        <f>car_price_prediction_[[#This Row],[Price]]/100</f>
        <v>64543.81</v>
      </c>
      <c r="M1271">
        <v>6454381</v>
      </c>
      <c r="N1271" s="1" t="s">
        <v>35</v>
      </c>
      <c r="O1271" s="1">
        <f>IF(IFERROR(VLOOKUP(car_price_prediction_[[#This Row],[Car ID]],A1272:A3771,1,FALSE),0),1,0)</f>
        <v>0</v>
      </c>
    </row>
    <row r="1272" spans="1:15" x14ac:dyDescent="0.25">
      <c r="A1272">
        <v>1271</v>
      </c>
      <c r="B1272" s="1" t="s">
        <v>19</v>
      </c>
      <c r="C1272" s="1">
        <f>car_price_prediction_[[#This Row],[Year2]]</f>
        <v>2021</v>
      </c>
      <c r="D1272">
        <v>2021</v>
      </c>
      <c r="E1272">
        <f>car_price_prediction_[[#This Row],[Engine Size]]/10</f>
        <v>2.9</v>
      </c>
      <c r="F1272">
        <v>29</v>
      </c>
      <c r="G1272" s="1" t="s">
        <v>21</v>
      </c>
      <c r="H1272" s="1" t="s">
        <v>22</v>
      </c>
      <c r="I1272" s="12">
        <f>car_price_prediction_[[#This Row],[Mileage]]/1000</f>
        <v>258.85199999999998</v>
      </c>
      <c r="J1272" s="5">
        <v>258852</v>
      </c>
      <c r="K1272" s="1" t="s">
        <v>25</v>
      </c>
      <c r="L1272" s="5">
        <f>car_price_prediction_[[#This Row],[Price]]/100</f>
        <v>57578.84</v>
      </c>
      <c r="M1272">
        <v>5757884</v>
      </c>
      <c r="N1272" s="1" t="s">
        <v>20</v>
      </c>
      <c r="O1272" s="1">
        <f>IF(IFERROR(VLOOKUP(car_price_prediction_[[#This Row],[Car ID]],A1273:A3772,1,FALSE),0),1,0)</f>
        <v>0</v>
      </c>
    </row>
    <row r="1273" spans="1:15" x14ac:dyDescent="0.25">
      <c r="A1273">
        <v>1272</v>
      </c>
      <c r="B1273" s="1" t="s">
        <v>24</v>
      </c>
      <c r="C1273" s="1">
        <f>car_price_prediction_[[#This Row],[Year2]]</f>
        <v>2011</v>
      </c>
      <c r="D1273">
        <v>2011</v>
      </c>
      <c r="E1273">
        <f>car_price_prediction_[[#This Row],[Engine Size]]/10</f>
        <v>2.1</v>
      </c>
      <c r="F1273">
        <v>21</v>
      </c>
      <c r="G1273" s="1" t="s">
        <v>21</v>
      </c>
      <c r="H1273" s="1" t="s">
        <v>12</v>
      </c>
      <c r="I1273" s="12">
        <f>car_price_prediction_[[#This Row],[Mileage]]/1000</f>
        <v>173.21700000000001</v>
      </c>
      <c r="J1273" s="5">
        <v>173217</v>
      </c>
      <c r="K1273" s="1" t="s">
        <v>17</v>
      </c>
      <c r="L1273" s="5">
        <f>car_price_prediction_[[#This Row],[Price]]/100</f>
        <v>96304.87</v>
      </c>
      <c r="M1273">
        <v>9630487</v>
      </c>
      <c r="N1273" s="1" t="s">
        <v>34</v>
      </c>
      <c r="O1273" s="1">
        <f>IF(IFERROR(VLOOKUP(car_price_prediction_[[#This Row],[Car ID]],A1274:A3773,1,FALSE),0),1,0)</f>
        <v>0</v>
      </c>
    </row>
    <row r="1274" spans="1:15" x14ac:dyDescent="0.25">
      <c r="A1274">
        <v>1273</v>
      </c>
      <c r="B1274" s="1" t="s">
        <v>43</v>
      </c>
      <c r="C1274" s="1">
        <f>car_price_prediction_[[#This Row],[Year2]]</f>
        <v>2013</v>
      </c>
      <c r="D1274">
        <v>2013</v>
      </c>
      <c r="E1274">
        <f>car_price_prediction_[[#This Row],[Engine Size]]/10</f>
        <v>3.2</v>
      </c>
      <c r="F1274">
        <v>32</v>
      </c>
      <c r="G1274" s="1" t="s">
        <v>16</v>
      </c>
      <c r="H1274" s="1" t="s">
        <v>12</v>
      </c>
      <c r="I1274" s="12">
        <f>car_price_prediction_[[#This Row],[Mileage]]/1000</f>
        <v>194.76</v>
      </c>
      <c r="J1274" s="5">
        <v>194760</v>
      </c>
      <c r="K1274" s="1" t="s">
        <v>13</v>
      </c>
      <c r="L1274" s="5">
        <f>car_price_prediction_[[#This Row],[Price]]/100</f>
        <v>22749.279999999999</v>
      </c>
      <c r="M1274">
        <v>2274928</v>
      </c>
      <c r="N1274" s="1" t="s">
        <v>50</v>
      </c>
      <c r="O1274" s="1">
        <f>IF(IFERROR(VLOOKUP(car_price_prediction_[[#This Row],[Car ID]],A1275:A3774,1,FALSE),0),1,0)</f>
        <v>0</v>
      </c>
    </row>
    <row r="1275" spans="1:15" x14ac:dyDescent="0.25">
      <c r="A1275">
        <v>1274</v>
      </c>
      <c r="B1275" s="1" t="s">
        <v>19</v>
      </c>
      <c r="C1275" s="1">
        <f>car_price_prediction_[[#This Row],[Year2]]</f>
        <v>2014</v>
      </c>
      <c r="D1275">
        <v>2014</v>
      </c>
      <c r="E1275">
        <f>car_price_prediction_[[#This Row],[Engine Size]]/10</f>
        <v>1.2</v>
      </c>
      <c r="F1275">
        <v>12</v>
      </c>
      <c r="G1275" s="1" t="s">
        <v>29</v>
      </c>
      <c r="H1275" s="1" t="s">
        <v>12</v>
      </c>
      <c r="I1275" s="12">
        <f>car_price_prediction_[[#This Row],[Mileage]]/1000</f>
        <v>20.754000000000001</v>
      </c>
      <c r="J1275" s="5">
        <v>20754</v>
      </c>
      <c r="K1275" s="1" t="s">
        <v>25</v>
      </c>
      <c r="L1275" s="5">
        <f>car_price_prediction_[[#This Row],[Price]]/100</f>
        <v>38371.449999999997</v>
      </c>
      <c r="M1275">
        <v>3837145</v>
      </c>
      <c r="N1275" s="1" t="s">
        <v>20</v>
      </c>
      <c r="O1275" s="1">
        <f>IF(IFERROR(VLOOKUP(car_price_prediction_[[#This Row],[Car ID]],A1276:A3775,1,FALSE),0),1,0)</f>
        <v>0</v>
      </c>
    </row>
    <row r="1276" spans="1:15" x14ac:dyDescent="0.25">
      <c r="A1276">
        <v>1275</v>
      </c>
      <c r="B1276" s="1" t="s">
        <v>36</v>
      </c>
      <c r="C1276" s="1">
        <f>car_price_prediction_[[#This Row],[Year2]]</f>
        <v>2014</v>
      </c>
      <c r="D1276">
        <v>2014</v>
      </c>
      <c r="E1276">
        <f>car_price_prediction_[[#This Row],[Engine Size]]/10</f>
        <v>5.0999999999999996</v>
      </c>
      <c r="F1276">
        <v>51</v>
      </c>
      <c r="G1276" s="1" t="s">
        <v>11</v>
      </c>
      <c r="H1276" s="1" t="s">
        <v>12</v>
      </c>
      <c r="I1276" s="12">
        <f>car_price_prediction_[[#This Row],[Mileage]]/1000</f>
        <v>69.837000000000003</v>
      </c>
      <c r="J1276" s="5">
        <v>69837</v>
      </c>
      <c r="K1276" s="1" t="s">
        <v>17</v>
      </c>
      <c r="L1276" s="5">
        <f>car_price_prediction_[[#This Row],[Price]]/100</f>
        <v>59411.75</v>
      </c>
      <c r="M1276">
        <v>5941175</v>
      </c>
      <c r="N1276" s="1" t="s">
        <v>46</v>
      </c>
      <c r="O1276" s="1">
        <f>IF(IFERROR(VLOOKUP(car_price_prediction_[[#This Row],[Car ID]],A1277:A3776,1,FALSE),0),1,0)</f>
        <v>0</v>
      </c>
    </row>
    <row r="1277" spans="1:15" x14ac:dyDescent="0.25">
      <c r="A1277">
        <v>1276</v>
      </c>
      <c r="B1277" s="1" t="s">
        <v>15</v>
      </c>
      <c r="C1277" s="1">
        <f>car_price_prediction_[[#This Row],[Year2]]</f>
        <v>2008</v>
      </c>
      <c r="D1277">
        <v>2008</v>
      </c>
      <c r="E1277">
        <f>car_price_prediction_[[#This Row],[Engine Size]]/10</f>
        <v>5.0999999999999996</v>
      </c>
      <c r="F1277">
        <v>51</v>
      </c>
      <c r="G1277" s="1" t="s">
        <v>21</v>
      </c>
      <c r="H1277" s="1" t="s">
        <v>12</v>
      </c>
      <c r="I1277" s="12">
        <f>car_price_prediction_[[#This Row],[Mileage]]/1000</f>
        <v>138.279</v>
      </c>
      <c r="J1277" s="5">
        <v>138279</v>
      </c>
      <c r="K1277" s="1" t="s">
        <v>25</v>
      </c>
      <c r="L1277" s="5">
        <f>car_price_prediction_[[#This Row],[Price]]/100</f>
        <v>87456.56</v>
      </c>
      <c r="M1277">
        <v>8745656</v>
      </c>
      <c r="N1277" s="1" t="s">
        <v>35</v>
      </c>
      <c r="O1277" s="1">
        <f>IF(IFERROR(VLOOKUP(car_price_prediction_[[#This Row],[Car ID]],A1278:A3777,1,FALSE),0),1,0)</f>
        <v>0</v>
      </c>
    </row>
    <row r="1278" spans="1:15" x14ac:dyDescent="0.25">
      <c r="A1278">
        <v>1277</v>
      </c>
      <c r="B1278" s="1" t="s">
        <v>36</v>
      </c>
      <c r="C1278" s="1">
        <f>car_price_prediction_[[#This Row],[Year2]]</f>
        <v>2018</v>
      </c>
      <c r="D1278">
        <v>2018</v>
      </c>
      <c r="E1278">
        <f>car_price_prediction_[[#This Row],[Engine Size]]/10</f>
        <v>3.9</v>
      </c>
      <c r="F1278">
        <v>39</v>
      </c>
      <c r="G1278" s="1" t="s">
        <v>29</v>
      </c>
      <c r="H1278" s="1" t="s">
        <v>22</v>
      </c>
      <c r="I1278" s="12">
        <f>car_price_prediction_[[#This Row],[Mileage]]/1000</f>
        <v>218.81100000000001</v>
      </c>
      <c r="J1278" s="5">
        <v>218811</v>
      </c>
      <c r="K1278" s="1" t="s">
        <v>25</v>
      </c>
      <c r="L1278" s="5">
        <f>car_price_prediction_[[#This Row],[Price]]/100</f>
        <v>93288.11</v>
      </c>
      <c r="M1278">
        <v>9328811</v>
      </c>
      <c r="N1278" s="1" t="s">
        <v>40</v>
      </c>
      <c r="O1278" s="1">
        <f>IF(IFERROR(VLOOKUP(car_price_prediction_[[#This Row],[Car ID]],A1279:A3778,1,FALSE),0),1,0)</f>
        <v>0</v>
      </c>
    </row>
    <row r="1279" spans="1:15" x14ac:dyDescent="0.25">
      <c r="A1279">
        <v>1278</v>
      </c>
      <c r="B1279" s="1" t="s">
        <v>24</v>
      </c>
      <c r="C1279" s="1">
        <f>car_price_prediction_[[#This Row],[Year2]]</f>
        <v>2019</v>
      </c>
      <c r="D1279">
        <v>2019</v>
      </c>
      <c r="E1279">
        <f>car_price_prediction_[[#This Row],[Engine Size]]/10</f>
        <v>2.8</v>
      </c>
      <c r="F1279">
        <v>28</v>
      </c>
      <c r="G1279" s="1" t="s">
        <v>16</v>
      </c>
      <c r="H1279" s="1" t="s">
        <v>12</v>
      </c>
      <c r="I1279" s="12">
        <f>car_price_prediction_[[#This Row],[Mileage]]/1000</f>
        <v>114.78</v>
      </c>
      <c r="J1279" s="5">
        <v>114780</v>
      </c>
      <c r="K1279" s="1" t="s">
        <v>13</v>
      </c>
      <c r="L1279" s="5">
        <f>car_price_prediction_[[#This Row],[Price]]/100</f>
        <v>36923.449999999997</v>
      </c>
      <c r="M1279">
        <v>3692345</v>
      </c>
      <c r="N1279" s="1" t="s">
        <v>26</v>
      </c>
      <c r="O1279" s="1">
        <f>IF(IFERROR(VLOOKUP(car_price_prediction_[[#This Row],[Car ID]],A1280:A3779,1,FALSE),0),1,0)</f>
        <v>0</v>
      </c>
    </row>
    <row r="1280" spans="1:15" x14ac:dyDescent="0.25">
      <c r="A1280">
        <v>1279</v>
      </c>
      <c r="B1280" s="1" t="s">
        <v>19</v>
      </c>
      <c r="C1280" s="1">
        <f>car_price_prediction_[[#This Row],[Year2]]</f>
        <v>2021</v>
      </c>
      <c r="D1280">
        <v>2021</v>
      </c>
      <c r="E1280">
        <f>car_price_prediction_[[#This Row],[Engine Size]]/10</f>
        <v>5</v>
      </c>
      <c r="F1280">
        <v>50</v>
      </c>
      <c r="G1280" s="1" t="s">
        <v>21</v>
      </c>
      <c r="H1280" s="1" t="s">
        <v>12</v>
      </c>
      <c r="I1280" s="12">
        <f>car_price_prediction_[[#This Row],[Mileage]]/1000</f>
        <v>87.081000000000003</v>
      </c>
      <c r="J1280" s="5">
        <v>87081</v>
      </c>
      <c r="K1280" s="1" t="s">
        <v>13</v>
      </c>
      <c r="L1280" s="5">
        <f>car_price_prediction_[[#This Row],[Price]]/100</f>
        <v>1137.53</v>
      </c>
      <c r="M1280">
        <v>113753</v>
      </c>
      <c r="N1280" s="1" t="s">
        <v>20</v>
      </c>
      <c r="O1280" s="1">
        <f>IF(IFERROR(VLOOKUP(car_price_prediction_[[#This Row],[Car ID]],A1281:A3780,1,FALSE),0),1,0)</f>
        <v>0</v>
      </c>
    </row>
    <row r="1281" spans="1:15" x14ac:dyDescent="0.25">
      <c r="A1281">
        <v>1280</v>
      </c>
      <c r="B1281" s="1" t="s">
        <v>19</v>
      </c>
      <c r="C1281" s="1">
        <f>car_price_prediction_[[#This Row],[Year2]]</f>
        <v>2007</v>
      </c>
      <c r="D1281">
        <v>2007</v>
      </c>
      <c r="E1281">
        <f>car_price_prediction_[[#This Row],[Engine Size]]/10</f>
        <v>3.8</v>
      </c>
      <c r="F1281">
        <v>38</v>
      </c>
      <c r="G1281" s="1" t="s">
        <v>21</v>
      </c>
      <c r="H1281" s="1" t="s">
        <v>22</v>
      </c>
      <c r="I1281" s="12">
        <f>car_price_prediction_[[#This Row],[Mileage]]/1000</f>
        <v>286.16000000000003</v>
      </c>
      <c r="J1281" s="5">
        <v>286160</v>
      </c>
      <c r="K1281" s="1" t="s">
        <v>25</v>
      </c>
      <c r="L1281" s="5">
        <f>car_price_prediction_[[#This Row],[Price]]/100</f>
        <v>45053.87</v>
      </c>
      <c r="M1281">
        <v>4505387</v>
      </c>
      <c r="N1281" s="1" t="s">
        <v>38</v>
      </c>
      <c r="O1281" s="1">
        <f>IF(IFERROR(VLOOKUP(car_price_prediction_[[#This Row],[Car ID]],A1282:A3781,1,FALSE),0),1,0)</f>
        <v>0</v>
      </c>
    </row>
    <row r="1282" spans="1:15" x14ac:dyDescent="0.25">
      <c r="A1282">
        <v>1281</v>
      </c>
      <c r="B1282" s="1" t="s">
        <v>19</v>
      </c>
      <c r="C1282" s="1">
        <f>car_price_prediction_[[#This Row],[Year2]]</f>
        <v>2020</v>
      </c>
      <c r="D1282">
        <v>2020</v>
      </c>
      <c r="E1282">
        <f>car_price_prediction_[[#This Row],[Engine Size]]/10</f>
        <v>5.0999999999999996</v>
      </c>
      <c r="F1282">
        <v>51</v>
      </c>
      <c r="G1282" s="1" t="s">
        <v>21</v>
      </c>
      <c r="H1282" s="1" t="s">
        <v>12</v>
      </c>
      <c r="I1282" s="12">
        <f>car_price_prediction_[[#This Row],[Mileage]]/1000</f>
        <v>112.099</v>
      </c>
      <c r="J1282" s="5">
        <v>112099</v>
      </c>
      <c r="K1282" s="1" t="s">
        <v>13</v>
      </c>
      <c r="L1282" s="5">
        <f>car_price_prediction_[[#This Row],[Price]]/100</f>
        <v>42462.69</v>
      </c>
      <c r="M1282">
        <v>4246269</v>
      </c>
      <c r="N1282" s="1" t="s">
        <v>28</v>
      </c>
      <c r="O1282" s="1">
        <f>IF(IFERROR(VLOOKUP(car_price_prediction_[[#This Row],[Car ID]],A1283:A3782,1,FALSE),0),1,0)</f>
        <v>0</v>
      </c>
    </row>
    <row r="1283" spans="1:15" x14ac:dyDescent="0.25">
      <c r="A1283">
        <v>1282</v>
      </c>
      <c r="B1283" s="1" t="s">
        <v>24</v>
      </c>
      <c r="C1283" s="1">
        <f>car_price_prediction_[[#This Row],[Year2]]</f>
        <v>2018</v>
      </c>
      <c r="D1283">
        <v>2018</v>
      </c>
      <c r="E1283">
        <f>car_price_prediction_[[#This Row],[Engine Size]]/10</f>
        <v>4.2</v>
      </c>
      <c r="F1283">
        <v>42</v>
      </c>
      <c r="G1283" s="1" t="s">
        <v>29</v>
      </c>
      <c r="H1283" s="1" t="s">
        <v>22</v>
      </c>
      <c r="I1283" s="12">
        <f>car_price_prediction_[[#This Row],[Mileage]]/1000</f>
        <v>151.17400000000001</v>
      </c>
      <c r="J1283" s="5">
        <v>151174</v>
      </c>
      <c r="K1283" s="1" t="s">
        <v>13</v>
      </c>
      <c r="L1283" s="5">
        <f>car_price_prediction_[[#This Row],[Price]]/100</f>
        <v>98716.27</v>
      </c>
      <c r="M1283">
        <v>9871627</v>
      </c>
      <c r="N1283" s="1" t="s">
        <v>32</v>
      </c>
      <c r="O1283" s="1">
        <f>IF(IFERROR(VLOOKUP(car_price_prediction_[[#This Row],[Car ID]],A1284:A3783,1,FALSE),0),1,0)</f>
        <v>0</v>
      </c>
    </row>
    <row r="1284" spans="1:15" x14ac:dyDescent="0.25">
      <c r="A1284">
        <v>1283</v>
      </c>
      <c r="B1284" s="1" t="s">
        <v>24</v>
      </c>
      <c r="C1284" s="1">
        <f>car_price_prediction_[[#This Row],[Year2]]</f>
        <v>2005</v>
      </c>
      <c r="D1284">
        <v>2005</v>
      </c>
      <c r="E1284">
        <f>car_price_prediction_[[#This Row],[Engine Size]]/10</f>
        <v>4.9000000000000004</v>
      </c>
      <c r="F1284">
        <v>49</v>
      </c>
      <c r="G1284" s="1" t="s">
        <v>29</v>
      </c>
      <c r="H1284" s="1" t="s">
        <v>12</v>
      </c>
      <c r="I1284" s="12">
        <f>car_price_prediction_[[#This Row],[Mileage]]/1000</f>
        <v>264.06799999999998</v>
      </c>
      <c r="J1284" s="5">
        <v>264068</v>
      </c>
      <c r="K1284" s="1" t="s">
        <v>17</v>
      </c>
      <c r="L1284" s="5">
        <f>car_price_prediction_[[#This Row],[Price]]/100</f>
        <v>45950.82</v>
      </c>
      <c r="M1284">
        <v>4595082</v>
      </c>
      <c r="N1284" s="1" t="s">
        <v>26</v>
      </c>
      <c r="O1284" s="1">
        <f>IF(IFERROR(VLOOKUP(car_price_prediction_[[#This Row],[Car ID]],A1285:A3784,1,FALSE),0),1,0)</f>
        <v>0</v>
      </c>
    </row>
    <row r="1285" spans="1:15" x14ac:dyDescent="0.25">
      <c r="A1285">
        <v>1284</v>
      </c>
      <c r="B1285" s="1" t="s">
        <v>36</v>
      </c>
      <c r="C1285" s="1">
        <f>car_price_prediction_[[#This Row],[Year2]]</f>
        <v>2019</v>
      </c>
      <c r="D1285">
        <v>2019</v>
      </c>
      <c r="E1285">
        <f>car_price_prediction_[[#This Row],[Engine Size]]/10</f>
        <v>4</v>
      </c>
      <c r="F1285">
        <v>40</v>
      </c>
      <c r="G1285" s="1" t="s">
        <v>29</v>
      </c>
      <c r="H1285" s="1" t="s">
        <v>22</v>
      </c>
      <c r="I1285" s="12">
        <f>car_price_prediction_[[#This Row],[Mileage]]/1000</f>
        <v>85.015000000000001</v>
      </c>
      <c r="J1285" s="5">
        <v>85015</v>
      </c>
      <c r="K1285" s="1" t="s">
        <v>17</v>
      </c>
      <c r="L1285" s="5">
        <f>car_price_prediction_[[#This Row],[Price]]/100</f>
        <v>34043.68</v>
      </c>
      <c r="M1285">
        <v>3404368</v>
      </c>
      <c r="N1285" s="1" t="s">
        <v>46</v>
      </c>
      <c r="O1285" s="1">
        <f>IF(IFERROR(VLOOKUP(car_price_prediction_[[#This Row],[Car ID]],A1286:A3785,1,FALSE),0),1,0)</f>
        <v>0</v>
      </c>
    </row>
    <row r="1286" spans="1:15" x14ac:dyDescent="0.25">
      <c r="A1286">
        <v>1285</v>
      </c>
      <c r="B1286" s="1" t="s">
        <v>30</v>
      </c>
      <c r="C1286" s="1">
        <f>car_price_prediction_[[#This Row],[Year2]]</f>
        <v>2018</v>
      </c>
      <c r="D1286">
        <v>2018</v>
      </c>
      <c r="E1286">
        <f>car_price_prediction_[[#This Row],[Engine Size]]/10</f>
        <v>3.1</v>
      </c>
      <c r="F1286">
        <v>31</v>
      </c>
      <c r="G1286" s="1" t="s">
        <v>21</v>
      </c>
      <c r="H1286" s="1" t="s">
        <v>12</v>
      </c>
      <c r="I1286" s="12">
        <f>car_price_prediction_[[#This Row],[Mileage]]/1000</f>
        <v>104.98699999999999</v>
      </c>
      <c r="J1286" s="5">
        <v>104987</v>
      </c>
      <c r="K1286" s="1" t="s">
        <v>25</v>
      </c>
      <c r="L1286" s="5">
        <f>car_price_prediction_[[#This Row],[Price]]/100</f>
        <v>39710.85</v>
      </c>
      <c r="M1286">
        <v>3971085</v>
      </c>
      <c r="N1286" s="1" t="s">
        <v>45</v>
      </c>
      <c r="O1286" s="1">
        <f>IF(IFERROR(VLOOKUP(car_price_prediction_[[#This Row],[Car ID]],A1287:A3786,1,FALSE),0),1,0)</f>
        <v>0</v>
      </c>
    </row>
    <row r="1287" spans="1:15" x14ac:dyDescent="0.25">
      <c r="A1287">
        <v>1286</v>
      </c>
      <c r="B1287" s="1" t="s">
        <v>36</v>
      </c>
      <c r="C1287" s="1">
        <f>car_price_prediction_[[#This Row],[Year2]]</f>
        <v>2003</v>
      </c>
      <c r="D1287">
        <v>2003</v>
      </c>
      <c r="E1287">
        <f>car_price_prediction_[[#This Row],[Engine Size]]/10</f>
        <v>5.8</v>
      </c>
      <c r="F1287">
        <v>58</v>
      </c>
      <c r="G1287" s="1" t="s">
        <v>21</v>
      </c>
      <c r="H1287" s="1" t="s">
        <v>22</v>
      </c>
      <c r="I1287" s="12">
        <f>car_price_prediction_[[#This Row],[Mileage]]/1000</f>
        <v>54.332999999999998</v>
      </c>
      <c r="J1287" s="5">
        <v>54333</v>
      </c>
      <c r="K1287" s="1" t="s">
        <v>25</v>
      </c>
      <c r="L1287" s="5">
        <f>car_price_prediction_[[#This Row],[Price]]/100</f>
        <v>4270.8</v>
      </c>
      <c r="M1287">
        <v>427080</v>
      </c>
      <c r="N1287" s="1" t="s">
        <v>46</v>
      </c>
      <c r="O1287" s="1">
        <f>IF(IFERROR(VLOOKUP(car_price_prediction_[[#This Row],[Car ID]],A1288:A3787,1,FALSE),0),1,0)</f>
        <v>0</v>
      </c>
    </row>
    <row r="1288" spans="1:15" x14ac:dyDescent="0.25">
      <c r="A1288">
        <v>1287</v>
      </c>
      <c r="B1288" s="1" t="s">
        <v>15</v>
      </c>
      <c r="C1288" s="1">
        <f>car_price_prediction_[[#This Row],[Year2]]</f>
        <v>2022</v>
      </c>
      <c r="D1288">
        <v>2022</v>
      </c>
      <c r="E1288">
        <f>car_price_prediction_[[#This Row],[Engine Size]]/10</f>
        <v>3.7</v>
      </c>
      <c r="F1288">
        <v>37</v>
      </c>
      <c r="G1288" s="1" t="s">
        <v>11</v>
      </c>
      <c r="H1288" s="1" t="s">
        <v>22</v>
      </c>
      <c r="I1288" s="12">
        <f>car_price_prediction_[[#This Row],[Mileage]]/1000</f>
        <v>215.53</v>
      </c>
      <c r="J1288" s="5">
        <v>215530</v>
      </c>
      <c r="K1288" s="1" t="s">
        <v>25</v>
      </c>
      <c r="L1288" s="5">
        <f>car_price_prediction_[[#This Row],[Price]]/100</f>
        <v>83046.34</v>
      </c>
      <c r="M1288">
        <v>8304634</v>
      </c>
      <c r="N1288" s="1" t="s">
        <v>18</v>
      </c>
      <c r="O1288" s="1">
        <f>IF(IFERROR(VLOOKUP(car_price_prediction_[[#This Row],[Car ID]],A1289:A3788,1,FALSE),0),1,0)</f>
        <v>0</v>
      </c>
    </row>
    <row r="1289" spans="1:15" x14ac:dyDescent="0.25">
      <c r="A1289">
        <v>1288</v>
      </c>
      <c r="B1289" s="1" t="s">
        <v>43</v>
      </c>
      <c r="C1289" s="1">
        <f>car_price_prediction_[[#This Row],[Year2]]</f>
        <v>2006</v>
      </c>
      <c r="D1289">
        <v>2006</v>
      </c>
      <c r="E1289">
        <f>car_price_prediction_[[#This Row],[Engine Size]]/10</f>
        <v>4</v>
      </c>
      <c r="F1289">
        <v>40</v>
      </c>
      <c r="G1289" s="1" t="s">
        <v>11</v>
      </c>
      <c r="H1289" s="1" t="s">
        <v>12</v>
      </c>
      <c r="I1289" s="12">
        <f>car_price_prediction_[[#This Row],[Mileage]]/1000</f>
        <v>177.17099999999999</v>
      </c>
      <c r="J1289" s="5">
        <v>177171</v>
      </c>
      <c r="K1289" s="1" t="s">
        <v>25</v>
      </c>
      <c r="L1289" s="5">
        <f>car_price_prediction_[[#This Row],[Price]]/100</f>
        <v>12696.41</v>
      </c>
      <c r="M1289">
        <v>1269641</v>
      </c>
      <c r="N1289" s="1" t="s">
        <v>50</v>
      </c>
      <c r="O1289" s="1">
        <f>IF(IFERROR(VLOOKUP(car_price_prediction_[[#This Row],[Car ID]],A1290:A3789,1,FALSE),0),1,0)</f>
        <v>0</v>
      </c>
    </row>
    <row r="1290" spans="1:15" x14ac:dyDescent="0.25">
      <c r="A1290">
        <v>1289</v>
      </c>
      <c r="B1290" s="1" t="s">
        <v>19</v>
      </c>
      <c r="C1290" s="1">
        <f>car_price_prediction_[[#This Row],[Year2]]</f>
        <v>2003</v>
      </c>
      <c r="D1290">
        <v>2003</v>
      </c>
      <c r="E1290">
        <f>car_price_prediction_[[#This Row],[Engine Size]]/10</f>
        <v>2.1</v>
      </c>
      <c r="F1290">
        <v>21</v>
      </c>
      <c r="G1290" s="1" t="s">
        <v>29</v>
      </c>
      <c r="H1290" s="1" t="s">
        <v>12</v>
      </c>
      <c r="I1290" s="12">
        <f>car_price_prediction_[[#This Row],[Mileage]]/1000</f>
        <v>188.41800000000001</v>
      </c>
      <c r="J1290" s="5">
        <v>188418</v>
      </c>
      <c r="K1290" s="1" t="s">
        <v>17</v>
      </c>
      <c r="L1290" s="5">
        <f>car_price_prediction_[[#This Row],[Price]]/100</f>
        <v>35068.17</v>
      </c>
      <c r="M1290">
        <v>3506817</v>
      </c>
      <c r="N1290" s="1" t="s">
        <v>27</v>
      </c>
      <c r="O1290" s="1">
        <f>IF(IFERROR(VLOOKUP(car_price_prediction_[[#This Row],[Car ID]],A1291:A3790,1,FALSE),0),1,0)</f>
        <v>0</v>
      </c>
    </row>
    <row r="1291" spans="1:15" x14ac:dyDescent="0.25">
      <c r="A1291">
        <v>1290</v>
      </c>
      <c r="B1291" s="1" t="s">
        <v>30</v>
      </c>
      <c r="C1291" s="1">
        <f>car_price_prediction_[[#This Row],[Year2]]</f>
        <v>2021</v>
      </c>
      <c r="D1291">
        <v>2021</v>
      </c>
      <c r="E1291">
        <f>car_price_prediction_[[#This Row],[Engine Size]]/10</f>
        <v>4.0999999999999996</v>
      </c>
      <c r="F1291">
        <v>41</v>
      </c>
      <c r="G1291" s="1" t="s">
        <v>29</v>
      </c>
      <c r="H1291" s="1" t="s">
        <v>12</v>
      </c>
      <c r="I1291" s="12">
        <f>car_price_prediction_[[#This Row],[Mileage]]/1000</f>
        <v>126.372</v>
      </c>
      <c r="J1291" s="5">
        <v>126372</v>
      </c>
      <c r="K1291" s="1" t="s">
        <v>13</v>
      </c>
      <c r="L1291" s="5">
        <f>car_price_prediction_[[#This Row],[Price]]/100</f>
        <v>96800.26</v>
      </c>
      <c r="M1291">
        <v>9680026</v>
      </c>
      <c r="N1291" s="1" t="s">
        <v>31</v>
      </c>
      <c r="O1291" s="1">
        <f>IF(IFERROR(VLOOKUP(car_price_prediction_[[#This Row],[Car ID]],A1292:A3791,1,FALSE),0),1,0)</f>
        <v>0</v>
      </c>
    </row>
    <row r="1292" spans="1:15" x14ac:dyDescent="0.25">
      <c r="A1292">
        <v>1291</v>
      </c>
      <c r="B1292" s="1" t="s">
        <v>43</v>
      </c>
      <c r="C1292" s="1">
        <f>car_price_prediction_[[#This Row],[Year2]]</f>
        <v>2011</v>
      </c>
      <c r="D1292">
        <v>2011</v>
      </c>
      <c r="E1292">
        <f>car_price_prediction_[[#This Row],[Engine Size]]/10</f>
        <v>3.9</v>
      </c>
      <c r="F1292">
        <v>39</v>
      </c>
      <c r="G1292" s="1" t="s">
        <v>16</v>
      </c>
      <c r="H1292" s="1" t="s">
        <v>22</v>
      </c>
      <c r="I1292" s="12">
        <f>car_price_prediction_[[#This Row],[Mileage]]/1000</f>
        <v>206.553</v>
      </c>
      <c r="J1292" s="5">
        <v>206553</v>
      </c>
      <c r="K1292" s="1" t="s">
        <v>17</v>
      </c>
      <c r="L1292" s="5">
        <f>car_price_prediction_[[#This Row],[Price]]/100</f>
        <v>19544.740000000002</v>
      </c>
      <c r="M1292">
        <v>1954474</v>
      </c>
      <c r="N1292" s="1" t="s">
        <v>50</v>
      </c>
      <c r="O1292" s="1">
        <f>IF(IFERROR(VLOOKUP(car_price_prediction_[[#This Row],[Car ID]],A1293:A3792,1,FALSE),0),1,0)</f>
        <v>0</v>
      </c>
    </row>
    <row r="1293" spans="1:15" x14ac:dyDescent="0.25">
      <c r="A1293">
        <v>1292</v>
      </c>
      <c r="B1293" s="1" t="s">
        <v>30</v>
      </c>
      <c r="C1293" s="1">
        <f>car_price_prediction_[[#This Row],[Year2]]</f>
        <v>2012</v>
      </c>
      <c r="D1293">
        <v>2012</v>
      </c>
      <c r="E1293">
        <f>car_price_prediction_[[#This Row],[Engine Size]]/10</f>
        <v>1.9</v>
      </c>
      <c r="F1293">
        <v>19</v>
      </c>
      <c r="G1293" s="1" t="s">
        <v>29</v>
      </c>
      <c r="H1293" s="1" t="s">
        <v>22</v>
      </c>
      <c r="I1293" s="12">
        <f>car_price_prediction_[[#This Row],[Mileage]]/1000</f>
        <v>69.766999999999996</v>
      </c>
      <c r="J1293" s="5">
        <v>69767</v>
      </c>
      <c r="K1293" s="1" t="s">
        <v>25</v>
      </c>
      <c r="L1293" s="5">
        <f>car_price_prediction_[[#This Row],[Price]]/100</f>
        <v>75547.13</v>
      </c>
      <c r="M1293">
        <v>7554713</v>
      </c>
      <c r="N1293" s="1" t="s">
        <v>45</v>
      </c>
      <c r="O1293" s="1">
        <f>IF(IFERROR(VLOOKUP(car_price_prediction_[[#This Row],[Car ID]],A1294:A3793,1,FALSE),0),1,0)</f>
        <v>0</v>
      </c>
    </row>
    <row r="1294" spans="1:15" x14ac:dyDescent="0.25">
      <c r="A1294">
        <v>1293</v>
      </c>
      <c r="B1294" s="1" t="s">
        <v>10</v>
      </c>
      <c r="C1294" s="1">
        <f>car_price_prediction_[[#This Row],[Year2]]</f>
        <v>2002</v>
      </c>
      <c r="D1294">
        <v>2002</v>
      </c>
      <c r="E1294">
        <f>car_price_prediction_[[#This Row],[Engine Size]]/10</f>
        <v>1.3</v>
      </c>
      <c r="F1294">
        <v>13</v>
      </c>
      <c r="G1294" s="1" t="s">
        <v>11</v>
      </c>
      <c r="H1294" s="1" t="s">
        <v>22</v>
      </c>
      <c r="I1294" s="12">
        <f>car_price_prediction_[[#This Row],[Mileage]]/1000</f>
        <v>104.33199999999999</v>
      </c>
      <c r="J1294" s="5">
        <v>104332</v>
      </c>
      <c r="K1294" s="1" t="s">
        <v>25</v>
      </c>
      <c r="L1294" s="5">
        <f>car_price_prediction_[[#This Row],[Price]]/100</f>
        <v>38857.379999999997</v>
      </c>
      <c r="M1294">
        <v>3885738</v>
      </c>
      <c r="N1294" s="1" t="s">
        <v>14</v>
      </c>
      <c r="O1294" s="1">
        <f>IF(IFERROR(VLOOKUP(car_price_prediction_[[#This Row],[Car ID]],A1295:A3794,1,FALSE),0),1,0)</f>
        <v>0</v>
      </c>
    </row>
    <row r="1295" spans="1:15" x14ac:dyDescent="0.25">
      <c r="A1295">
        <v>1294</v>
      </c>
      <c r="B1295" s="1" t="s">
        <v>36</v>
      </c>
      <c r="C1295" s="1">
        <f>car_price_prediction_[[#This Row],[Year2]]</f>
        <v>2021</v>
      </c>
      <c r="D1295">
        <v>2021</v>
      </c>
      <c r="E1295">
        <f>car_price_prediction_[[#This Row],[Engine Size]]/10</f>
        <v>4</v>
      </c>
      <c r="F1295">
        <v>40</v>
      </c>
      <c r="G1295" s="1" t="s">
        <v>11</v>
      </c>
      <c r="H1295" s="1" t="s">
        <v>12</v>
      </c>
      <c r="I1295" s="12">
        <f>car_price_prediction_[[#This Row],[Mileage]]/1000</f>
        <v>143.279</v>
      </c>
      <c r="J1295" s="5">
        <v>143279</v>
      </c>
      <c r="K1295" s="1" t="s">
        <v>17</v>
      </c>
      <c r="L1295" s="5">
        <f>car_price_prediction_[[#This Row],[Price]]/100</f>
        <v>60269.62</v>
      </c>
      <c r="M1295">
        <v>6026962</v>
      </c>
      <c r="N1295" s="1" t="s">
        <v>37</v>
      </c>
      <c r="O1295" s="1">
        <f>IF(IFERROR(VLOOKUP(car_price_prediction_[[#This Row],[Car ID]],A1296:A3795,1,FALSE),0),1,0)</f>
        <v>0</v>
      </c>
    </row>
    <row r="1296" spans="1:15" x14ac:dyDescent="0.25">
      <c r="A1296">
        <v>1295</v>
      </c>
      <c r="B1296" s="1" t="s">
        <v>24</v>
      </c>
      <c r="C1296" s="1">
        <f>car_price_prediction_[[#This Row],[Year2]]</f>
        <v>2011</v>
      </c>
      <c r="D1296">
        <v>2011</v>
      </c>
      <c r="E1296">
        <f>car_price_prediction_[[#This Row],[Engine Size]]/10</f>
        <v>4.8</v>
      </c>
      <c r="F1296">
        <v>48</v>
      </c>
      <c r="G1296" s="1" t="s">
        <v>11</v>
      </c>
      <c r="H1296" s="1" t="s">
        <v>12</v>
      </c>
      <c r="I1296" s="12">
        <f>car_price_prediction_[[#This Row],[Mileage]]/1000</f>
        <v>6.3360000000000003</v>
      </c>
      <c r="J1296" s="5">
        <v>6336</v>
      </c>
      <c r="K1296" s="1" t="s">
        <v>17</v>
      </c>
      <c r="L1296" s="5">
        <f>car_price_prediction_[[#This Row],[Price]]/100</f>
        <v>14457.06</v>
      </c>
      <c r="M1296">
        <v>1445706</v>
      </c>
      <c r="N1296" s="1" t="s">
        <v>32</v>
      </c>
      <c r="O1296" s="1">
        <f>IF(IFERROR(VLOOKUP(car_price_prediction_[[#This Row],[Car ID]],A1297:A3796,1,FALSE),0),1,0)</f>
        <v>0</v>
      </c>
    </row>
    <row r="1297" spans="1:15" x14ac:dyDescent="0.25">
      <c r="A1297">
        <v>1296</v>
      </c>
      <c r="B1297" s="1" t="s">
        <v>19</v>
      </c>
      <c r="C1297" s="1">
        <f>car_price_prediction_[[#This Row],[Year2]]</f>
        <v>2001</v>
      </c>
      <c r="D1297">
        <v>2001</v>
      </c>
      <c r="E1297">
        <f>car_price_prediction_[[#This Row],[Engine Size]]/10</f>
        <v>3.6</v>
      </c>
      <c r="F1297">
        <v>36</v>
      </c>
      <c r="G1297" s="1" t="s">
        <v>21</v>
      </c>
      <c r="H1297" s="1" t="s">
        <v>22</v>
      </c>
      <c r="I1297" s="12">
        <f>car_price_prediction_[[#This Row],[Mileage]]/1000</f>
        <v>206.238</v>
      </c>
      <c r="J1297" s="5">
        <v>206238</v>
      </c>
      <c r="K1297" s="1" t="s">
        <v>25</v>
      </c>
      <c r="L1297" s="5">
        <f>car_price_prediction_[[#This Row],[Price]]/100</f>
        <v>34109.11</v>
      </c>
      <c r="M1297">
        <v>3410911</v>
      </c>
      <c r="N1297" s="1" t="s">
        <v>20</v>
      </c>
      <c r="O1297" s="1">
        <f>IF(IFERROR(VLOOKUP(car_price_prediction_[[#This Row],[Car ID]],A1298:A3797,1,FALSE),0),1,0)</f>
        <v>0</v>
      </c>
    </row>
    <row r="1298" spans="1:15" x14ac:dyDescent="0.25">
      <c r="A1298">
        <v>1297</v>
      </c>
      <c r="B1298" s="1" t="s">
        <v>36</v>
      </c>
      <c r="C1298" s="1">
        <f>car_price_prediction_[[#This Row],[Year2]]</f>
        <v>2023</v>
      </c>
      <c r="D1298">
        <v>2023</v>
      </c>
      <c r="E1298">
        <f>car_price_prediction_[[#This Row],[Engine Size]]/10</f>
        <v>2.1</v>
      </c>
      <c r="F1298">
        <v>21</v>
      </c>
      <c r="G1298" s="1" t="s">
        <v>21</v>
      </c>
      <c r="H1298" s="1" t="s">
        <v>12</v>
      </c>
      <c r="I1298" s="12">
        <f>car_price_prediction_[[#This Row],[Mileage]]/1000</f>
        <v>279.39999999999998</v>
      </c>
      <c r="J1298" s="5">
        <v>279400</v>
      </c>
      <c r="K1298" s="1" t="s">
        <v>13</v>
      </c>
      <c r="L1298" s="5">
        <f>car_price_prediction_[[#This Row],[Price]]/100</f>
        <v>52582.17</v>
      </c>
      <c r="M1298">
        <v>5258217</v>
      </c>
      <c r="N1298" s="1" t="s">
        <v>37</v>
      </c>
      <c r="O1298" s="1">
        <f>IF(IFERROR(VLOOKUP(car_price_prediction_[[#This Row],[Car ID]],A1299:A3798,1,FALSE),0),1,0)</f>
        <v>0</v>
      </c>
    </row>
    <row r="1299" spans="1:15" x14ac:dyDescent="0.25">
      <c r="A1299">
        <v>1298</v>
      </c>
      <c r="B1299" s="1" t="s">
        <v>43</v>
      </c>
      <c r="C1299" s="1">
        <f>car_price_prediction_[[#This Row],[Year2]]</f>
        <v>2001</v>
      </c>
      <c r="D1299">
        <v>2001</v>
      </c>
      <c r="E1299">
        <f>car_price_prediction_[[#This Row],[Engine Size]]/10</f>
        <v>4.3</v>
      </c>
      <c r="F1299">
        <v>43</v>
      </c>
      <c r="G1299" s="1" t="s">
        <v>29</v>
      </c>
      <c r="H1299" s="1" t="s">
        <v>22</v>
      </c>
      <c r="I1299" s="12">
        <f>car_price_prediction_[[#This Row],[Mileage]]/1000</f>
        <v>230.517</v>
      </c>
      <c r="J1299" s="5">
        <v>230517</v>
      </c>
      <c r="K1299" s="1" t="s">
        <v>25</v>
      </c>
      <c r="L1299" s="5">
        <f>car_price_prediction_[[#This Row],[Price]]/100</f>
        <v>27011.56</v>
      </c>
      <c r="M1299">
        <v>2701156</v>
      </c>
      <c r="N1299" s="1" t="s">
        <v>50</v>
      </c>
      <c r="O1299" s="1">
        <f>IF(IFERROR(VLOOKUP(car_price_prediction_[[#This Row],[Car ID]],A1300:A3799,1,FALSE),0),1,0)</f>
        <v>0</v>
      </c>
    </row>
    <row r="1300" spans="1:15" x14ac:dyDescent="0.25">
      <c r="A1300">
        <v>1299</v>
      </c>
      <c r="B1300" s="1" t="s">
        <v>10</v>
      </c>
      <c r="C1300" s="1">
        <f>car_price_prediction_[[#This Row],[Year2]]</f>
        <v>2022</v>
      </c>
      <c r="D1300">
        <v>2022</v>
      </c>
      <c r="E1300">
        <f>car_price_prediction_[[#This Row],[Engine Size]]/10</f>
        <v>1.4</v>
      </c>
      <c r="F1300">
        <v>14</v>
      </c>
      <c r="G1300" s="1" t="s">
        <v>16</v>
      </c>
      <c r="H1300" s="1" t="s">
        <v>12</v>
      </c>
      <c r="I1300" s="12">
        <f>car_price_prediction_[[#This Row],[Mileage]]/1000</f>
        <v>180.88900000000001</v>
      </c>
      <c r="J1300" s="5">
        <v>180889</v>
      </c>
      <c r="K1300" s="1" t="s">
        <v>17</v>
      </c>
      <c r="L1300" s="5">
        <f>car_price_prediction_[[#This Row],[Price]]/100</f>
        <v>56477.64</v>
      </c>
      <c r="M1300">
        <v>5647764</v>
      </c>
      <c r="N1300" s="1" t="s">
        <v>23</v>
      </c>
      <c r="O1300" s="1">
        <f>IF(IFERROR(VLOOKUP(car_price_prediction_[[#This Row],[Car ID]],A1301:A3800,1,FALSE),0),1,0)</f>
        <v>0</v>
      </c>
    </row>
    <row r="1301" spans="1:15" x14ac:dyDescent="0.25">
      <c r="A1301">
        <v>1300</v>
      </c>
      <c r="B1301" s="1" t="s">
        <v>10</v>
      </c>
      <c r="C1301" s="1">
        <f>car_price_prediction_[[#This Row],[Year2]]</f>
        <v>2008</v>
      </c>
      <c r="D1301">
        <v>2008</v>
      </c>
      <c r="E1301">
        <f>car_price_prediction_[[#This Row],[Engine Size]]/10</f>
        <v>3.2</v>
      </c>
      <c r="F1301">
        <v>32</v>
      </c>
      <c r="G1301" s="1" t="s">
        <v>16</v>
      </c>
      <c r="H1301" s="1" t="s">
        <v>12</v>
      </c>
      <c r="I1301" s="12">
        <f>car_price_prediction_[[#This Row],[Mileage]]/1000</f>
        <v>295.863</v>
      </c>
      <c r="J1301" s="5">
        <v>295863</v>
      </c>
      <c r="K1301" s="1" t="s">
        <v>25</v>
      </c>
      <c r="L1301" s="5">
        <f>car_price_prediction_[[#This Row],[Price]]/100</f>
        <v>25877.13</v>
      </c>
      <c r="M1301">
        <v>2587713</v>
      </c>
      <c r="N1301" s="1" t="s">
        <v>14</v>
      </c>
      <c r="O1301" s="1">
        <f>IF(IFERROR(VLOOKUP(car_price_prediction_[[#This Row],[Car ID]],A1302:A3801,1,FALSE),0),1,0)</f>
        <v>0</v>
      </c>
    </row>
    <row r="1302" spans="1:15" x14ac:dyDescent="0.25">
      <c r="A1302">
        <v>1301</v>
      </c>
      <c r="B1302" s="1" t="s">
        <v>10</v>
      </c>
      <c r="C1302" s="1">
        <f>car_price_prediction_[[#This Row],[Year2]]</f>
        <v>2000</v>
      </c>
      <c r="D1302">
        <v>2000</v>
      </c>
      <c r="E1302">
        <f>car_price_prediction_[[#This Row],[Engine Size]]/10</f>
        <v>1.8</v>
      </c>
      <c r="F1302">
        <v>18</v>
      </c>
      <c r="G1302" s="1" t="s">
        <v>16</v>
      </c>
      <c r="H1302" s="1" t="s">
        <v>22</v>
      </c>
      <c r="I1302" s="12">
        <f>car_price_prediction_[[#This Row],[Mileage]]/1000</f>
        <v>45.704000000000001</v>
      </c>
      <c r="J1302" s="5">
        <v>45704</v>
      </c>
      <c r="K1302" s="1" t="s">
        <v>25</v>
      </c>
      <c r="L1302" s="5">
        <f>car_price_prediction_[[#This Row],[Price]]/100</f>
        <v>66759.55</v>
      </c>
      <c r="M1302">
        <v>6675955</v>
      </c>
      <c r="N1302" s="1" t="s">
        <v>14</v>
      </c>
      <c r="O1302" s="1">
        <f>IF(IFERROR(VLOOKUP(car_price_prediction_[[#This Row],[Car ID]],A1303:A3802,1,FALSE),0),1,0)</f>
        <v>0</v>
      </c>
    </row>
    <row r="1303" spans="1:15" x14ac:dyDescent="0.25">
      <c r="A1303">
        <v>1302</v>
      </c>
      <c r="B1303" s="1" t="s">
        <v>43</v>
      </c>
      <c r="C1303" s="1">
        <f>car_price_prediction_[[#This Row],[Year2]]</f>
        <v>2007</v>
      </c>
      <c r="D1303">
        <v>2007</v>
      </c>
      <c r="E1303">
        <f>car_price_prediction_[[#This Row],[Engine Size]]/10</f>
        <v>1.9</v>
      </c>
      <c r="F1303">
        <v>19</v>
      </c>
      <c r="G1303" s="1" t="s">
        <v>21</v>
      </c>
      <c r="H1303" s="1" t="s">
        <v>12</v>
      </c>
      <c r="I1303" s="12">
        <f>car_price_prediction_[[#This Row],[Mileage]]/1000</f>
        <v>292.15699999999998</v>
      </c>
      <c r="J1303" s="5">
        <v>292157</v>
      </c>
      <c r="K1303" s="1" t="s">
        <v>13</v>
      </c>
      <c r="L1303" s="5">
        <f>car_price_prediction_[[#This Row],[Price]]/100</f>
        <v>90913.66</v>
      </c>
      <c r="M1303">
        <v>9091366</v>
      </c>
      <c r="N1303" s="1" t="s">
        <v>52</v>
      </c>
      <c r="O1303" s="1">
        <f>IF(IFERROR(VLOOKUP(car_price_prediction_[[#This Row],[Car ID]],A1304:A3803,1,FALSE),0),1,0)</f>
        <v>0</v>
      </c>
    </row>
    <row r="1304" spans="1:15" x14ac:dyDescent="0.25">
      <c r="A1304">
        <v>1303</v>
      </c>
      <c r="B1304" s="1" t="s">
        <v>43</v>
      </c>
      <c r="C1304" s="1">
        <f>car_price_prediction_[[#This Row],[Year2]]</f>
        <v>2022</v>
      </c>
      <c r="D1304">
        <v>2022</v>
      </c>
      <c r="E1304">
        <f>car_price_prediction_[[#This Row],[Engine Size]]/10</f>
        <v>2</v>
      </c>
      <c r="F1304">
        <v>20</v>
      </c>
      <c r="G1304" s="1" t="s">
        <v>11</v>
      </c>
      <c r="H1304" s="1" t="s">
        <v>12</v>
      </c>
      <c r="I1304" s="12">
        <f>car_price_prediction_[[#This Row],[Mileage]]/1000</f>
        <v>226.88399999999999</v>
      </c>
      <c r="J1304" s="5">
        <v>226884</v>
      </c>
      <c r="K1304" s="1" t="s">
        <v>25</v>
      </c>
      <c r="L1304" s="5">
        <f>car_price_prediction_[[#This Row],[Price]]/100</f>
        <v>13121.42</v>
      </c>
      <c r="M1304">
        <v>1312142</v>
      </c>
      <c r="N1304" s="1" t="s">
        <v>47</v>
      </c>
      <c r="O1304" s="1">
        <f>IF(IFERROR(VLOOKUP(car_price_prediction_[[#This Row],[Car ID]],A1305:A3804,1,FALSE),0),1,0)</f>
        <v>0</v>
      </c>
    </row>
    <row r="1305" spans="1:15" x14ac:dyDescent="0.25">
      <c r="A1305">
        <v>1304</v>
      </c>
      <c r="B1305" s="1" t="s">
        <v>43</v>
      </c>
      <c r="C1305" s="1">
        <f>car_price_prediction_[[#This Row],[Year2]]</f>
        <v>2005</v>
      </c>
      <c r="D1305">
        <v>2005</v>
      </c>
      <c r="E1305">
        <f>car_price_prediction_[[#This Row],[Engine Size]]/10</f>
        <v>2.9</v>
      </c>
      <c r="F1305">
        <v>29</v>
      </c>
      <c r="G1305" s="1" t="s">
        <v>11</v>
      </c>
      <c r="H1305" s="1" t="s">
        <v>12</v>
      </c>
      <c r="I1305" s="12">
        <f>car_price_prediction_[[#This Row],[Mileage]]/1000</f>
        <v>167.84800000000001</v>
      </c>
      <c r="J1305" s="5">
        <v>167848</v>
      </c>
      <c r="K1305" s="1" t="s">
        <v>25</v>
      </c>
      <c r="L1305" s="5">
        <f>car_price_prediction_[[#This Row],[Price]]/100</f>
        <v>25578.52</v>
      </c>
      <c r="M1305">
        <v>2557852</v>
      </c>
      <c r="N1305" s="1" t="s">
        <v>44</v>
      </c>
      <c r="O1305" s="1">
        <f>IF(IFERROR(VLOOKUP(car_price_prediction_[[#This Row],[Car ID]],A1306:A3805,1,FALSE),0),1,0)</f>
        <v>0</v>
      </c>
    </row>
    <row r="1306" spans="1:15" x14ac:dyDescent="0.25">
      <c r="A1306">
        <v>1305</v>
      </c>
      <c r="B1306" s="1" t="s">
        <v>43</v>
      </c>
      <c r="C1306" s="1">
        <f>car_price_prediction_[[#This Row],[Year2]]</f>
        <v>2005</v>
      </c>
      <c r="D1306">
        <v>2005</v>
      </c>
      <c r="E1306">
        <f>car_price_prediction_[[#This Row],[Engine Size]]/10</f>
        <v>1.3</v>
      </c>
      <c r="F1306">
        <v>13</v>
      </c>
      <c r="G1306" s="1" t="s">
        <v>21</v>
      </c>
      <c r="H1306" s="1" t="s">
        <v>12</v>
      </c>
      <c r="I1306" s="12">
        <f>car_price_prediction_[[#This Row],[Mileage]]/1000</f>
        <v>272.20400000000001</v>
      </c>
      <c r="J1306" s="5">
        <v>272204</v>
      </c>
      <c r="K1306" s="1" t="s">
        <v>25</v>
      </c>
      <c r="L1306" s="5">
        <f>car_price_prediction_[[#This Row],[Price]]/100</f>
        <v>85220.19</v>
      </c>
      <c r="M1306">
        <v>8522019</v>
      </c>
      <c r="N1306" s="1" t="s">
        <v>47</v>
      </c>
      <c r="O1306" s="1">
        <f>IF(IFERROR(VLOOKUP(car_price_prediction_[[#This Row],[Car ID]],A1307:A3806,1,FALSE),0),1,0)</f>
        <v>0</v>
      </c>
    </row>
    <row r="1307" spans="1:15" x14ac:dyDescent="0.25">
      <c r="A1307">
        <v>1306</v>
      </c>
      <c r="B1307" s="1" t="s">
        <v>10</v>
      </c>
      <c r="C1307" s="1">
        <f>car_price_prediction_[[#This Row],[Year2]]</f>
        <v>2021</v>
      </c>
      <c r="D1307">
        <v>2021</v>
      </c>
      <c r="E1307">
        <f>car_price_prediction_[[#This Row],[Engine Size]]/10</f>
        <v>3</v>
      </c>
      <c r="F1307">
        <v>30</v>
      </c>
      <c r="G1307" s="1" t="s">
        <v>16</v>
      </c>
      <c r="H1307" s="1" t="s">
        <v>12</v>
      </c>
      <c r="I1307" s="12">
        <f>car_price_prediction_[[#This Row],[Mileage]]/1000</f>
        <v>219.18199999999999</v>
      </c>
      <c r="J1307" s="5">
        <v>219182</v>
      </c>
      <c r="K1307" s="1" t="s">
        <v>17</v>
      </c>
      <c r="L1307" s="5">
        <f>car_price_prediction_[[#This Row],[Price]]/100</f>
        <v>64997.58</v>
      </c>
      <c r="M1307">
        <v>6499758</v>
      </c>
      <c r="N1307" s="1" t="s">
        <v>33</v>
      </c>
      <c r="O1307" s="1">
        <f>IF(IFERROR(VLOOKUP(car_price_prediction_[[#This Row],[Car ID]],A1308:A3807,1,FALSE),0),1,0)</f>
        <v>0</v>
      </c>
    </row>
    <row r="1308" spans="1:15" x14ac:dyDescent="0.25">
      <c r="A1308">
        <v>1307</v>
      </c>
      <c r="B1308" s="1" t="s">
        <v>10</v>
      </c>
      <c r="C1308" s="1">
        <f>car_price_prediction_[[#This Row],[Year2]]</f>
        <v>2017</v>
      </c>
      <c r="D1308">
        <v>2017</v>
      </c>
      <c r="E1308">
        <f>car_price_prediction_[[#This Row],[Engine Size]]/10</f>
        <v>3.6</v>
      </c>
      <c r="F1308">
        <v>36</v>
      </c>
      <c r="G1308" s="1" t="s">
        <v>16</v>
      </c>
      <c r="H1308" s="1" t="s">
        <v>22</v>
      </c>
      <c r="I1308" s="12">
        <f>car_price_prediction_[[#This Row],[Mileage]]/1000</f>
        <v>78.563000000000002</v>
      </c>
      <c r="J1308" s="5">
        <v>78563</v>
      </c>
      <c r="K1308" s="1" t="s">
        <v>17</v>
      </c>
      <c r="L1308" s="5">
        <f>car_price_prediction_[[#This Row],[Price]]/100</f>
        <v>12477.35</v>
      </c>
      <c r="M1308">
        <v>1247735</v>
      </c>
      <c r="N1308" s="1" t="s">
        <v>49</v>
      </c>
      <c r="O1308" s="1">
        <f>IF(IFERROR(VLOOKUP(car_price_prediction_[[#This Row],[Car ID]],A1309:A3808,1,FALSE),0),1,0)</f>
        <v>0</v>
      </c>
    </row>
    <row r="1309" spans="1:15" x14ac:dyDescent="0.25">
      <c r="A1309">
        <v>1308</v>
      </c>
      <c r="B1309" s="1" t="s">
        <v>30</v>
      </c>
      <c r="C1309" s="1">
        <f>car_price_prediction_[[#This Row],[Year2]]</f>
        <v>2016</v>
      </c>
      <c r="D1309">
        <v>2016</v>
      </c>
      <c r="E1309">
        <f>car_price_prediction_[[#This Row],[Engine Size]]/10</f>
        <v>3.4</v>
      </c>
      <c r="F1309">
        <v>34</v>
      </c>
      <c r="G1309" s="1" t="s">
        <v>29</v>
      </c>
      <c r="H1309" s="1" t="s">
        <v>12</v>
      </c>
      <c r="I1309" s="12">
        <f>car_price_prediction_[[#This Row],[Mileage]]/1000</f>
        <v>135.102</v>
      </c>
      <c r="J1309" s="5">
        <v>135102</v>
      </c>
      <c r="K1309" s="1" t="s">
        <v>13</v>
      </c>
      <c r="L1309" s="5">
        <f>car_price_prediction_[[#This Row],[Price]]/100</f>
        <v>51203.26</v>
      </c>
      <c r="M1309">
        <v>5120326</v>
      </c>
      <c r="N1309" s="1" t="s">
        <v>42</v>
      </c>
      <c r="O1309" s="1">
        <f>IF(IFERROR(VLOOKUP(car_price_prediction_[[#This Row],[Car ID]],A1310:A3809,1,FALSE),0),1,0)</f>
        <v>0</v>
      </c>
    </row>
    <row r="1310" spans="1:15" x14ac:dyDescent="0.25">
      <c r="A1310">
        <v>1309</v>
      </c>
      <c r="B1310" s="1" t="s">
        <v>36</v>
      </c>
      <c r="C1310" s="1">
        <f>car_price_prediction_[[#This Row],[Year2]]</f>
        <v>2011</v>
      </c>
      <c r="D1310">
        <v>2011</v>
      </c>
      <c r="E1310">
        <f>car_price_prediction_[[#This Row],[Engine Size]]/10</f>
        <v>2.9</v>
      </c>
      <c r="F1310">
        <v>29</v>
      </c>
      <c r="G1310" s="1" t="s">
        <v>29</v>
      </c>
      <c r="H1310" s="1" t="s">
        <v>22</v>
      </c>
      <c r="I1310" s="12">
        <f>car_price_prediction_[[#This Row],[Mileage]]/1000</f>
        <v>89.778999999999996</v>
      </c>
      <c r="J1310" s="5">
        <v>89779</v>
      </c>
      <c r="K1310" s="1" t="s">
        <v>25</v>
      </c>
      <c r="L1310" s="5">
        <f>car_price_prediction_[[#This Row],[Price]]/100</f>
        <v>24927.06</v>
      </c>
      <c r="M1310">
        <v>2492706</v>
      </c>
      <c r="N1310" s="1" t="s">
        <v>46</v>
      </c>
      <c r="O1310" s="1">
        <f>IF(IFERROR(VLOOKUP(car_price_prediction_[[#This Row],[Car ID]],A1311:A3810,1,FALSE),0),1,0)</f>
        <v>0</v>
      </c>
    </row>
    <row r="1311" spans="1:15" x14ac:dyDescent="0.25">
      <c r="A1311">
        <v>1310</v>
      </c>
      <c r="B1311" s="1" t="s">
        <v>19</v>
      </c>
      <c r="C1311" s="1">
        <f>car_price_prediction_[[#This Row],[Year2]]</f>
        <v>2005</v>
      </c>
      <c r="D1311">
        <v>2005</v>
      </c>
      <c r="E1311">
        <f>car_price_prediction_[[#This Row],[Engine Size]]/10</f>
        <v>5.2</v>
      </c>
      <c r="F1311">
        <v>52</v>
      </c>
      <c r="G1311" s="1" t="s">
        <v>16</v>
      </c>
      <c r="H1311" s="1" t="s">
        <v>12</v>
      </c>
      <c r="I1311" s="12">
        <f>car_price_prediction_[[#This Row],[Mileage]]/1000</f>
        <v>164.36099999999999</v>
      </c>
      <c r="J1311" s="5">
        <v>164361</v>
      </c>
      <c r="K1311" s="1" t="s">
        <v>17</v>
      </c>
      <c r="L1311" s="5">
        <f>car_price_prediction_[[#This Row],[Price]]/100</f>
        <v>23914.16</v>
      </c>
      <c r="M1311">
        <v>2391416</v>
      </c>
      <c r="N1311" s="1" t="s">
        <v>27</v>
      </c>
      <c r="O1311" s="1">
        <f>IF(IFERROR(VLOOKUP(car_price_prediction_[[#This Row],[Car ID]],A1312:A3811,1,FALSE),0),1,0)</f>
        <v>0</v>
      </c>
    </row>
    <row r="1312" spans="1:15" x14ac:dyDescent="0.25">
      <c r="A1312">
        <v>1311</v>
      </c>
      <c r="B1312" s="1" t="s">
        <v>24</v>
      </c>
      <c r="C1312" s="1">
        <f>car_price_prediction_[[#This Row],[Year2]]</f>
        <v>2007</v>
      </c>
      <c r="D1312">
        <v>2007</v>
      </c>
      <c r="E1312">
        <f>car_price_prediction_[[#This Row],[Engine Size]]/10</f>
        <v>1.7</v>
      </c>
      <c r="F1312">
        <v>17</v>
      </c>
      <c r="G1312" s="1" t="s">
        <v>21</v>
      </c>
      <c r="H1312" s="1" t="s">
        <v>12</v>
      </c>
      <c r="I1312" s="12">
        <f>car_price_prediction_[[#This Row],[Mileage]]/1000</f>
        <v>99.703999999999994</v>
      </c>
      <c r="J1312" s="5">
        <v>99704</v>
      </c>
      <c r="K1312" s="1" t="s">
        <v>13</v>
      </c>
      <c r="L1312" s="5">
        <f>car_price_prediction_[[#This Row],[Price]]/100</f>
        <v>94361.31</v>
      </c>
      <c r="M1312">
        <v>9436131</v>
      </c>
      <c r="N1312" s="1" t="s">
        <v>34</v>
      </c>
      <c r="O1312" s="1">
        <f>IF(IFERROR(VLOOKUP(car_price_prediction_[[#This Row],[Car ID]],A1313:A3812,1,FALSE),0),1,0)</f>
        <v>0</v>
      </c>
    </row>
    <row r="1313" spans="1:15" x14ac:dyDescent="0.25">
      <c r="A1313">
        <v>1312</v>
      </c>
      <c r="B1313" s="1" t="s">
        <v>10</v>
      </c>
      <c r="C1313" s="1">
        <f>car_price_prediction_[[#This Row],[Year2]]</f>
        <v>2018</v>
      </c>
      <c r="D1313">
        <v>2018</v>
      </c>
      <c r="E1313">
        <f>car_price_prediction_[[#This Row],[Engine Size]]/10</f>
        <v>3.5</v>
      </c>
      <c r="F1313">
        <v>35</v>
      </c>
      <c r="G1313" s="1" t="s">
        <v>16</v>
      </c>
      <c r="H1313" s="1" t="s">
        <v>22</v>
      </c>
      <c r="I1313" s="12">
        <f>car_price_prediction_[[#This Row],[Mileage]]/1000</f>
        <v>261.75700000000001</v>
      </c>
      <c r="J1313" s="5">
        <v>261757</v>
      </c>
      <c r="K1313" s="1" t="s">
        <v>25</v>
      </c>
      <c r="L1313" s="5">
        <f>car_price_prediction_[[#This Row],[Price]]/100</f>
        <v>77346.45</v>
      </c>
      <c r="M1313">
        <v>7734645</v>
      </c>
      <c r="N1313" s="1" t="s">
        <v>33</v>
      </c>
      <c r="O1313" s="1">
        <f>IF(IFERROR(VLOOKUP(car_price_prediction_[[#This Row],[Car ID]],A1314:A3813,1,FALSE),0),1,0)</f>
        <v>0</v>
      </c>
    </row>
    <row r="1314" spans="1:15" x14ac:dyDescent="0.25">
      <c r="A1314">
        <v>1313</v>
      </c>
      <c r="B1314" s="1" t="s">
        <v>24</v>
      </c>
      <c r="C1314" s="1">
        <f>car_price_prediction_[[#This Row],[Year2]]</f>
        <v>2009</v>
      </c>
      <c r="D1314">
        <v>2009</v>
      </c>
      <c r="E1314">
        <f>car_price_prediction_[[#This Row],[Engine Size]]/10</f>
        <v>1.3</v>
      </c>
      <c r="F1314">
        <v>13</v>
      </c>
      <c r="G1314" s="1" t="s">
        <v>29</v>
      </c>
      <c r="H1314" s="1" t="s">
        <v>22</v>
      </c>
      <c r="I1314" s="12">
        <f>car_price_prediction_[[#This Row],[Mileage]]/1000</f>
        <v>110.23399999999999</v>
      </c>
      <c r="J1314" s="5">
        <v>110234</v>
      </c>
      <c r="K1314" s="1" t="s">
        <v>13</v>
      </c>
      <c r="L1314" s="5">
        <f>car_price_prediction_[[#This Row],[Price]]/100</f>
        <v>71141.91</v>
      </c>
      <c r="M1314">
        <v>7114191</v>
      </c>
      <c r="N1314" s="1" t="s">
        <v>32</v>
      </c>
      <c r="O1314" s="1">
        <f>IF(IFERROR(VLOOKUP(car_price_prediction_[[#This Row],[Car ID]],A1315:A3814,1,FALSE),0),1,0)</f>
        <v>0</v>
      </c>
    </row>
    <row r="1315" spans="1:15" x14ac:dyDescent="0.25">
      <c r="A1315">
        <v>1314</v>
      </c>
      <c r="B1315" s="1" t="s">
        <v>36</v>
      </c>
      <c r="C1315" s="1">
        <f>car_price_prediction_[[#This Row],[Year2]]</f>
        <v>2000</v>
      </c>
      <c r="D1315">
        <v>2000</v>
      </c>
      <c r="E1315">
        <f>car_price_prediction_[[#This Row],[Engine Size]]/10</f>
        <v>1.4</v>
      </c>
      <c r="F1315">
        <v>14</v>
      </c>
      <c r="G1315" s="1" t="s">
        <v>16</v>
      </c>
      <c r="H1315" s="1" t="s">
        <v>12</v>
      </c>
      <c r="I1315" s="12">
        <f>car_price_prediction_[[#This Row],[Mileage]]/1000</f>
        <v>36.491</v>
      </c>
      <c r="J1315" s="5">
        <v>36491</v>
      </c>
      <c r="K1315" s="1" t="s">
        <v>13</v>
      </c>
      <c r="L1315" s="5">
        <f>car_price_prediction_[[#This Row],[Price]]/100</f>
        <v>27698.240000000002</v>
      </c>
      <c r="M1315">
        <v>2769824</v>
      </c>
      <c r="N1315" s="1" t="s">
        <v>41</v>
      </c>
      <c r="O1315" s="1">
        <f>IF(IFERROR(VLOOKUP(car_price_prediction_[[#This Row],[Car ID]],A1316:A3815,1,FALSE),0),1,0)</f>
        <v>0</v>
      </c>
    </row>
    <row r="1316" spans="1:15" x14ac:dyDescent="0.25">
      <c r="A1316">
        <v>1315</v>
      </c>
      <c r="B1316" s="1" t="s">
        <v>36</v>
      </c>
      <c r="C1316" s="1">
        <f>car_price_prediction_[[#This Row],[Year2]]</f>
        <v>2012</v>
      </c>
      <c r="D1316">
        <v>2012</v>
      </c>
      <c r="E1316">
        <f>car_price_prediction_[[#This Row],[Engine Size]]/10</f>
        <v>3.9</v>
      </c>
      <c r="F1316">
        <v>39</v>
      </c>
      <c r="G1316" s="1" t="s">
        <v>21</v>
      </c>
      <c r="H1316" s="1" t="s">
        <v>12</v>
      </c>
      <c r="I1316" s="12">
        <f>car_price_prediction_[[#This Row],[Mileage]]/1000</f>
        <v>226.62100000000001</v>
      </c>
      <c r="J1316" s="5">
        <v>226621</v>
      </c>
      <c r="K1316" s="1" t="s">
        <v>13</v>
      </c>
      <c r="L1316" s="5">
        <f>car_price_prediction_[[#This Row],[Price]]/100</f>
        <v>16264.48</v>
      </c>
      <c r="M1316">
        <v>1626448</v>
      </c>
      <c r="N1316" s="1" t="s">
        <v>37</v>
      </c>
      <c r="O1316" s="1">
        <f>IF(IFERROR(VLOOKUP(car_price_prediction_[[#This Row],[Car ID]],A1317:A3816,1,FALSE),0),1,0)</f>
        <v>0</v>
      </c>
    </row>
    <row r="1317" spans="1:15" x14ac:dyDescent="0.25">
      <c r="A1317">
        <v>1316</v>
      </c>
      <c r="B1317" s="1" t="s">
        <v>24</v>
      </c>
      <c r="C1317" s="1">
        <f>car_price_prediction_[[#This Row],[Year2]]</f>
        <v>2016</v>
      </c>
      <c r="D1317">
        <v>2016</v>
      </c>
      <c r="E1317">
        <f>car_price_prediction_[[#This Row],[Engine Size]]/10</f>
        <v>3.8</v>
      </c>
      <c r="F1317">
        <v>38</v>
      </c>
      <c r="G1317" s="1" t="s">
        <v>11</v>
      </c>
      <c r="H1317" s="1" t="s">
        <v>22</v>
      </c>
      <c r="I1317" s="12">
        <f>car_price_prediction_[[#This Row],[Mileage]]/1000</f>
        <v>20.448</v>
      </c>
      <c r="J1317" s="5">
        <v>20448</v>
      </c>
      <c r="K1317" s="1" t="s">
        <v>13</v>
      </c>
      <c r="L1317" s="5">
        <f>car_price_prediction_[[#This Row],[Price]]/100</f>
        <v>8772.91</v>
      </c>
      <c r="M1317">
        <v>877291</v>
      </c>
      <c r="N1317" s="1" t="s">
        <v>53</v>
      </c>
      <c r="O1317" s="1">
        <f>IF(IFERROR(VLOOKUP(car_price_prediction_[[#This Row],[Car ID]],A1318:A3817,1,FALSE),0),1,0)</f>
        <v>0</v>
      </c>
    </row>
    <row r="1318" spans="1:15" x14ac:dyDescent="0.25">
      <c r="A1318">
        <v>1317</v>
      </c>
      <c r="B1318" s="1" t="s">
        <v>10</v>
      </c>
      <c r="C1318" s="1">
        <f>car_price_prediction_[[#This Row],[Year2]]</f>
        <v>2002</v>
      </c>
      <c r="D1318">
        <v>2002</v>
      </c>
      <c r="E1318">
        <f>car_price_prediction_[[#This Row],[Engine Size]]/10</f>
        <v>5.4</v>
      </c>
      <c r="F1318">
        <v>54</v>
      </c>
      <c r="G1318" s="1" t="s">
        <v>21</v>
      </c>
      <c r="H1318" s="1" t="s">
        <v>22</v>
      </c>
      <c r="I1318" s="12">
        <f>car_price_prediction_[[#This Row],[Mileage]]/1000</f>
        <v>49.293999999999997</v>
      </c>
      <c r="J1318" s="5">
        <v>49294</v>
      </c>
      <c r="K1318" s="1" t="s">
        <v>13</v>
      </c>
      <c r="L1318" s="5">
        <f>car_price_prediction_[[#This Row],[Price]]/100</f>
        <v>5558.56</v>
      </c>
      <c r="M1318">
        <v>555856</v>
      </c>
      <c r="N1318" s="1" t="s">
        <v>23</v>
      </c>
      <c r="O1318" s="1">
        <f>IF(IFERROR(VLOOKUP(car_price_prediction_[[#This Row],[Car ID]],A1319:A3818,1,FALSE),0),1,0)</f>
        <v>0</v>
      </c>
    </row>
    <row r="1319" spans="1:15" x14ac:dyDescent="0.25">
      <c r="A1319">
        <v>1318</v>
      </c>
      <c r="B1319" s="1" t="s">
        <v>24</v>
      </c>
      <c r="C1319" s="1">
        <f>car_price_prediction_[[#This Row],[Year2]]</f>
        <v>2007</v>
      </c>
      <c r="D1319">
        <v>2007</v>
      </c>
      <c r="E1319">
        <f>car_price_prediction_[[#This Row],[Engine Size]]/10</f>
        <v>3.8</v>
      </c>
      <c r="F1319">
        <v>38</v>
      </c>
      <c r="G1319" s="1" t="s">
        <v>21</v>
      </c>
      <c r="H1319" s="1" t="s">
        <v>22</v>
      </c>
      <c r="I1319" s="12">
        <f>car_price_prediction_[[#This Row],[Mileage]]/1000</f>
        <v>283.58999999999997</v>
      </c>
      <c r="J1319" s="5">
        <v>283590</v>
      </c>
      <c r="K1319" s="1" t="s">
        <v>13</v>
      </c>
      <c r="L1319" s="5">
        <f>car_price_prediction_[[#This Row],[Price]]/100</f>
        <v>41869.160000000003</v>
      </c>
      <c r="M1319">
        <v>4186916</v>
      </c>
      <c r="N1319" s="1" t="s">
        <v>34</v>
      </c>
      <c r="O1319" s="1">
        <f>IF(IFERROR(VLOOKUP(car_price_prediction_[[#This Row],[Car ID]],A1320:A3819,1,FALSE),0),1,0)</f>
        <v>0</v>
      </c>
    </row>
    <row r="1320" spans="1:15" x14ac:dyDescent="0.25">
      <c r="A1320">
        <v>1319</v>
      </c>
      <c r="B1320" s="1" t="s">
        <v>30</v>
      </c>
      <c r="C1320" s="1">
        <f>car_price_prediction_[[#This Row],[Year2]]</f>
        <v>2013</v>
      </c>
      <c r="D1320">
        <v>2013</v>
      </c>
      <c r="E1320">
        <f>car_price_prediction_[[#This Row],[Engine Size]]/10</f>
        <v>5.8</v>
      </c>
      <c r="F1320">
        <v>58</v>
      </c>
      <c r="G1320" s="1" t="s">
        <v>29</v>
      </c>
      <c r="H1320" s="1" t="s">
        <v>22</v>
      </c>
      <c r="I1320" s="12">
        <f>car_price_prediction_[[#This Row],[Mileage]]/1000</f>
        <v>216.46100000000001</v>
      </c>
      <c r="J1320" s="5">
        <v>216461</v>
      </c>
      <c r="K1320" s="1" t="s">
        <v>13</v>
      </c>
      <c r="L1320" s="5">
        <f>car_price_prediction_[[#This Row],[Price]]/100</f>
        <v>31373.19</v>
      </c>
      <c r="M1320">
        <v>3137319</v>
      </c>
      <c r="N1320" s="1" t="s">
        <v>31</v>
      </c>
      <c r="O1320" s="1">
        <f>IF(IFERROR(VLOOKUP(car_price_prediction_[[#This Row],[Car ID]],A1321:A3820,1,FALSE),0),1,0)</f>
        <v>0</v>
      </c>
    </row>
    <row r="1321" spans="1:15" x14ac:dyDescent="0.25">
      <c r="A1321">
        <v>1320</v>
      </c>
      <c r="B1321" s="1" t="s">
        <v>15</v>
      </c>
      <c r="C1321" s="1">
        <f>car_price_prediction_[[#This Row],[Year2]]</f>
        <v>2002</v>
      </c>
      <c r="D1321">
        <v>2002</v>
      </c>
      <c r="E1321">
        <f>car_price_prediction_[[#This Row],[Engine Size]]/10</f>
        <v>1.2</v>
      </c>
      <c r="F1321">
        <v>12</v>
      </c>
      <c r="G1321" s="1" t="s">
        <v>21</v>
      </c>
      <c r="H1321" s="1" t="s">
        <v>12</v>
      </c>
      <c r="I1321" s="12">
        <f>car_price_prediction_[[#This Row],[Mileage]]/1000</f>
        <v>85.614999999999995</v>
      </c>
      <c r="J1321" s="5">
        <v>85615</v>
      </c>
      <c r="K1321" s="1" t="s">
        <v>25</v>
      </c>
      <c r="L1321" s="5">
        <f>car_price_prediction_[[#This Row],[Price]]/100</f>
        <v>59185.74</v>
      </c>
      <c r="M1321">
        <v>5918574</v>
      </c>
      <c r="N1321" s="1" t="s">
        <v>39</v>
      </c>
      <c r="O1321" s="1">
        <f>IF(IFERROR(VLOOKUP(car_price_prediction_[[#This Row],[Car ID]],A1322:A3821,1,FALSE),0),1,0)</f>
        <v>0</v>
      </c>
    </row>
    <row r="1322" spans="1:15" x14ac:dyDescent="0.25">
      <c r="A1322">
        <v>1321</v>
      </c>
      <c r="B1322" s="1" t="s">
        <v>10</v>
      </c>
      <c r="C1322" s="1">
        <f>car_price_prediction_[[#This Row],[Year2]]</f>
        <v>2015</v>
      </c>
      <c r="D1322">
        <v>2015</v>
      </c>
      <c r="E1322">
        <f>car_price_prediction_[[#This Row],[Engine Size]]/10</f>
        <v>1.5</v>
      </c>
      <c r="F1322">
        <v>15</v>
      </c>
      <c r="G1322" s="1" t="s">
        <v>21</v>
      </c>
      <c r="H1322" s="1" t="s">
        <v>12</v>
      </c>
      <c r="I1322" s="12">
        <f>car_price_prediction_[[#This Row],[Mileage]]/1000</f>
        <v>17.100999999999999</v>
      </c>
      <c r="J1322" s="5">
        <v>17101</v>
      </c>
      <c r="K1322" s="1" t="s">
        <v>25</v>
      </c>
      <c r="L1322" s="5">
        <f>car_price_prediction_[[#This Row],[Price]]/100</f>
        <v>2879.83</v>
      </c>
      <c r="M1322">
        <v>287983</v>
      </c>
      <c r="N1322" s="1" t="s">
        <v>33</v>
      </c>
      <c r="O1322" s="1">
        <f>IF(IFERROR(VLOOKUP(car_price_prediction_[[#This Row],[Car ID]],A1323:A3822,1,FALSE),0),1,0)</f>
        <v>0</v>
      </c>
    </row>
    <row r="1323" spans="1:15" x14ac:dyDescent="0.25">
      <c r="A1323">
        <v>1322</v>
      </c>
      <c r="B1323" s="1" t="s">
        <v>10</v>
      </c>
      <c r="C1323" s="1">
        <f>car_price_prediction_[[#This Row],[Year2]]</f>
        <v>2012</v>
      </c>
      <c r="D1323">
        <v>2012</v>
      </c>
      <c r="E1323">
        <f>car_price_prediction_[[#This Row],[Engine Size]]/10</f>
        <v>1.2</v>
      </c>
      <c r="F1323">
        <v>12</v>
      </c>
      <c r="G1323" s="1" t="s">
        <v>29</v>
      </c>
      <c r="H1323" s="1" t="s">
        <v>12</v>
      </c>
      <c r="I1323" s="12">
        <f>car_price_prediction_[[#This Row],[Mileage]]/1000</f>
        <v>290.16000000000003</v>
      </c>
      <c r="J1323" s="5">
        <v>290160</v>
      </c>
      <c r="K1323" s="1" t="s">
        <v>13</v>
      </c>
      <c r="L1323" s="5">
        <f>car_price_prediction_[[#This Row],[Price]]/100</f>
        <v>34564.51</v>
      </c>
      <c r="M1323">
        <v>3456451</v>
      </c>
      <c r="N1323" s="1" t="s">
        <v>33</v>
      </c>
      <c r="O1323" s="1">
        <f>IF(IFERROR(VLOOKUP(car_price_prediction_[[#This Row],[Car ID]],A1324:A3823,1,FALSE),0),1,0)</f>
        <v>0</v>
      </c>
    </row>
    <row r="1324" spans="1:15" x14ac:dyDescent="0.25">
      <c r="A1324">
        <v>1323</v>
      </c>
      <c r="B1324" s="1" t="s">
        <v>19</v>
      </c>
      <c r="C1324" s="1">
        <f>car_price_prediction_[[#This Row],[Year2]]</f>
        <v>2019</v>
      </c>
      <c r="D1324">
        <v>2019</v>
      </c>
      <c r="E1324">
        <f>car_price_prediction_[[#This Row],[Engine Size]]/10</f>
        <v>1.9</v>
      </c>
      <c r="F1324">
        <v>19</v>
      </c>
      <c r="G1324" s="1" t="s">
        <v>29</v>
      </c>
      <c r="H1324" s="1" t="s">
        <v>12</v>
      </c>
      <c r="I1324" s="12">
        <f>car_price_prediction_[[#This Row],[Mileage]]/1000</f>
        <v>150.00399999999999</v>
      </c>
      <c r="J1324" s="5">
        <v>150004</v>
      </c>
      <c r="K1324" s="1" t="s">
        <v>25</v>
      </c>
      <c r="L1324" s="5">
        <f>car_price_prediction_[[#This Row],[Price]]/100</f>
        <v>85753.79</v>
      </c>
      <c r="M1324">
        <v>8575379</v>
      </c>
      <c r="N1324" s="1" t="s">
        <v>38</v>
      </c>
      <c r="O1324" s="1">
        <f>IF(IFERROR(VLOOKUP(car_price_prediction_[[#This Row],[Car ID]],A1325:A3824,1,FALSE),0),1,0)</f>
        <v>0</v>
      </c>
    </row>
    <row r="1325" spans="1:15" x14ac:dyDescent="0.25">
      <c r="A1325">
        <v>1324</v>
      </c>
      <c r="B1325" s="1" t="s">
        <v>43</v>
      </c>
      <c r="C1325" s="1">
        <f>car_price_prediction_[[#This Row],[Year2]]</f>
        <v>2023</v>
      </c>
      <c r="D1325">
        <v>2023</v>
      </c>
      <c r="E1325">
        <f>car_price_prediction_[[#This Row],[Engine Size]]/10</f>
        <v>3.7</v>
      </c>
      <c r="F1325">
        <v>37</v>
      </c>
      <c r="G1325" s="1" t="s">
        <v>11</v>
      </c>
      <c r="H1325" s="1" t="s">
        <v>12</v>
      </c>
      <c r="I1325" s="12">
        <f>car_price_prediction_[[#This Row],[Mileage]]/1000</f>
        <v>90.480999999999995</v>
      </c>
      <c r="J1325" s="5">
        <v>90481</v>
      </c>
      <c r="K1325" s="1" t="s">
        <v>13</v>
      </c>
      <c r="L1325" s="5">
        <f>car_price_prediction_[[#This Row],[Price]]/100</f>
        <v>62302.94</v>
      </c>
      <c r="M1325">
        <v>6230294</v>
      </c>
      <c r="N1325" s="1" t="s">
        <v>44</v>
      </c>
      <c r="O1325" s="1">
        <f>IF(IFERROR(VLOOKUP(car_price_prediction_[[#This Row],[Car ID]],A1326:A3825,1,FALSE),0),1,0)</f>
        <v>0</v>
      </c>
    </row>
    <row r="1326" spans="1:15" x14ac:dyDescent="0.25">
      <c r="A1326">
        <v>1325</v>
      </c>
      <c r="B1326" s="1" t="s">
        <v>15</v>
      </c>
      <c r="C1326" s="1">
        <f>car_price_prediction_[[#This Row],[Year2]]</f>
        <v>2016</v>
      </c>
      <c r="D1326">
        <v>2016</v>
      </c>
      <c r="E1326">
        <f>car_price_prediction_[[#This Row],[Engine Size]]/10</f>
        <v>4.2</v>
      </c>
      <c r="F1326">
        <v>42</v>
      </c>
      <c r="G1326" s="1" t="s">
        <v>16</v>
      </c>
      <c r="H1326" s="1" t="s">
        <v>22</v>
      </c>
      <c r="I1326" s="12">
        <f>car_price_prediction_[[#This Row],[Mileage]]/1000</f>
        <v>52.802</v>
      </c>
      <c r="J1326" s="5">
        <v>52802</v>
      </c>
      <c r="K1326" s="1" t="s">
        <v>25</v>
      </c>
      <c r="L1326" s="5">
        <f>car_price_prediction_[[#This Row],[Price]]/100</f>
        <v>18839.84</v>
      </c>
      <c r="M1326">
        <v>1883984</v>
      </c>
      <c r="N1326" s="1" t="s">
        <v>51</v>
      </c>
      <c r="O1326" s="1">
        <f>IF(IFERROR(VLOOKUP(car_price_prediction_[[#This Row],[Car ID]],A1327:A3826,1,FALSE),0),1,0)</f>
        <v>0</v>
      </c>
    </row>
    <row r="1327" spans="1:15" x14ac:dyDescent="0.25">
      <c r="A1327">
        <v>1326</v>
      </c>
      <c r="B1327" s="1" t="s">
        <v>36</v>
      </c>
      <c r="C1327" s="1">
        <f>car_price_prediction_[[#This Row],[Year2]]</f>
        <v>2012</v>
      </c>
      <c r="D1327">
        <v>2012</v>
      </c>
      <c r="E1327">
        <f>car_price_prediction_[[#This Row],[Engine Size]]/10</f>
        <v>1.2</v>
      </c>
      <c r="F1327">
        <v>12</v>
      </c>
      <c r="G1327" s="1" t="s">
        <v>21</v>
      </c>
      <c r="H1327" s="1" t="s">
        <v>22</v>
      </c>
      <c r="I1327" s="12">
        <f>car_price_prediction_[[#This Row],[Mileage]]/1000</f>
        <v>269.69299999999998</v>
      </c>
      <c r="J1327" s="5">
        <v>269693</v>
      </c>
      <c r="K1327" s="1" t="s">
        <v>17</v>
      </c>
      <c r="L1327" s="5">
        <f>car_price_prediction_[[#This Row],[Price]]/100</f>
        <v>7401.48</v>
      </c>
      <c r="M1327">
        <v>740148</v>
      </c>
      <c r="N1327" s="1" t="s">
        <v>37</v>
      </c>
      <c r="O1327" s="1">
        <f>IF(IFERROR(VLOOKUP(car_price_prediction_[[#This Row],[Car ID]],A1328:A3827,1,FALSE),0),1,0)</f>
        <v>0</v>
      </c>
    </row>
    <row r="1328" spans="1:15" x14ac:dyDescent="0.25">
      <c r="A1328">
        <v>1327</v>
      </c>
      <c r="B1328" s="1" t="s">
        <v>10</v>
      </c>
      <c r="C1328" s="1">
        <f>car_price_prediction_[[#This Row],[Year2]]</f>
        <v>2005</v>
      </c>
      <c r="D1328">
        <v>2005</v>
      </c>
      <c r="E1328">
        <f>car_price_prediction_[[#This Row],[Engine Size]]/10</f>
        <v>5.7</v>
      </c>
      <c r="F1328">
        <v>57</v>
      </c>
      <c r="G1328" s="1" t="s">
        <v>29</v>
      </c>
      <c r="H1328" s="1" t="s">
        <v>22</v>
      </c>
      <c r="I1328" s="12">
        <f>car_price_prediction_[[#This Row],[Mileage]]/1000</f>
        <v>210.005</v>
      </c>
      <c r="J1328" s="5">
        <v>210005</v>
      </c>
      <c r="K1328" s="1" t="s">
        <v>13</v>
      </c>
      <c r="L1328" s="5">
        <f>car_price_prediction_[[#This Row],[Price]]/100</f>
        <v>24708.62</v>
      </c>
      <c r="M1328">
        <v>2470862</v>
      </c>
      <c r="N1328" s="1" t="s">
        <v>23</v>
      </c>
      <c r="O1328" s="1">
        <f>IF(IFERROR(VLOOKUP(car_price_prediction_[[#This Row],[Car ID]],A1329:A3828,1,FALSE),0),1,0)</f>
        <v>0</v>
      </c>
    </row>
    <row r="1329" spans="1:15" x14ac:dyDescent="0.25">
      <c r="A1329">
        <v>1328</v>
      </c>
      <c r="B1329" s="1" t="s">
        <v>24</v>
      </c>
      <c r="C1329" s="1">
        <f>car_price_prediction_[[#This Row],[Year2]]</f>
        <v>2016</v>
      </c>
      <c r="D1329">
        <v>2016</v>
      </c>
      <c r="E1329">
        <f>car_price_prediction_[[#This Row],[Engine Size]]/10</f>
        <v>5.2</v>
      </c>
      <c r="F1329">
        <v>52</v>
      </c>
      <c r="G1329" s="1" t="s">
        <v>11</v>
      </c>
      <c r="H1329" s="1" t="s">
        <v>12</v>
      </c>
      <c r="I1329" s="12">
        <f>car_price_prediction_[[#This Row],[Mileage]]/1000</f>
        <v>156.434</v>
      </c>
      <c r="J1329" s="5">
        <v>156434</v>
      </c>
      <c r="K1329" s="1" t="s">
        <v>17</v>
      </c>
      <c r="L1329" s="5">
        <f>car_price_prediction_[[#This Row],[Price]]/100</f>
        <v>46135.47</v>
      </c>
      <c r="M1329">
        <v>4613547</v>
      </c>
      <c r="N1329" s="1" t="s">
        <v>26</v>
      </c>
      <c r="O1329" s="1">
        <f>IF(IFERROR(VLOOKUP(car_price_prediction_[[#This Row],[Car ID]],A1330:A3829,1,FALSE),0),1,0)</f>
        <v>0</v>
      </c>
    </row>
    <row r="1330" spans="1:15" x14ac:dyDescent="0.25">
      <c r="A1330">
        <v>1329</v>
      </c>
      <c r="B1330" s="1" t="s">
        <v>15</v>
      </c>
      <c r="C1330" s="1">
        <f>car_price_prediction_[[#This Row],[Year2]]</f>
        <v>2013</v>
      </c>
      <c r="D1330">
        <v>2013</v>
      </c>
      <c r="E1330">
        <f>car_price_prediction_[[#This Row],[Engine Size]]/10</f>
        <v>2.5</v>
      </c>
      <c r="F1330">
        <v>25</v>
      </c>
      <c r="G1330" s="1" t="s">
        <v>16</v>
      </c>
      <c r="H1330" s="1" t="s">
        <v>22</v>
      </c>
      <c r="I1330" s="12">
        <f>car_price_prediction_[[#This Row],[Mileage]]/1000</f>
        <v>47.841999999999999</v>
      </c>
      <c r="J1330" s="5">
        <v>47842</v>
      </c>
      <c r="K1330" s="1" t="s">
        <v>13</v>
      </c>
      <c r="L1330" s="5">
        <f>car_price_prediction_[[#This Row],[Price]]/100</f>
        <v>66427.69</v>
      </c>
      <c r="M1330">
        <v>6642769</v>
      </c>
      <c r="N1330" s="1" t="s">
        <v>35</v>
      </c>
      <c r="O1330" s="1">
        <f>IF(IFERROR(VLOOKUP(car_price_prediction_[[#This Row],[Car ID]],A1331:A3830,1,FALSE),0),1,0)</f>
        <v>0</v>
      </c>
    </row>
    <row r="1331" spans="1:15" x14ac:dyDescent="0.25">
      <c r="A1331">
        <v>1330</v>
      </c>
      <c r="B1331" s="1" t="s">
        <v>19</v>
      </c>
      <c r="C1331" s="1">
        <f>car_price_prediction_[[#This Row],[Year2]]</f>
        <v>2016</v>
      </c>
      <c r="D1331">
        <v>2016</v>
      </c>
      <c r="E1331">
        <f>car_price_prediction_[[#This Row],[Engine Size]]/10</f>
        <v>1.4</v>
      </c>
      <c r="F1331">
        <v>14</v>
      </c>
      <c r="G1331" s="1" t="s">
        <v>29</v>
      </c>
      <c r="H1331" s="1" t="s">
        <v>12</v>
      </c>
      <c r="I1331" s="12">
        <f>car_price_prediction_[[#This Row],[Mileage]]/1000</f>
        <v>46.539000000000001</v>
      </c>
      <c r="J1331" s="5">
        <v>46539</v>
      </c>
      <c r="K1331" s="1" t="s">
        <v>13</v>
      </c>
      <c r="L1331" s="5">
        <f>car_price_prediction_[[#This Row],[Price]]/100</f>
        <v>30833.31</v>
      </c>
      <c r="M1331">
        <v>3083331</v>
      </c>
      <c r="N1331" s="1" t="s">
        <v>27</v>
      </c>
      <c r="O1331" s="1">
        <f>IF(IFERROR(VLOOKUP(car_price_prediction_[[#This Row],[Car ID]],A1332:A3831,1,FALSE),0),1,0)</f>
        <v>0</v>
      </c>
    </row>
    <row r="1332" spans="1:15" x14ac:dyDescent="0.25">
      <c r="A1332">
        <v>1331</v>
      </c>
      <c r="B1332" s="1" t="s">
        <v>36</v>
      </c>
      <c r="C1332" s="1">
        <f>car_price_prediction_[[#This Row],[Year2]]</f>
        <v>2007</v>
      </c>
      <c r="D1332">
        <v>2007</v>
      </c>
      <c r="E1332">
        <f>car_price_prediction_[[#This Row],[Engine Size]]/10</f>
        <v>1.8</v>
      </c>
      <c r="F1332">
        <v>18</v>
      </c>
      <c r="G1332" s="1" t="s">
        <v>16</v>
      </c>
      <c r="H1332" s="1" t="s">
        <v>12</v>
      </c>
      <c r="I1332" s="12">
        <f>car_price_prediction_[[#This Row],[Mileage]]/1000</f>
        <v>33.716999999999999</v>
      </c>
      <c r="J1332" s="5">
        <v>33717</v>
      </c>
      <c r="K1332" s="1" t="s">
        <v>17</v>
      </c>
      <c r="L1332" s="5">
        <f>car_price_prediction_[[#This Row],[Price]]/100</f>
        <v>41490.15</v>
      </c>
      <c r="M1332">
        <v>4149015</v>
      </c>
      <c r="N1332" s="1" t="s">
        <v>37</v>
      </c>
      <c r="O1332" s="1">
        <f>IF(IFERROR(VLOOKUP(car_price_prediction_[[#This Row],[Car ID]],A1333:A3832,1,FALSE),0),1,0)</f>
        <v>0</v>
      </c>
    </row>
    <row r="1333" spans="1:15" x14ac:dyDescent="0.25">
      <c r="A1333">
        <v>1332</v>
      </c>
      <c r="B1333" s="1" t="s">
        <v>43</v>
      </c>
      <c r="C1333" s="1">
        <f>car_price_prediction_[[#This Row],[Year2]]</f>
        <v>2010</v>
      </c>
      <c r="D1333">
        <v>2010</v>
      </c>
      <c r="E1333">
        <f>car_price_prediction_[[#This Row],[Engine Size]]/10</f>
        <v>1.6</v>
      </c>
      <c r="F1333">
        <v>16</v>
      </c>
      <c r="G1333" s="1" t="s">
        <v>16</v>
      </c>
      <c r="H1333" s="1" t="s">
        <v>12</v>
      </c>
      <c r="I1333" s="12">
        <f>car_price_prediction_[[#This Row],[Mileage]]/1000</f>
        <v>246.28100000000001</v>
      </c>
      <c r="J1333" s="5">
        <v>246281</v>
      </c>
      <c r="K1333" s="1" t="s">
        <v>17</v>
      </c>
      <c r="L1333" s="5">
        <f>car_price_prediction_[[#This Row],[Price]]/100</f>
        <v>74744.210000000006</v>
      </c>
      <c r="M1333">
        <v>7474421</v>
      </c>
      <c r="N1333" s="1" t="s">
        <v>52</v>
      </c>
      <c r="O1333" s="1">
        <f>IF(IFERROR(VLOOKUP(car_price_prediction_[[#This Row],[Car ID]],A1334:A3833,1,FALSE),0),1,0)</f>
        <v>0</v>
      </c>
    </row>
    <row r="1334" spans="1:15" x14ac:dyDescent="0.25">
      <c r="A1334">
        <v>1333</v>
      </c>
      <c r="B1334" s="1" t="s">
        <v>43</v>
      </c>
      <c r="C1334" s="1">
        <f>car_price_prediction_[[#This Row],[Year2]]</f>
        <v>2019</v>
      </c>
      <c r="D1334">
        <v>2019</v>
      </c>
      <c r="E1334">
        <f>car_price_prediction_[[#This Row],[Engine Size]]/10</f>
        <v>1.6</v>
      </c>
      <c r="F1334">
        <v>16</v>
      </c>
      <c r="G1334" s="1" t="s">
        <v>21</v>
      </c>
      <c r="H1334" s="1" t="s">
        <v>22</v>
      </c>
      <c r="I1334" s="12">
        <f>car_price_prediction_[[#This Row],[Mileage]]/1000</f>
        <v>186.27199999999999</v>
      </c>
      <c r="J1334" s="5">
        <v>186272</v>
      </c>
      <c r="K1334" s="1" t="s">
        <v>17</v>
      </c>
      <c r="L1334" s="5">
        <f>car_price_prediction_[[#This Row],[Price]]/100</f>
        <v>94101.54</v>
      </c>
      <c r="M1334">
        <v>9410154</v>
      </c>
      <c r="N1334" s="1" t="s">
        <v>47</v>
      </c>
      <c r="O1334" s="1">
        <f>IF(IFERROR(VLOOKUP(car_price_prediction_[[#This Row],[Car ID]],A1335:A3834,1,FALSE),0),1,0)</f>
        <v>0</v>
      </c>
    </row>
    <row r="1335" spans="1:15" x14ac:dyDescent="0.25">
      <c r="A1335">
        <v>1334</v>
      </c>
      <c r="B1335" s="1" t="s">
        <v>19</v>
      </c>
      <c r="C1335" s="1">
        <f>car_price_prediction_[[#This Row],[Year2]]</f>
        <v>2000</v>
      </c>
      <c r="D1335">
        <v>2000</v>
      </c>
      <c r="E1335">
        <f>car_price_prediction_[[#This Row],[Engine Size]]/10</f>
        <v>3.6</v>
      </c>
      <c r="F1335">
        <v>36</v>
      </c>
      <c r="G1335" s="1" t="s">
        <v>21</v>
      </c>
      <c r="H1335" s="1" t="s">
        <v>12</v>
      </c>
      <c r="I1335" s="12">
        <f>car_price_prediction_[[#This Row],[Mileage]]/1000</f>
        <v>115.042</v>
      </c>
      <c r="J1335" s="5">
        <v>115042</v>
      </c>
      <c r="K1335" s="1" t="s">
        <v>13</v>
      </c>
      <c r="L1335" s="5">
        <f>car_price_prediction_[[#This Row],[Price]]/100</f>
        <v>55278.28</v>
      </c>
      <c r="M1335">
        <v>5527828</v>
      </c>
      <c r="N1335" s="1" t="s">
        <v>28</v>
      </c>
      <c r="O1335" s="1">
        <f>IF(IFERROR(VLOOKUP(car_price_prediction_[[#This Row],[Car ID]],A1336:A3835,1,FALSE),0),1,0)</f>
        <v>0</v>
      </c>
    </row>
    <row r="1336" spans="1:15" x14ac:dyDescent="0.25">
      <c r="A1336">
        <v>1335</v>
      </c>
      <c r="B1336" s="1" t="s">
        <v>19</v>
      </c>
      <c r="C1336" s="1">
        <f>car_price_prediction_[[#This Row],[Year2]]</f>
        <v>2006</v>
      </c>
      <c r="D1336">
        <v>2006</v>
      </c>
      <c r="E1336">
        <f>car_price_prediction_[[#This Row],[Engine Size]]/10</f>
        <v>2.2000000000000002</v>
      </c>
      <c r="F1336">
        <v>22</v>
      </c>
      <c r="G1336" s="1" t="s">
        <v>29</v>
      </c>
      <c r="H1336" s="1" t="s">
        <v>12</v>
      </c>
      <c r="I1336" s="12">
        <f>car_price_prediction_[[#This Row],[Mileage]]/1000</f>
        <v>127.922</v>
      </c>
      <c r="J1336" s="5">
        <v>127922</v>
      </c>
      <c r="K1336" s="1" t="s">
        <v>17</v>
      </c>
      <c r="L1336" s="5">
        <f>car_price_prediction_[[#This Row],[Price]]/100</f>
        <v>5947.24</v>
      </c>
      <c r="M1336">
        <v>594724</v>
      </c>
      <c r="N1336" s="1" t="s">
        <v>20</v>
      </c>
      <c r="O1336" s="1">
        <f>IF(IFERROR(VLOOKUP(car_price_prediction_[[#This Row],[Car ID]],A1337:A3836,1,FALSE),0),1,0)</f>
        <v>0</v>
      </c>
    </row>
    <row r="1337" spans="1:15" x14ac:dyDescent="0.25">
      <c r="A1337">
        <v>1336</v>
      </c>
      <c r="B1337" s="1" t="s">
        <v>24</v>
      </c>
      <c r="C1337" s="1">
        <f>car_price_prediction_[[#This Row],[Year2]]</f>
        <v>2020</v>
      </c>
      <c r="D1337">
        <v>2020</v>
      </c>
      <c r="E1337">
        <f>car_price_prediction_[[#This Row],[Engine Size]]/10</f>
        <v>2.8</v>
      </c>
      <c r="F1337">
        <v>28</v>
      </c>
      <c r="G1337" s="1" t="s">
        <v>16</v>
      </c>
      <c r="H1337" s="1" t="s">
        <v>22</v>
      </c>
      <c r="I1337" s="12">
        <f>car_price_prediction_[[#This Row],[Mileage]]/1000</f>
        <v>92.447000000000003</v>
      </c>
      <c r="J1337" s="5">
        <v>92447</v>
      </c>
      <c r="K1337" s="1" t="s">
        <v>17</v>
      </c>
      <c r="L1337" s="5">
        <f>car_price_prediction_[[#This Row],[Price]]/100</f>
        <v>37154.06</v>
      </c>
      <c r="M1337">
        <v>3715406</v>
      </c>
      <c r="N1337" s="1" t="s">
        <v>53</v>
      </c>
      <c r="O1337" s="1">
        <f>IF(IFERROR(VLOOKUP(car_price_prediction_[[#This Row],[Car ID]],A1338:A3837,1,FALSE),0),1,0)</f>
        <v>0</v>
      </c>
    </row>
    <row r="1338" spans="1:15" x14ac:dyDescent="0.25">
      <c r="A1338">
        <v>1337</v>
      </c>
      <c r="B1338" s="1" t="s">
        <v>10</v>
      </c>
      <c r="C1338" s="1">
        <f>car_price_prediction_[[#This Row],[Year2]]</f>
        <v>2020</v>
      </c>
      <c r="D1338">
        <v>2020</v>
      </c>
      <c r="E1338">
        <f>car_price_prediction_[[#This Row],[Engine Size]]/10</f>
        <v>5.9</v>
      </c>
      <c r="F1338">
        <v>59</v>
      </c>
      <c r="G1338" s="1" t="s">
        <v>29</v>
      </c>
      <c r="H1338" s="1" t="s">
        <v>12</v>
      </c>
      <c r="I1338" s="12">
        <f>car_price_prediction_[[#This Row],[Mileage]]/1000</f>
        <v>158.69300000000001</v>
      </c>
      <c r="J1338" s="5">
        <v>158693</v>
      </c>
      <c r="K1338" s="1" t="s">
        <v>25</v>
      </c>
      <c r="L1338" s="5">
        <f>car_price_prediction_[[#This Row],[Price]]/100</f>
        <v>42870.26</v>
      </c>
      <c r="M1338">
        <v>4287026</v>
      </c>
      <c r="N1338" s="1" t="s">
        <v>14</v>
      </c>
      <c r="O1338" s="1">
        <f>IF(IFERROR(VLOOKUP(car_price_prediction_[[#This Row],[Car ID]],A1339:A3838,1,FALSE),0),1,0)</f>
        <v>0</v>
      </c>
    </row>
    <row r="1339" spans="1:15" x14ac:dyDescent="0.25">
      <c r="A1339">
        <v>1338</v>
      </c>
      <c r="B1339" s="1" t="s">
        <v>43</v>
      </c>
      <c r="C1339" s="1">
        <f>car_price_prediction_[[#This Row],[Year2]]</f>
        <v>2016</v>
      </c>
      <c r="D1339">
        <v>2016</v>
      </c>
      <c r="E1339">
        <f>car_price_prediction_[[#This Row],[Engine Size]]/10</f>
        <v>4.4000000000000004</v>
      </c>
      <c r="F1339">
        <v>44</v>
      </c>
      <c r="G1339" s="1" t="s">
        <v>29</v>
      </c>
      <c r="H1339" s="1" t="s">
        <v>22</v>
      </c>
      <c r="I1339" s="12">
        <f>car_price_prediction_[[#This Row],[Mileage]]/1000</f>
        <v>12.823</v>
      </c>
      <c r="J1339" s="5">
        <v>12823</v>
      </c>
      <c r="K1339" s="1" t="s">
        <v>25</v>
      </c>
      <c r="L1339" s="5">
        <f>car_price_prediction_[[#This Row],[Price]]/100</f>
        <v>37221.49</v>
      </c>
      <c r="M1339">
        <v>3722149</v>
      </c>
      <c r="N1339" s="1" t="s">
        <v>52</v>
      </c>
      <c r="O1339" s="1">
        <f>IF(IFERROR(VLOOKUP(car_price_prediction_[[#This Row],[Car ID]],A1340:A3839,1,FALSE),0),1,0)</f>
        <v>0</v>
      </c>
    </row>
    <row r="1340" spans="1:15" x14ac:dyDescent="0.25">
      <c r="A1340">
        <v>1339</v>
      </c>
      <c r="B1340" s="1" t="s">
        <v>36</v>
      </c>
      <c r="C1340" s="1">
        <f>car_price_prediction_[[#This Row],[Year2]]</f>
        <v>2009</v>
      </c>
      <c r="D1340">
        <v>2009</v>
      </c>
      <c r="E1340">
        <f>car_price_prediction_[[#This Row],[Engine Size]]/10</f>
        <v>5.7</v>
      </c>
      <c r="F1340">
        <v>57</v>
      </c>
      <c r="G1340" s="1" t="s">
        <v>16</v>
      </c>
      <c r="H1340" s="1" t="s">
        <v>12</v>
      </c>
      <c r="I1340" s="12">
        <f>car_price_prediction_[[#This Row],[Mileage]]/1000</f>
        <v>29.986000000000001</v>
      </c>
      <c r="J1340" s="5">
        <v>29986</v>
      </c>
      <c r="K1340" s="1" t="s">
        <v>17</v>
      </c>
      <c r="L1340" s="5">
        <f>car_price_prediction_[[#This Row],[Price]]/100</f>
        <v>46445.54</v>
      </c>
      <c r="M1340">
        <v>4644554</v>
      </c>
      <c r="N1340" s="1" t="s">
        <v>41</v>
      </c>
      <c r="O1340" s="1">
        <f>IF(IFERROR(VLOOKUP(car_price_prediction_[[#This Row],[Car ID]],A1341:A3840,1,FALSE),0),1,0)</f>
        <v>0</v>
      </c>
    </row>
    <row r="1341" spans="1:15" x14ac:dyDescent="0.25">
      <c r="A1341">
        <v>1340</v>
      </c>
      <c r="B1341" s="1" t="s">
        <v>15</v>
      </c>
      <c r="C1341" s="1">
        <f>car_price_prediction_[[#This Row],[Year2]]</f>
        <v>2010</v>
      </c>
      <c r="D1341">
        <v>2010</v>
      </c>
      <c r="E1341">
        <f>car_price_prediction_[[#This Row],[Engine Size]]/10</f>
        <v>1.7</v>
      </c>
      <c r="F1341">
        <v>17</v>
      </c>
      <c r="G1341" s="1" t="s">
        <v>29</v>
      </c>
      <c r="H1341" s="1" t="s">
        <v>22</v>
      </c>
      <c r="I1341" s="12">
        <f>car_price_prediction_[[#This Row],[Mileage]]/1000</f>
        <v>121.682</v>
      </c>
      <c r="J1341" s="5">
        <v>121682</v>
      </c>
      <c r="K1341" s="1" t="s">
        <v>17</v>
      </c>
      <c r="L1341" s="5">
        <f>car_price_prediction_[[#This Row],[Price]]/100</f>
        <v>65103.29</v>
      </c>
      <c r="M1341">
        <v>6510329</v>
      </c>
      <c r="N1341" s="1" t="s">
        <v>18</v>
      </c>
      <c r="O1341" s="1">
        <f>IF(IFERROR(VLOOKUP(car_price_prediction_[[#This Row],[Car ID]],A1342:A3841,1,FALSE),0),1,0)</f>
        <v>0</v>
      </c>
    </row>
    <row r="1342" spans="1:15" x14ac:dyDescent="0.25">
      <c r="A1342">
        <v>1341</v>
      </c>
      <c r="B1342" s="1" t="s">
        <v>36</v>
      </c>
      <c r="C1342" s="1">
        <f>car_price_prediction_[[#This Row],[Year2]]</f>
        <v>2021</v>
      </c>
      <c r="D1342">
        <v>2021</v>
      </c>
      <c r="E1342">
        <f>car_price_prediction_[[#This Row],[Engine Size]]/10</f>
        <v>2.9</v>
      </c>
      <c r="F1342">
        <v>29</v>
      </c>
      <c r="G1342" s="1" t="s">
        <v>16</v>
      </c>
      <c r="H1342" s="1" t="s">
        <v>12</v>
      </c>
      <c r="I1342" s="12">
        <f>car_price_prediction_[[#This Row],[Mileage]]/1000</f>
        <v>64.325000000000003</v>
      </c>
      <c r="J1342" s="5">
        <v>64325</v>
      </c>
      <c r="K1342" s="1" t="s">
        <v>17</v>
      </c>
      <c r="L1342" s="5">
        <f>car_price_prediction_[[#This Row],[Price]]/100</f>
        <v>16507.16</v>
      </c>
      <c r="M1342">
        <v>1650716</v>
      </c>
      <c r="N1342" s="1" t="s">
        <v>41</v>
      </c>
      <c r="O1342" s="1">
        <f>IF(IFERROR(VLOOKUP(car_price_prediction_[[#This Row],[Car ID]],A1343:A3842,1,FALSE),0),1,0)</f>
        <v>0</v>
      </c>
    </row>
    <row r="1343" spans="1:15" x14ac:dyDescent="0.25">
      <c r="A1343">
        <v>1342</v>
      </c>
      <c r="B1343" s="1" t="s">
        <v>30</v>
      </c>
      <c r="C1343" s="1">
        <f>car_price_prediction_[[#This Row],[Year2]]</f>
        <v>2008</v>
      </c>
      <c r="D1343">
        <v>2008</v>
      </c>
      <c r="E1343">
        <f>car_price_prediction_[[#This Row],[Engine Size]]/10</f>
        <v>3.8</v>
      </c>
      <c r="F1343">
        <v>38</v>
      </c>
      <c r="G1343" s="1" t="s">
        <v>16</v>
      </c>
      <c r="H1343" s="1" t="s">
        <v>12</v>
      </c>
      <c r="I1343" s="12">
        <f>car_price_prediction_[[#This Row],[Mileage]]/1000</f>
        <v>250.476</v>
      </c>
      <c r="J1343" s="5">
        <v>250476</v>
      </c>
      <c r="K1343" s="1" t="s">
        <v>17</v>
      </c>
      <c r="L1343" s="5">
        <f>car_price_prediction_[[#This Row],[Price]]/100</f>
        <v>3089.99</v>
      </c>
      <c r="M1343">
        <v>308999</v>
      </c>
      <c r="N1343" s="1" t="s">
        <v>48</v>
      </c>
      <c r="O1343" s="1">
        <f>IF(IFERROR(VLOOKUP(car_price_prediction_[[#This Row],[Car ID]],A1344:A3843,1,FALSE),0),1,0)</f>
        <v>0</v>
      </c>
    </row>
    <row r="1344" spans="1:15" x14ac:dyDescent="0.25">
      <c r="A1344">
        <v>1343</v>
      </c>
      <c r="B1344" s="1" t="s">
        <v>30</v>
      </c>
      <c r="C1344" s="1">
        <f>car_price_prediction_[[#This Row],[Year2]]</f>
        <v>2008</v>
      </c>
      <c r="D1344">
        <v>2008</v>
      </c>
      <c r="E1344">
        <f>car_price_prediction_[[#This Row],[Engine Size]]/10</f>
        <v>1.4</v>
      </c>
      <c r="F1344">
        <v>14</v>
      </c>
      <c r="G1344" s="1" t="s">
        <v>16</v>
      </c>
      <c r="H1344" s="1" t="s">
        <v>22</v>
      </c>
      <c r="I1344" s="12">
        <f>car_price_prediction_[[#This Row],[Mileage]]/1000</f>
        <v>57.771000000000001</v>
      </c>
      <c r="J1344" s="5">
        <v>57771</v>
      </c>
      <c r="K1344" s="1" t="s">
        <v>25</v>
      </c>
      <c r="L1344" s="5">
        <f>car_price_prediction_[[#This Row],[Price]]/100</f>
        <v>53226.57</v>
      </c>
      <c r="M1344">
        <v>5322657</v>
      </c>
      <c r="N1344" s="1" t="s">
        <v>31</v>
      </c>
      <c r="O1344" s="1">
        <f>IF(IFERROR(VLOOKUP(car_price_prediction_[[#This Row],[Car ID]],A1345:A3844,1,FALSE),0),1,0)</f>
        <v>0</v>
      </c>
    </row>
    <row r="1345" spans="1:15" x14ac:dyDescent="0.25">
      <c r="A1345">
        <v>1344</v>
      </c>
      <c r="B1345" s="1" t="s">
        <v>19</v>
      </c>
      <c r="C1345" s="1">
        <f>car_price_prediction_[[#This Row],[Year2]]</f>
        <v>2023</v>
      </c>
      <c r="D1345">
        <v>2023</v>
      </c>
      <c r="E1345">
        <f>car_price_prediction_[[#This Row],[Engine Size]]/10</f>
        <v>1</v>
      </c>
      <c r="F1345">
        <v>10</v>
      </c>
      <c r="G1345" s="1" t="s">
        <v>16</v>
      </c>
      <c r="H1345" s="1" t="s">
        <v>12</v>
      </c>
      <c r="I1345" s="12">
        <f>car_price_prediction_[[#This Row],[Mileage]]/1000</f>
        <v>54.972999999999999</v>
      </c>
      <c r="J1345" s="5">
        <v>54973</v>
      </c>
      <c r="K1345" s="1" t="s">
        <v>13</v>
      </c>
      <c r="L1345" s="5">
        <f>car_price_prediction_[[#This Row],[Price]]/100</f>
        <v>34979.46</v>
      </c>
      <c r="M1345">
        <v>3497946</v>
      </c>
      <c r="N1345" s="1" t="s">
        <v>38</v>
      </c>
      <c r="O1345" s="1">
        <f>IF(IFERROR(VLOOKUP(car_price_prediction_[[#This Row],[Car ID]],A1346:A3845,1,FALSE),0),1,0)</f>
        <v>0</v>
      </c>
    </row>
    <row r="1346" spans="1:15" x14ac:dyDescent="0.25">
      <c r="A1346">
        <v>1345</v>
      </c>
      <c r="B1346" s="1" t="s">
        <v>24</v>
      </c>
      <c r="C1346" s="1">
        <f>car_price_prediction_[[#This Row],[Year2]]</f>
        <v>2004</v>
      </c>
      <c r="D1346">
        <v>2004</v>
      </c>
      <c r="E1346">
        <f>car_price_prediction_[[#This Row],[Engine Size]]/10</f>
        <v>4.4000000000000004</v>
      </c>
      <c r="F1346">
        <v>44</v>
      </c>
      <c r="G1346" s="1" t="s">
        <v>11</v>
      </c>
      <c r="H1346" s="1" t="s">
        <v>22</v>
      </c>
      <c r="I1346" s="12">
        <f>car_price_prediction_[[#This Row],[Mileage]]/1000</f>
        <v>145.762</v>
      </c>
      <c r="J1346" s="5">
        <v>145762</v>
      </c>
      <c r="K1346" s="1" t="s">
        <v>17</v>
      </c>
      <c r="L1346" s="5">
        <f>car_price_prediction_[[#This Row],[Price]]/100</f>
        <v>99153.11</v>
      </c>
      <c r="M1346">
        <v>9915311</v>
      </c>
      <c r="N1346" s="1" t="s">
        <v>34</v>
      </c>
      <c r="O1346" s="1">
        <f>IF(IFERROR(VLOOKUP(car_price_prediction_[[#This Row],[Car ID]],A1347:A3846,1,FALSE),0),1,0)</f>
        <v>0</v>
      </c>
    </row>
    <row r="1347" spans="1:15" x14ac:dyDescent="0.25">
      <c r="A1347">
        <v>1346</v>
      </c>
      <c r="B1347" s="1" t="s">
        <v>30</v>
      </c>
      <c r="C1347" s="1">
        <f>car_price_prediction_[[#This Row],[Year2]]</f>
        <v>2016</v>
      </c>
      <c r="D1347">
        <v>2016</v>
      </c>
      <c r="E1347">
        <f>car_price_prediction_[[#This Row],[Engine Size]]/10</f>
        <v>4.2</v>
      </c>
      <c r="F1347">
        <v>42</v>
      </c>
      <c r="G1347" s="1" t="s">
        <v>16</v>
      </c>
      <c r="H1347" s="1" t="s">
        <v>12</v>
      </c>
      <c r="I1347" s="12">
        <f>car_price_prediction_[[#This Row],[Mileage]]/1000</f>
        <v>57.887999999999998</v>
      </c>
      <c r="J1347" s="5">
        <v>57888</v>
      </c>
      <c r="K1347" s="1" t="s">
        <v>17</v>
      </c>
      <c r="L1347" s="5">
        <f>car_price_prediction_[[#This Row],[Price]]/100</f>
        <v>45985.99</v>
      </c>
      <c r="M1347">
        <v>4598599</v>
      </c>
      <c r="N1347" s="1" t="s">
        <v>42</v>
      </c>
      <c r="O1347" s="1">
        <f>IF(IFERROR(VLOOKUP(car_price_prediction_[[#This Row],[Car ID]],A1348:A3847,1,FALSE),0),1,0)</f>
        <v>0</v>
      </c>
    </row>
    <row r="1348" spans="1:15" x14ac:dyDescent="0.25">
      <c r="A1348">
        <v>1347</v>
      </c>
      <c r="B1348" s="1" t="s">
        <v>43</v>
      </c>
      <c r="C1348" s="1">
        <f>car_price_prediction_[[#This Row],[Year2]]</f>
        <v>2008</v>
      </c>
      <c r="D1348">
        <v>2008</v>
      </c>
      <c r="E1348">
        <f>car_price_prediction_[[#This Row],[Engine Size]]/10</f>
        <v>3.1</v>
      </c>
      <c r="F1348">
        <v>31</v>
      </c>
      <c r="G1348" s="1" t="s">
        <v>21</v>
      </c>
      <c r="H1348" s="1" t="s">
        <v>22</v>
      </c>
      <c r="I1348" s="12">
        <f>car_price_prediction_[[#This Row],[Mileage]]/1000</f>
        <v>10.956</v>
      </c>
      <c r="J1348" s="5">
        <v>10956</v>
      </c>
      <c r="K1348" s="1" t="s">
        <v>25</v>
      </c>
      <c r="L1348" s="5">
        <f>car_price_prediction_[[#This Row],[Price]]/100</f>
        <v>87630.92</v>
      </c>
      <c r="M1348">
        <v>8763092</v>
      </c>
      <c r="N1348" s="1" t="s">
        <v>44</v>
      </c>
      <c r="O1348" s="1">
        <f>IF(IFERROR(VLOOKUP(car_price_prediction_[[#This Row],[Car ID]],A1349:A3848,1,FALSE),0),1,0)</f>
        <v>0</v>
      </c>
    </row>
    <row r="1349" spans="1:15" x14ac:dyDescent="0.25">
      <c r="A1349">
        <v>1348</v>
      </c>
      <c r="B1349" s="1" t="s">
        <v>36</v>
      </c>
      <c r="C1349" s="1">
        <f>car_price_prediction_[[#This Row],[Year2]]</f>
        <v>2016</v>
      </c>
      <c r="D1349">
        <v>2016</v>
      </c>
      <c r="E1349">
        <f>car_price_prediction_[[#This Row],[Engine Size]]/10</f>
        <v>3.4</v>
      </c>
      <c r="F1349">
        <v>34</v>
      </c>
      <c r="G1349" s="1" t="s">
        <v>21</v>
      </c>
      <c r="H1349" s="1" t="s">
        <v>12</v>
      </c>
      <c r="I1349" s="12">
        <f>car_price_prediction_[[#This Row],[Mileage]]/1000</f>
        <v>86.838999999999999</v>
      </c>
      <c r="J1349" s="5">
        <v>86839</v>
      </c>
      <c r="K1349" s="1" t="s">
        <v>17</v>
      </c>
      <c r="L1349" s="5">
        <f>car_price_prediction_[[#This Row],[Price]]/100</f>
        <v>90168.43</v>
      </c>
      <c r="M1349">
        <v>9016843</v>
      </c>
      <c r="N1349" s="1" t="s">
        <v>41</v>
      </c>
      <c r="O1349" s="1">
        <f>IF(IFERROR(VLOOKUP(car_price_prediction_[[#This Row],[Car ID]],A1350:A3849,1,FALSE),0),1,0)</f>
        <v>0</v>
      </c>
    </row>
    <row r="1350" spans="1:15" x14ac:dyDescent="0.25">
      <c r="A1350">
        <v>1349</v>
      </c>
      <c r="B1350" s="1" t="s">
        <v>36</v>
      </c>
      <c r="C1350" s="1">
        <f>car_price_prediction_[[#This Row],[Year2]]</f>
        <v>2023</v>
      </c>
      <c r="D1350">
        <v>2023</v>
      </c>
      <c r="E1350">
        <f>car_price_prediction_[[#This Row],[Engine Size]]/10</f>
        <v>3.1</v>
      </c>
      <c r="F1350">
        <v>31</v>
      </c>
      <c r="G1350" s="1" t="s">
        <v>21</v>
      </c>
      <c r="H1350" s="1" t="s">
        <v>12</v>
      </c>
      <c r="I1350" s="12">
        <f>car_price_prediction_[[#This Row],[Mileage]]/1000</f>
        <v>167.60499999999999</v>
      </c>
      <c r="J1350" s="5">
        <v>167605</v>
      </c>
      <c r="K1350" s="1" t="s">
        <v>17</v>
      </c>
      <c r="L1350" s="5">
        <f>car_price_prediction_[[#This Row],[Price]]/100</f>
        <v>84420.66</v>
      </c>
      <c r="M1350">
        <v>8442066</v>
      </c>
      <c r="N1350" s="1" t="s">
        <v>37</v>
      </c>
      <c r="O1350" s="1">
        <f>IF(IFERROR(VLOOKUP(car_price_prediction_[[#This Row],[Car ID]],A1351:A3850,1,FALSE),0),1,0)</f>
        <v>0</v>
      </c>
    </row>
    <row r="1351" spans="1:15" x14ac:dyDescent="0.25">
      <c r="A1351">
        <v>1350</v>
      </c>
      <c r="B1351" s="1" t="s">
        <v>19</v>
      </c>
      <c r="C1351" s="1">
        <f>car_price_prediction_[[#This Row],[Year2]]</f>
        <v>2020</v>
      </c>
      <c r="D1351">
        <v>2020</v>
      </c>
      <c r="E1351">
        <f>car_price_prediction_[[#This Row],[Engine Size]]/10</f>
        <v>1.1000000000000001</v>
      </c>
      <c r="F1351">
        <v>11</v>
      </c>
      <c r="G1351" s="1" t="s">
        <v>16</v>
      </c>
      <c r="H1351" s="1" t="s">
        <v>12</v>
      </c>
      <c r="I1351" s="12">
        <f>car_price_prediction_[[#This Row],[Mileage]]/1000</f>
        <v>101.131</v>
      </c>
      <c r="J1351" s="5">
        <v>101131</v>
      </c>
      <c r="K1351" s="1" t="s">
        <v>25</v>
      </c>
      <c r="L1351" s="5">
        <f>car_price_prediction_[[#This Row],[Price]]/100</f>
        <v>9455.33</v>
      </c>
      <c r="M1351">
        <v>945533</v>
      </c>
      <c r="N1351" s="1" t="s">
        <v>27</v>
      </c>
      <c r="O1351" s="1">
        <f>IF(IFERROR(VLOOKUP(car_price_prediction_[[#This Row],[Car ID]],A1352:A3851,1,FALSE),0),1,0)</f>
        <v>0</v>
      </c>
    </row>
    <row r="1352" spans="1:15" x14ac:dyDescent="0.25">
      <c r="A1352">
        <v>1351</v>
      </c>
      <c r="B1352" s="1" t="s">
        <v>10</v>
      </c>
      <c r="C1352" s="1">
        <f>car_price_prediction_[[#This Row],[Year2]]</f>
        <v>2018</v>
      </c>
      <c r="D1352">
        <v>2018</v>
      </c>
      <c r="E1352">
        <f>car_price_prediction_[[#This Row],[Engine Size]]/10</f>
        <v>2.7</v>
      </c>
      <c r="F1352">
        <v>27</v>
      </c>
      <c r="G1352" s="1" t="s">
        <v>21</v>
      </c>
      <c r="H1352" s="1" t="s">
        <v>22</v>
      </c>
      <c r="I1352" s="12">
        <f>car_price_prediction_[[#This Row],[Mileage]]/1000</f>
        <v>187.97300000000001</v>
      </c>
      <c r="J1352" s="5">
        <v>187973</v>
      </c>
      <c r="K1352" s="1" t="s">
        <v>17</v>
      </c>
      <c r="L1352" s="5">
        <f>car_price_prediction_[[#This Row],[Price]]/100</f>
        <v>95035.94</v>
      </c>
      <c r="M1352">
        <v>9503594</v>
      </c>
      <c r="N1352" s="1" t="s">
        <v>23</v>
      </c>
      <c r="O1352" s="1">
        <f>IF(IFERROR(VLOOKUP(car_price_prediction_[[#This Row],[Car ID]],A1353:A3852,1,FALSE),0),1,0)</f>
        <v>0</v>
      </c>
    </row>
    <row r="1353" spans="1:15" x14ac:dyDescent="0.25">
      <c r="A1353">
        <v>1352</v>
      </c>
      <c r="B1353" s="1" t="s">
        <v>10</v>
      </c>
      <c r="C1353" s="1">
        <f>car_price_prediction_[[#This Row],[Year2]]</f>
        <v>2006</v>
      </c>
      <c r="D1353">
        <v>2006</v>
      </c>
      <c r="E1353">
        <f>car_price_prediction_[[#This Row],[Engine Size]]/10</f>
        <v>1.9</v>
      </c>
      <c r="F1353">
        <v>19</v>
      </c>
      <c r="G1353" s="1" t="s">
        <v>11</v>
      </c>
      <c r="H1353" s="1" t="s">
        <v>22</v>
      </c>
      <c r="I1353" s="12">
        <f>car_price_prediction_[[#This Row],[Mileage]]/1000</f>
        <v>11.519</v>
      </c>
      <c r="J1353" s="5">
        <v>11519</v>
      </c>
      <c r="K1353" s="1" t="s">
        <v>17</v>
      </c>
      <c r="L1353" s="5">
        <f>car_price_prediction_[[#This Row],[Price]]/100</f>
        <v>17230.54</v>
      </c>
      <c r="M1353">
        <v>1723054</v>
      </c>
      <c r="N1353" s="1" t="s">
        <v>23</v>
      </c>
      <c r="O1353" s="1">
        <f>IF(IFERROR(VLOOKUP(car_price_prediction_[[#This Row],[Car ID]],A1354:A3853,1,FALSE),0),1,0)</f>
        <v>0</v>
      </c>
    </row>
    <row r="1354" spans="1:15" x14ac:dyDescent="0.25">
      <c r="A1354">
        <v>1353</v>
      </c>
      <c r="B1354" s="1" t="s">
        <v>15</v>
      </c>
      <c r="C1354" s="1">
        <f>car_price_prediction_[[#This Row],[Year2]]</f>
        <v>2022</v>
      </c>
      <c r="D1354">
        <v>2022</v>
      </c>
      <c r="E1354">
        <f>car_price_prediction_[[#This Row],[Engine Size]]/10</f>
        <v>1.5</v>
      </c>
      <c r="F1354">
        <v>15</v>
      </c>
      <c r="G1354" s="1" t="s">
        <v>29</v>
      </c>
      <c r="H1354" s="1" t="s">
        <v>22</v>
      </c>
      <c r="I1354" s="12">
        <f>car_price_prediction_[[#This Row],[Mileage]]/1000</f>
        <v>162.18700000000001</v>
      </c>
      <c r="J1354" s="5">
        <v>162187</v>
      </c>
      <c r="K1354" s="1" t="s">
        <v>25</v>
      </c>
      <c r="L1354" s="5">
        <f>car_price_prediction_[[#This Row],[Price]]/100</f>
        <v>8268.34</v>
      </c>
      <c r="M1354">
        <v>826834</v>
      </c>
      <c r="N1354" s="1" t="s">
        <v>39</v>
      </c>
      <c r="O1354" s="1">
        <f>IF(IFERROR(VLOOKUP(car_price_prediction_[[#This Row],[Car ID]],A1355:A3854,1,FALSE),0),1,0)</f>
        <v>0</v>
      </c>
    </row>
    <row r="1355" spans="1:15" x14ac:dyDescent="0.25">
      <c r="A1355">
        <v>1354</v>
      </c>
      <c r="B1355" s="1" t="s">
        <v>19</v>
      </c>
      <c r="C1355" s="1">
        <f>car_price_prediction_[[#This Row],[Year2]]</f>
        <v>2008</v>
      </c>
      <c r="D1355">
        <v>2008</v>
      </c>
      <c r="E1355">
        <f>car_price_prediction_[[#This Row],[Engine Size]]/10</f>
        <v>5.8</v>
      </c>
      <c r="F1355">
        <v>58</v>
      </c>
      <c r="G1355" s="1" t="s">
        <v>16</v>
      </c>
      <c r="H1355" s="1" t="s">
        <v>22</v>
      </c>
      <c r="I1355" s="12">
        <f>car_price_prediction_[[#This Row],[Mileage]]/1000</f>
        <v>1.8320000000000001</v>
      </c>
      <c r="J1355" s="5">
        <v>1832</v>
      </c>
      <c r="K1355" s="1" t="s">
        <v>13</v>
      </c>
      <c r="L1355" s="5">
        <f>car_price_prediction_[[#This Row],[Price]]/100</f>
        <v>44365.11</v>
      </c>
      <c r="M1355">
        <v>4436511</v>
      </c>
      <c r="N1355" s="1" t="s">
        <v>27</v>
      </c>
      <c r="O1355" s="1">
        <f>IF(IFERROR(VLOOKUP(car_price_prediction_[[#This Row],[Car ID]],A1356:A3855,1,FALSE),0),1,0)</f>
        <v>0</v>
      </c>
    </row>
    <row r="1356" spans="1:15" x14ac:dyDescent="0.25">
      <c r="A1356">
        <v>1355</v>
      </c>
      <c r="B1356" s="1" t="s">
        <v>15</v>
      </c>
      <c r="C1356" s="1">
        <f>car_price_prediction_[[#This Row],[Year2]]</f>
        <v>2006</v>
      </c>
      <c r="D1356">
        <v>2006</v>
      </c>
      <c r="E1356">
        <f>car_price_prediction_[[#This Row],[Engine Size]]/10</f>
        <v>4</v>
      </c>
      <c r="F1356">
        <v>40</v>
      </c>
      <c r="G1356" s="1" t="s">
        <v>21</v>
      </c>
      <c r="H1356" s="1" t="s">
        <v>22</v>
      </c>
      <c r="I1356" s="12">
        <f>car_price_prediction_[[#This Row],[Mileage]]/1000</f>
        <v>113.922</v>
      </c>
      <c r="J1356" s="5">
        <v>113922</v>
      </c>
      <c r="K1356" s="1" t="s">
        <v>17</v>
      </c>
      <c r="L1356" s="5">
        <f>car_price_prediction_[[#This Row],[Price]]/100</f>
        <v>23490.23</v>
      </c>
      <c r="M1356">
        <v>2349023</v>
      </c>
      <c r="N1356" s="1" t="s">
        <v>39</v>
      </c>
      <c r="O1356" s="1">
        <f>IF(IFERROR(VLOOKUP(car_price_prediction_[[#This Row],[Car ID]],A1357:A3856,1,FALSE),0),1,0)</f>
        <v>0</v>
      </c>
    </row>
    <row r="1357" spans="1:15" x14ac:dyDescent="0.25">
      <c r="A1357">
        <v>1356</v>
      </c>
      <c r="B1357" s="1" t="s">
        <v>10</v>
      </c>
      <c r="C1357" s="1">
        <f>car_price_prediction_[[#This Row],[Year2]]</f>
        <v>2012</v>
      </c>
      <c r="D1357">
        <v>2012</v>
      </c>
      <c r="E1357">
        <f>car_price_prediction_[[#This Row],[Engine Size]]/10</f>
        <v>4.5999999999999996</v>
      </c>
      <c r="F1357">
        <v>46</v>
      </c>
      <c r="G1357" s="1" t="s">
        <v>11</v>
      </c>
      <c r="H1357" s="1" t="s">
        <v>12</v>
      </c>
      <c r="I1357" s="12">
        <f>car_price_prediction_[[#This Row],[Mileage]]/1000</f>
        <v>105.474</v>
      </c>
      <c r="J1357" s="5">
        <v>105474</v>
      </c>
      <c r="K1357" s="1" t="s">
        <v>17</v>
      </c>
      <c r="L1357" s="5">
        <f>car_price_prediction_[[#This Row],[Price]]/100</f>
        <v>22498.67</v>
      </c>
      <c r="M1357">
        <v>2249867</v>
      </c>
      <c r="N1357" s="1" t="s">
        <v>49</v>
      </c>
      <c r="O1357" s="1">
        <f>IF(IFERROR(VLOOKUP(car_price_prediction_[[#This Row],[Car ID]],A1358:A3857,1,FALSE),0),1,0)</f>
        <v>0</v>
      </c>
    </row>
    <row r="1358" spans="1:15" x14ac:dyDescent="0.25">
      <c r="A1358">
        <v>1357</v>
      </c>
      <c r="B1358" s="1" t="s">
        <v>19</v>
      </c>
      <c r="C1358" s="1">
        <f>car_price_prediction_[[#This Row],[Year2]]</f>
        <v>2010</v>
      </c>
      <c r="D1358">
        <v>2010</v>
      </c>
      <c r="E1358">
        <f>car_price_prediction_[[#This Row],[Engine Size]]/10</f>
        <v>2.6</v>
      </c>
      <c r="F1358">
        <v>26</v>
      </c>
      <c r="G1358" s="1" t="s">
        <v>29</v>
      </c>
      <c r="H1358" s="1" t="s">
        <v>12</v>
      </c>
      <c r="I1358" s="12">
        <f>car_price_prediction_[[#This Row],[Mileage]]/1000</f>
        <v>69.715000000000003</v>
      </c>
      <c r="J1358" s="5">
        <v>69715</v>
      </c>
      <c r="K1358" s="1" t="s">
        <v>13</v>
      </c>
      <c r="L1358" s="5">
        <f>car_price_prediction_[[#This Row],[Price]]/100</f>
        <v>32342.86</v>
      </c>
      <c r="M1358">
        <v>3234286</v>
      </c>
      <c r="N1358" s="1" t="s">
        <v>27</v>
      </c>
      <c r="O1358" s="1">
        <f>IF(IFERROR(VLOOKUP(car_price_prediction_[[#This Row],[Car ID]],A1359:A3858,1,FALSE),0),1,0)</f>
        <v>0</v>
      </c>
    </row>
    <row r="1359" spans="1:15" x14ac:dyDescent="0.25">
      <c r="A1359">
        <v>1358</v>
      </c>
      <c r="B1359" s="1" t="s">
        <v>19</v>
      </c>
      <c r="C1359" s="1">
        <f>car_price_prediction_[[#This Row],[Year2]]</f>
        <v>2013</v>
      </c>
      <c r="D1359">
        <v>2013</v>
      </c>
      <c r="E1359">
        <f>car_price_prediction_[[#This Row],[Engine Size]]/10</f>
        <v>3</v>
      </c>
      <c r="F1359">
        <v>30</v>
      </c>
      <c r="G1359" s="1" t="s">
        <v>11</v>
      </c>
      <c r="H1359" s="1" t="s">
        <v>12</v>
      </c>
      <c r="I1359" s="12">
        <f>car_price_prediction_[[#This Row],[Mileage]]/1000</f>
        <v>73.366</v>
      </c>
      <c r="J1359" s="5">
        <v>73366</v>
      </c>
      <c r="K1359" s="1" t="s">
        <v>25</v>
      </c>
      <c r="L1359" s="5">
        <f>car_price_prediction_[[#This Row],[Price]]/100</f>
        <v>28598.53</v>
      </c>
      <c r="M1359">
        <v>2859853</v>
      </c>
      <c r="N1359" s="1" t="s">
        <v>27</v>
      </c>
      <c r="O1359" s="1">
        <f>IF(IFERROR(VLOOKUP(car_price_prediction_[[#This Row],[Car ID]],A1360:A3859,1,FALSE),0),1,0)</f>
        <v>0</v>
      </c>
    </row>
    <row r="1360" spans="1:15" x14ac:dyDescent="0.25">
      <c r="A1360">
        <v>1359</v>
      </c>
      <c r="B1360" s="1" t="s">
        <v>19</v>
      </c>
      <c r="C1360" s="1">
        <f>car_price_prediction_[[#This Row],[Year2]]</f>
        <v>2018</v>
      </c>
      <c r="D1360">
        <v>2018</v>
      </c>
      <c r="E1360">
        <f>car_price_prediction_[[#This Row],[Engine Size]]/10</f>
        <v>2.2000000000000002</v>
      </c>
      <c r="F1360">
        <v>22</v>
      </c>
      <c r="G1360" s="1" t="s">
        <v>21</v>
      </c>
      <c r="H1360" s="1" t="s">
        <v>12</v>
      </c>
      <c r="I1360" s="12">
        <f>car_price_prediction_[[#This Row],[Mileage]]/1000</f>
        <v>37.57</v>
      </c>
      <c r="J1360" s="5">
        <v>37570</v>
      </c>
      <c r="K1360" s="1" t="s">
        <v>13</v>
      </c>
      <c r="L1360" s="5">
        <f>car_price_prediction_[[#This Row],[Price]]/100</f>
        <v>70055.56</v>
      </c>
      <c r="M1360">
        <v>7005556</v>
      </c>
      <c r="N1360" s="1" t="s">
        <v>27</v>
      </c>
      <c r="O1360" s="1">
        <f>IF(IFERROR(VLOOKUP(car_price_prediction_[[#This Row],[Car ID]],A1361:A3860,1,FALSE),0),1,0)</f>
        <v>0</v>
      </c>
    </row>
    <row r="1361" spans="1:15" x14ac:dyDescent="0.25">
      <c r="A1361">
        <v>1360</v>
      </c>
      <c r="B1361" s="1" t="s">
        <v>10</v>
      </c>
      <c r="C1361" s="1">
        <f>car_price_prediction_[[#This Row],[Year2]]</f>
        <v>2010</v>
      </c>
      <c r="D1361">
        <v>2010</v>
      </c>
      <c r="E1361">
        <f>car_price_prediction_[[#This Row],[Engine Size]]/10</f>
        <v>1.5</v>
      </c>
      <c r="F1361">
        <v>15</v>
      </c>
      <c r="G1361" s="1" t="s">
        <v>11</v>
      </c>
      <c r="H1361" s="1" t="s">
        <v>12</v>
      </c>
      <c r="I1361" s="12">
        <f>car_price_prediction_[[#This Row],[Mileage]]/1000</f>
        <v>137.68700000000001</v>
      </c>
      <c r="J1361" s="5">
        <v>137687</v>
      </c>
      <c r="K1361" s="1" t="s">
        <v>17</v>
      </c>
      <c r="L1361" s="5">
        <f>car_price_prediction_[[#This Row],[Price]]/100</f>
        <v>22743.84</v>
      </c>
      <c r="M1361">
        <v>2274384</v>
      </c>
      <c r="N1361" s="1" t="s">
        <v>49</v>
      </c>
      <c r="O1361" s="1">
        <f>IF(IFERROR(VLOOKUP(car_price_prediction_[[#This Row],[Car ID]],A1362:A3861,1,FALSE),0),1,0)</f>
        <v>0</v>
      </c>
    </row>
    <row r="1362" spans="1:15" x14ac:dyDescent="0.25">
      <c r="A1362">
        <v>1361</v>
      </c>
      <c r="B1362" s="1" t="s">
        <v>15</v>
      </c>
      <c r="C1362" s="1">
        <f>car_price_prediction_[[#This Row],[Year2]]</f>
        <v>2012</v>
      </c>
      <c r="D1362">
        <v>2012</v>
      </c>
      <c r="E1362">
        <f>car_price_prediction_[[#This Row],[Engine Size]]/10</f>
        <v>1.9</v>
      </c>
      <c r="F1362">
        <v>19</v>
      </c>
      <c r="G1362" s="1" t="s">
        <v>29</v>
      </c>
      <c r="H1362" s="1" t="s">
        <v>22</v>
      </c>
      <c r="I1362" s="12">
        <f>car_price_prediction_[[#This Row],[Mileage]]/1000</f>
        <v>38.311</v>
      </c>
      <c r="J1362" s="5">
        <v>38311</v>
      </c>
      <c r="K1362" s="1" t="s">
        <v>13</v>
      </c>
      <c r="L1362" s="5">
        <f>car_price_prediction_[[#This Row],[Price]]/100</f>
        <v>56596.24</v>
      </c>
      <c r="M1362">
        <v>5659624</v>
      </c>
      <c r="N1362" s="1" t="s">
        <v>51</v>
      </c>
      <c r="O1362" s="1">
        <f>IF(IFERROR(VLOOKUP(car_price_prediction_[[#This Row],[Car ID]],A1363:A3862,1,FALSE),0),1,0)</f>
        <v>0</v>
      </c>
    </row>
    <row r="1363" spans="1:15" x14ac:dyDescent="0.25">
      <c r="A1363">
        <v>1362</v>
      </c>
      <c r="B1363" s="1" t="s">
        <v>15</v>
      </c>
      <c r="C1363" s="1">
        <f>car_price_prediction_[[#This Row],[Year2]]</f>
        <v>2013</v>
      </c>
      <c r="D1363">
        <v>2013</v>
      </c>
      <c r="E1363">
        <f>car_price_prediction_[[#This Row],[Engine Size]]/10</f>
        <v>5</v>
      </c>
      <c r="F1363">
        <v>50</v>
      </c>
      <c r="G1363" s="1" t="s">
        <v>21</v>
      </c>
      <c r="H1363" s="1" t="s">
        <v>12</v>
      </c>
      <c r="I1363" s="12">
        <f>car_price_prediction_[[#This Row],[Mileage]]/1000</f>
        <v>103.187</v>
      </c>
      <c r="J1363" s="5">
        <v>103187</v>
      </c>
      <c r="K1363" s="1" t="s">
        <v>25</v>
      </c>
      <c r="L1363" s="5">
        <f>car_price_prediction_[[#This Row],[Price]]/100</f>
        <v>98710.52</v>
      </c>
      <c r="M1363">
        <v>9871052</v>
      </c>
      <c r="N1363" s="1" t="s">
        <v>39</v>
      </c>
      <c r="O1363" s="1">
        <f>IF(IFERROR(VLOOKUP(car_price_prediction_[[#This Row],[Car ID]],A1364:A3863,1,FALSE),0),1,0)</f>
        <v>0</v>
      </c>
    </row>
    <row r="1364" spans="1:15" x14ac:dyDescent="0.25">
      <c r="A1364">
        <v>1363</v>
      </c>
      <c r="B1364" s="1" t="s">
        <v>19</v>
      </c>
      <c r="C1364" s="1">
        <f>car_price_prediction_[[#This Row],[Year2]]</f>
        <v>2012</v>
      </c>
      <c r="D1364">
        <v>2012</v>
      </c>
      <c r="E1364">
        <f>car_price_prediction_[[#This Row],[Engine Size]]/10</f>
        <v>4.4000000000000004</v>
      </c>
      <c r="F1364">
        <v>44</v>
      </c>
      <c r="G1364" s="1" t="s">
        <v>29</v>
      </c>
      <c r="H1364" s="1" t="s">
        <v>22</v>
      </c>
      <c r="I1364" s="12">
        <f>car_price_prediction_[[#This Row],[Mileage]]/1000</f>
        <v>285.57799999999997</v>
      </c>
      <c r="J1364" s="5">
        <v>285578</v>
      </c>
      <c r="K1364" s="1" t="s">
        <v>17</v>
      </c>
      <c r="L1364" s="5">
        <f>car_price_prediction_[[#This Row],[Price]]/100</f>
        <v>46076.33</v>
      </c>
      <c r="M1364">
        <v>4607633</v>
      </c>
      <c r="N1364" s="1" t="s">
        <v>28</v>
      </c>
      <c r="O1364" s="1">
        <f>IF(IFERROR(VLOOKUP(car_price_prediction_[[#This Row],[Car ID]],A1365:A3864,1,FALSE),0),1,0)</f>
        <v>0</v>
      </c>
    </row>
    <row r="1365" spans="1:15" x14ac:dyDescent="0.25">
      <c r="A1365">
        <v>1364</v>
      </c>
      <c r="B1365" s="1" t="s">
        <v>30</v>
      </c>
      <c r="C1365" s="1">
        <f>car_price_prediction_[[#This Row],[Year2]]</f>
        <v>2000</v>
      </c>
      <c r="D1365">
        <v>2000</v>
      </c>
      <c r="E1365">
        <f>car_price_prediction_[[#This Row],[Engine Size]]/10</f>
        <v>3.7</v>
      </c>
      <c r="F1365">
        <v>37</v>
      </c>
      <c r="G1365" s="1" t="s">
        <v>11</v>
      </c>
      <c r="H1365" s="1" t="s">
        <v>12</v>
      </c>
      <c r="I1365" s="12">
        <f>car_price_prediction_[[#This Row],[Mileage]]/1000</f>
        <v>86.879000000000005</v>
      </c>
      <c r="J1365" s="5">
        <v>86879</v>
      </c>
      <c r="K1365" s="1" t="s">
        <v>25</v>
      </c>
      <c r="L1365" s="5">
        <f>car_price_prediction_[[#This Row],[Price]]/100</f>
        <v>65977.95</v>
      </c>
      <c r="M1365">
        <v>6597795</v>
      </c>
      <c r="N1365" s="1" t="s">
        <v>48</v>
      </c>
      <c r="O1365" s="1">
        <f>IF(IFERROR(VLOOKUP(car_price_prediction_[[#This Row],[Car ID]],A1366:A3865,1,FALSE),0),1,0)</f>
        <v>0</v>
      </c>
    </row>
    <row r="1366" spans="1:15" x14ac:dyDescent="0.25">
      <c r="A1366">
        <v>1365</v>
      </c>
      <c r="B1366" s="1" t="s">
        <v>24</v>
      </c>
      <c r="C1366" s="1">
        <f>car_price_prediction_[[#This Row],[Year2]]</f>
        <v>2007</v>
      </c>
      <c r="D1366">
        <v>2007</v>
      </c>
      <c r="E1366">
        <f>car_price_prediction_[[#This Row],[Engine Size]]/10</f>
        <v>3.4</v>
      </c>
      <c r="F1366">
        <v>34</v>
      </c>
      <c r="G1366" s="1" t="s">
        <v>16</v>
      </c>
      <c r="H1366" s="1" t="s">
        <v>22</v>
      </c>
      <c r="I1366" s="12">
        <f>car_price_prediction_[[#This Row],[Mileage]]/1000</f>
        <v>15.739000000000001</v>
      </c>
      <c r="J1366" s="5">
        <v>15739</v>
      </c>
      <c r="K1366" s="1" t="s">
        <v>25</v>
      </c>
      <c r="L1366" s="5">
        <f>car_price_prediction_[[#This Row],[Price]]/100</f>
        <v>97090.31</v>
      </c>
      <c r="M1366">
        <v>9709031</v>
      </c>
      <c r="N1366" s="1" t="s">
        <v>53</v>
      </c>
      <c r="O1366" s="1">
        <f>IF(IFERROR(VLOOKUP(car_price_prediction_[[#This Row],[Car ID]],A1367:A3866,1,FALSE),0),1,0)</f>
        <v>0</v>
      </c>
    </row>
    <row r="1367" spans="1:15" x14ac:dyDescent="0.25">
      <c r="A1367">
        <v>1366</v>
      </c>
      <c r="B1367" s="1" t="s">
        <v>10</v>
      </c>
      <c r="C1367" s="1">
        <f>car_price_prediction_[[#This Row],[Year2]]</f>
        <v>2011</v>
      </c>
      <c r="D1367">
        <v>2011</v>
      </c>
      <c r="E1367">
        <f>car_price_prediction_[[#This Row],[Engine Size]]/10</f>
        <v>5.6</v>
      </c>
      <c r="F1367">
        <v>56</v>
      </c>
      <c r="G1367" s="1" t="s">
        <v>16</v>
      </c>
      <c r="H1367" s="1" t="s">
        <v>22</v>
      </c>
      <c r="I1367" s="12">
        <f>car_price_prediction_[[#This Row],[Mileage]]/1000</f>
        <v>66.201999999999998</v>
      </c>
      <c r="J1367" s="5">
        <v>66202</v>
      </c>
      <c r="K1367" s="1" t="s">
        <v>13</v>
      </c>
      <c r="L1367" s="5">
        <f>car_price_prediction_[[#This Row],[Price]]/100</f>
        <v>1807.57</v>
      </c>
      <c r="M1367">
        <v>180757</v>
      </c>
      <c r="N1367" s="1" t="s">
        <v>23</v>
      </c>
      <c r="O1367" s="1">
        <f>IF(IFERROR(VLOOKUP(car_price_prediction_[[#This Row],[Car ID]],A1368:A3867,1,FALSE),0),1,0)</f>
        <v>0</v>
      </c>
    </row>
    <row r="1368" spans="1:15" x14ac:dyDescent="0.25">
      <c r="A1368">
        <v>1367</v>
      </c>
      <c r="B1368" s="1" t="s">
        <v>24</v>
      </c>
      <c r="C1368" s="1">
        <f>car_price_prediction_[[#This Row],[Year2]]</f>
        <v>2018</v>
      </c>
      <c r="D1368">
        <v>2018</v>
      </c>
      <c r="E1368">
        <f>car_price_prediction_[[#This Row],[Engine Size]]/10</f>
        <v>1.4</v>
      </c>
      <c r="F1368">
        <v>14</v>
      </c>
      <c r="G1368" s="1" t="s">
        <v>16</v>
      </c>
      <c r="H1368" s="1" t="s">
        <v>22</v>
      </c>
      <c r="I1368" s="12">
        <f>car_price_prediction_[[#This Row],[Mileage]]/1000</f>
        <v>98.58</v>
      </c>
      <c r="J1368" s="5">
        <v>98580</v>
      </c>
      <c r="K1368" s="1" t="s">
        <v>13</v>
      </c>
      <c r="L1368" s="5">
        <f>car_price_prediction_[[#This Row],[Price]]/100</f>
        <v>44767.67</v>
      </c>
      <c r="M1368">
        <v>4476767</v>
      </c>
      <c r="N1368" s="1" t="s">
        <v>26</v>
      </c>
      <c r="O1368" s="1">
        <f>IF(IFERROR(VLOOKUP(car_price_prediction_[[#This Row],[Car ID]],A1369:A3868,1,FALSE),0),1,0)</f>
        <v>0</v>
      </c>
    </row>
    <row r="1369" spans="1:15" x14ac:dyDescent="0.25">
      <c r="A1369">
        <v>1368</v>
      </c>
      <c r="B1369" s="1" t="s">
        <v>24</v>
      </c>
      <c r="C1369" s="1">
        <f>car_price_prediction_[[#This Row],[Year2]]</f>
        <v>2011</v>
      </c>
      <c r="D1369">
        <v>2011</v>
      </c>
      <c r="E1369">
        <f>car_price_prediction_[[#This Row],[Engine Size]]/10</f>
        <v>2.4</v>
      </c>
      <c r="F1369">
        <v>24</v>
      </c>
      <c r="G1369" s="1" t="s">
        <v>16</v>
      </c>
      <c r="H1369" s="1" t="s">
        <v>12</v>
      </c>
      <c r="I1369" s="12">
        <f>car_price_prediction_[[#This Row],[Mileage]]/1000</f>
        <v>224.49100000000001</v>
      </c>
      <c r="J1369" s="5">
        <v>224491</v>
      </c>
      <c r="K1369" s="1" t="s">
        <v>25</v>
      </c>
      <c r="L1369" s="5">
        <f>car_price_prediction_[[#This Row],[Price]]/100</f>
        <v>85768.28</v>
      </c>
      <c r="M1369">
        <v>8576828</v>
      </c>
      <c r="N1369" s="1" t="s">
        <v>26</v>
      </c>
      <c r="O1369" s="1">
        <f>IF(IFERROR(VLOOKUP(car_price_prediction_[[#This Row],[Car ID]],A1370:A3869,1,FALSE),0),1,0)</f>
        <v>0</v>
      </c>
    </row>
    <row r="1370" spans="1:15" x14ac:dyDescent="0.25">
      <c r="A1370">
        <v>1369</v>
      </c>
      <c r="B1370" s="1" t="s">
        <v>15</v>
      </c>
      <c r="C1370" s="1">
        <f>car_price_prediction_[[#This Row],[Year2]]</f>
        <v>2007</v>
      </c>
      <c r="D1370">
        <v>2007</v>
      </c>
      <c r="E1370">
        <f>car_price_prediction_[[#This Row],[Engine Size]]/10</f>
        <v>2.7</v>
      </c>
      <c r="F1370">
        <v>27</v>
      </c>
      <c r="G1370" s="1" t="s">
        <v>29</v>
      </c>
      <c r="H1370" s="1" t="s">
        <v>12</v>
      </c>
      <c r="I1370" s="12">
        <f>car_price_prediction_[[#This Row],[Mileage]]/1000</f>
        <v>79.599000000000004</v>
      </c>
      <c r="J1370" s="5">
        <v>79599</v>
      </c>
      <c r="K1370" s="1" t="s">
        <v>25</v>
      </c>
      <c r="L1370" s="5">
        <f>car_price_prediction_[[#This Row],[Price]]/100</f>
        <v>93569.04</v>
      </c>
      <c r="M1370">
        <v>9356904</v>
      </c>
      <c r="N1370" s="1" t="s">
        <v>39</v>
      </c>
      <c r="O1370" s="1">
        <f>IF(IFERROR(VLOOKUP(car_price_prediction_[[#This Row],[Car ID]],A1371:A3870,1,FALSE),0),1,0)</f>
        <v>0</v>
      </c>
    </row>
    <row r="1371" spans="1:15" x14ac:dyDescent="0.25">
      <c r="A1371">
        <v>1370</v>
      </c>
      <c r="B1371" s="1" t="s">
        <v>15</v>
      </c>
      <c r="C1371" s="1">
        <f>car_price_prediction_[[#This Row],[Year2]]</f>
        <v>2007</v>
      </c>
      <c r="D1371">
        <v>2007</v>
      </c>
      <c r="E1371">
        <f>car_price_prediction_[[#This Row],[Engine Size]]/10</f>
        <v>4.9000000000000004</v>
      </c>
      <c r="F1371">
        <v>49</v>
      </c>
      <c r="G1371" s="1" t="s">
        <v>16</v>
      </c>
      <c r="H1371" s="1" t="s">
        <v>12</v>
      </c>
      <c r="I1371" s="12">
        <f>car_price_prediction_[[#This Row],[Mileage]]/1000</f>
        <v>164.721</v>
      </c>
      <c r="J1371" s="5">
        <v>164721</v>
      </c>
      <c r="K1371" s="1" t="s">
        <v>17</v>
      </c>
      <c r="L1371" s="5">
        <f>car_price_prediction_[[#This Row],[Price]]/100</f>
        <v>62117.43</v>
      </c>
      <c r="M1371">
        <v>6211743</v>
      </c>
      <c r="N1371" s="1" t="s">
        <v>39</v>
      </c>
      <c r="O1371" s="1">
        <f>IF(IFERROR(VLOOKUP(car_price_prediction_[[#This Row],[Car ID]],A1372:A3871,1,FALSE),0),1,0)</f>
        <v>0</v>
      </c>
    </row>
    <row r="1372" spans="1:15" x14ac:dyDescent="0.25">
      <c r="A1372">
        <v>1371</v>
      </c>
      <c r="B1372" s="1" t="s">
        <v>30</v>
      </c>
      <c r="C1372" s="1">
        <f>car_price_prediction_[[#This Row],[Year2]]</f>
        <v>2020</v>
      </c>
      <c r="D1372">
        <v>2020</v>
      </c>
      <c r="E1372">
        <f>car_price_prediction_[[#This Row],[Engine Size]]/10</f>
        <v>6</v>
      </c>
      <c r="F1372">
        <v>60</v>
      </c>
      <c r="G1372" s="1" t="s">
        <v>29</v>
      </c>
      <c r="H1372" s="1" t="s">
        <v>12</v>
      </c>
      <c r="I1372" s="12">
        <f>car_price_prediction_[[#This Row],[Mileage]]/1000</f>
        <v>231.43600000000001</v>
      </c>
      <c r="J1372" s="5">
        <v>231436</v>
      </c>
      <c r="K1372" s="1" t="s">
        <v>25</v>
      </c>
      <c r="L1372" s="5">
        <f>car_price_prediction_[[#This Row],[Price]]/100</f>
        <v>18624.96</v>
      </c>
      <c r="M1372">
        <v>1862496</v>
      </c>
      <c r="N1372" s="1" t="s">
        <v>45</v>
      </c>
      <c r="O1372" s="1">
        <f>IF(IFERROR(VLOOKUP(car_price_prediction_[[#This Row],[Car ID]],A1373:A3872,1,FALSE),0),1,0)</f>
        <v>0</v>
      </c>
    </row>
    <row r="1373" spans="1:15" x14ac:dyDescent="0.25">
      <c r="A1373">
        <v>1372</v>
      </c>
      <c r="B1373" s="1" t="s">
        <v>24</v>
      </c>
      <c r="C1373" s="1">
        <f>car_price_prediction_[[#This Row],[Year2]]</f>
        <v>2012</v>
      </c>
      <c r="D1373">
        <v>2012</v>
      </c>
      <c r="E1373">
        <f>car_price_prediction_[[#This Row],[Engine Size]]/10</f>
        <v>2.2000000000000002</v>
      </c>
      <c r="F1373">
        <v>22</v>
      </c>
      <c r="G1373" s="1" t="s">
        <v>21</v>
      </c>
      <c r="H1373" s="1" t="s">
        <v>22</v>
      </c>
      <c r="I1373" s="12">
        <f>car_price_prediction_[[#This Row],[Mileage]]/1000</f>
        <v>116.77</v>
      </c>
      <c r="J1373" s="5">
        <v>116770</v>
      </c>
      <c r="K1373" s="1" t="s">
        <v>25</v>
      </c>
      <c r="L1373" s="5">
        <f>car_price_prediction_[[#This Row],[Price]]/100</f>
        <v>9063.98</v>
      </c>
      <c r="M1373">
        <v>906398</v>
      </c>
      <c r="N1373" s="1" t="s">
        <v>53</v>
      </c>
      <c r="O1373" s="1">
        <f>IF(IFERROR(VLOOKUP(car_price_prediction_[[#This Row],[Car ID]],A1374:A3873,1,FALSE),0),1,0)</f>
        <v>0</v>
      </c>
    </row>
    <row r="1374" spans="1:15" x14ac:dyDescent="0.25">
      <c r="A1374">
        <v>1373</v>
      </c>
      <c r="B1374" s="1" t="s">
        <v>24</v>
      </c>
      <c r="C1374" s="1">
        <f>car_price_prediction_[[#This Row],[Year2]]</f>
        <v>2011</v>
      </c>
      <c r="D1374">
        <v>2011</v>
      </c>
      <c r="E1374">
        <f>car_price_prediction_[[#This Row],[Engine Size]]/10</f>
        <v>5.4</v>
      </c>
      <c r="F1374">
        <v>54</v>
      </c>
      <c r="G1374" s="1" t="s">
        <v>16</v>
      </c>
      <c r="H1374" s="1" t="s">
        <v>22</v>
      </c>
      <c r="I1374" s="12">
        <f>car_price_prediction_[[#This Row],[Mileage]]/1000</f>
        <v>179.69300000000001</v>
      </c>
      <c r="J1374" s="5">
        <v>179693</v>
      </c>
      <c r="K1374" s="1" t="s">
        <v>13</v>
      </c>
      <c r="L1374" s="5">
        <f>car_price_prediction_[[#This Row],[Price]]/100</f>
        <v>21572.42</v>
      </c>
      <c r="M1374">
        <v>2157242</v>
      </c>
      <c r="N1374" s="1" t="s">
        <v>34</v>
      </c>
      <c r="O1374" s="1">
        <f>IF(IFERROR(VLOOKUP(car_price_prediction_[[#This Row],[Car ID]],A1375:A3874,1,FALSE),0),1,0)</f>
        <v>0</v>
      </c>
    </row>
    <row r="1375" spans="1:15" x14ac:dyDescent="0.25">
      <c r="A1375">
        <v>1374</v>
      </c>
      <c r="B1375" s="1" t="s">
        <v>19</v>
      </c>
      <c r="C1375" s="1">
        <f>car_price_prediction_[[#This Row],[Year2]]</f>
        <v>2015</v>
      </c>
      <c r="D1375">
        <v>2015</v>
      </c>
      <c r="E1375">
        <f>car_price_prediction_[[#This Row],[Engine Size]]/10</f>
        <v>5.2</v>
      </c>
      <c r="F1375">
        <v>52</v>
      </c>
      <c r="G1375" s="1" t="s">
        <v>29</v>
      </c>
      <c r="H1375" s="1" t="s">
        <v>22</v>
      </c>
      <c r="I1375" s="12">
        <f>car_price_prediction_[[#This Row],[Mileage]]/1000</f>
        <v>261.05099999999999</v>
      </c>
      <c r="J1375" s="5">
        <v>261051</v>
      </c>
      <c r="K1375" s="1" t="s">
        <v>25</v>
      </c>
      <c r="L1375" s="5">
        <f>car_price_prediction_[[#This Row],[Price]]/100</f>
        <v>3852.34</v>
      </c>
      <c r="M1375">
        <v>385234</v>
      </c>
      <c r="N1375" s="1" t="s">
        <v>38</v>
      </c>
      <c r="O1375" s="1">
        <f>IF(IFERROR(VLOOKUP(car_price_prediction_[[#This Row],[Car ID]],A1376:A3875,1,FALSE),0),1,0)</f>
        <v>0</v>
      </c>
    </row>
    <row r="1376" spans="1:15" x14ac:dyDescent="0.25">
      <c r="A1376">
        <v>1375</v>
      </c>
      <c r="B1376" s="1" t="s">
        <v>15</v>
      </c>
      <c r="C1376" s="1">
        <f>car_price_prediction_[[#This Row],[Year2]]</f>
        <v>2000</v>
      </c>
      <c r="D1376">
        <v>2000</v>
      </c>
      <c r="E1376">
        <f>car_price_prediction_[[#This Row],[Engine Size]]/10</f>
        <v>2.1</v>
      </c>
      <c r="F1376">
        <v>21</v>
      </c>
      <c r="G1376" s="1" t="s">
        <v>16</v>
      </c>
      <c r="H1376" s="1" t="s">
        <v>22</v>
      </c>
      <c r="I1376" s="12">
        <f>car_price_prediction_[[#This Row],[Mileage]]/1000</f>
        <v>114.3</v>
      </c>
      <c r="J1376" s="5">
        <v>114300</v>
      </c>
      <c r="K1376" s="1" t="s">
        <v>25</v>
      </c>
      <c r="L1376" s="5">
        <f>car_price_prediction_[[#This Row],[Price]]/100</f>
        <v>40673.26</v>
      </c>
      <c r="M1376">
        <v>4067326</v>
      </c>
      <c r="N1376" s="1" t="s">
        <v>18</v>
      </c>
      <c r="O1376" s="1">
        <f>IF(IFERROR(VLOOKUP(car_price_prediction_[[#This Row],[Car ID]],A1377:A3876,1,FALSE),0),1,0)</f>
        <v>0</v>
      </c>
    </row>
    <row r="1377" spans="1:15" x14ac:dyDescent="0.25">
      <c r="A1377">
        <v>1376</v>
      </c>
      <c r="B1377" s="1" t="s">
        <v>24</v>
      </c>
      <c r="C1377" s="1">
        <f>car_price_prediction_[[#This Row],[Year2]]</f>
        <v>2012</v>
      </c>
      <c r="D1377">
        <v>2012</v>
      </c>
      <c r="E1377">
        <f>car_price_prediction_[[#This Row],[Engine Size]]/10</f>
        <v>3</v>
      </c>
      <c r="F1377">
        <v>30</v>
      </c>
      <c r="G1377" s="1" t="s">
        <v>16</v>
      </c>
      <c r="H1377" s="1" t="s">
        <v>12</v>
      </c>
      <c r="I1377" s="12">
        <f>car_price_prediction_[[#This Row],[Mileage]]/1000</f>
        <v>191.012</v>
      </c>
      <c r="J1377" s="5">
        <v>191012</v>
      </c>
      <c r="K1377" s="1" t="s">
        <v>13</v>
      </c>
      <c r="L1377" s="5">
        <f>car_price_prediction_[[#This Row],[Price]]/100</f>
        <v>4749.2700000000004</v>
      </c>
      <c r="M1377">
        <v>474927</v>
      </c>
      <c r="N1377" s="1" t="s">
        <v>26</v>
      </c>
      <c r="O1377" s="1">
        <f>IF(IFERROR(VLOOKUP(car_price_prediction_[[#This Row],[Car ID]],A1378:A3877,1,FALSE),0),1,0)</f>
        <v>0</v>
      </c>
    </row>
    <row r="1378" spans="1:15" x14ac:dyDescent="0.25">
      <c r="A1378">
        <v>1377</v>
      </c>
      <c r="B1378" s="1" t="s">
        <v>36</v>
      </c>
      <c r="C1378" s="1">
        <f>car_price_prediction_[[#This Row],[Year2]]</f>
        <v>2006</v>
      </c>
      <c r="D1378">
        <v>2006</v>
      </c>
      <c r="E1378">
        <f>car_price_prediction_[[#This Row],[Engine Size]]/10</f>
        <v>3</v>
      </c>
      <c r="F1378">
        <v>30</v>
      </c>
      <c r="G1378" s="1" t="s">
        <v>16</v>
      </c>
      <c r="H1378" s="1" t="s">
        <v>22</v>
      </c>
      <c r="I1378" s="12">
        <f>car_price_prediction_[[#This Row],[Mileage]]/1000</f>
        <v>171.79599999999999</v>
      </c>
      <c r="J1378" s="5">
        <v>171796</v>
      </c>
      <c r="K1378" s="1" t="s">
        <v>17</v>
      </c>
      <c r="L1378" s="5">
        <f>car_price_prediction_[[#This Row],[Price]]/100</f>
        <v>80065.75</v>
      </c>
      <c r="M1378">
        <v>8006575</v>
      </c>
      <c r="N1378" s="1" t="s">
        <v>46</v>
      </c>
      <c r="O1378" s="1">
        <f>IF(IFERROR(VLOOKUP(car_price_prediction_[[#This Row],[Car ID]],A1379:A3878,1,FALSE),0),1,0)</f>
        <v>0</v>
      </c>
    </row>
    <row r="1379" spans="1:15" x14ac:dyDescent="0.25">
      <c r="A1379">
        <v>1378</v>
      </c>
      <c r="B1379" s="1" t="s">
        <v>30</v>
      </c>
      <c r="C1379" s="1">
        <f>car_price_prediction_[[#This Row],[Year2]]</f>
        <v>2004</v>
      </c>
      <c r="D1379">
        <v>2004</v>
      </c>
      <c r="E1379">
        <f>car_price_prediction_[[#This Row],[Engine Size]]/10</f>
        <v>5.9</v>
      </c>
      <c r="F1379">
        <v>59</v>
      </c>
      <c r="G1379" s="1" t="s">
        <v>29</v>
      </c>
      <c r="H1379" s="1" t="s">
        <v>12</v>
      </c>
      <c r="I1379" s="12">
        <f>car_price_prediction_[[#This Row],[Mileage]]/1000</f>
        <v>162.77600000000001</v>
      </c>
      <c r="J1379" s="5">
        <v>162776</v>
      </c>
      <c r="K1379" s="1" t="s">
        <v>13</v>
      </c>
      <c r="L1379" s="5">
        <f>car_price_prediction_[[#This Row],[Price]]/100</f>
        <v>81203.72</v>
      </c>
      <c r="M1379">
        <v>8120372</v>
      </c>
      <c r="N1379" s="1" t="s">
        <v>48</v>
      </c>
      <c r="O1379" s="1">
        <f>IF(IFERROR(VLOOKUP(car_price_prediction_[[#This Row],[Car ID]],A1380:A3879,1,FALSE),0),1,0)</f>
        <v>0</v>
      </c>
    </row>
    <row r="1380" spans="1:15" x14ac:dyDescent="0.25">
      <c r="A1380">
        <v>1379</v>
      </c>
      <c r="B1380" s="1" t="s">
        <v>36</v>
      </c>
      <c r="C1380" s="1">
        <f>car_price_prediction_[[#This Row],[Year2]]</f>
        <v>2007</v>
      </c>
      <c r="D1380">
        <v>2007</v>
      </c>
      <c r="E1380">
        <f>car_price_prediction_[[#This Row],[Engine Size]]/10</f>
        <v>1.9</v>
      </c>
      <c r="F1380">
        <v>19</v>
      </c>
      <c r="G1380" s="1" t="s">
        <v>11</v>
      </c>
      <c r="H1380" s="1" t="s">
        <v>22</v>
      </c>
      <c r="I1380" s="12">
        <f>car_price_prediction_[[#This Row],[Mileage]]/1000</f>
        <v>241.94200000000001</v>
      </c>
      <c r="J1380" s="5">
        <v>241942</v>
      </c>
      <c r="K1380" s="1" t="s">
        <v>13</v>
      </c>
      <c r="L1380" s="5">
        <f>car_price_prediction_[[#This Row],[Price]]/100</f>
        <v>73367.23</v>
      </c>
      <c r="M1380">
        <v>7336723</v>
      </c>
      <c r="N1380" s="1" t="s">
        <v>37</v>
      </c>
      <c r="O1380" s="1">
        <f>IF(IFERROR(VLOOKUP(car_price_prediction_[[#This Row],[Car ID]],A1381:A3880,1,FALSE),0),1,0)</f>
        <v>0</v>
      </c>
    </row>
    <row r="1381" spans="1:15" x14ac:dyDescent="0.25">
      <c r="A1381">
        <v>1380</v>
      </c>
      <c r="B1381" s="1" t="s">
        <v>36</v>
      </c>
      <c r="C1381" s="1">
        <f>car_price_prediction_[[#This Row],[Year2]]</f>
        <v>2013</v>
      </c>
      <c r="D1381">
        <v>2013</v>
      </c>
      <c r="E1381">
        <f>car_price_prediction_[[#This Row],[Engine Size]]/10</f>
        <v>5</v>
      </c>
      <c r="F1381">
        <v>50</v>
      </c>
      <c r="G1381" s="1" t="s">
        <v>16</v>
      </c>
      <c r="H1381" s="1" t="s">
        <v>22</v>
      </c>
      <c r="I1381" s="12">
        <f>car_price_prediction_[[#This Row],[Mileage]]/1000</f>
        <v>2.5259999999999998</v>
      </c>
      <c r="J1381" s="5">
        <v>2526</v>
      </c>
      <c r="K1381" s="1" t="s">
        <v>25</v>
      </c>
      <c r="L1381" s="5">
        <f>car_price_prediction_[[#This Row],[Price]]/100</f>
        <v>7102.22</v>
      </c>
      <c r="M1381">
        <v>710222</v>
      </c>
      <c r="N1381" s="1" t="s">
        <v>37</v>
      </c>
      <c r="O1381" s="1">
        <f>IF(IFERROR(VLOOKUP(car_price_prediction_[[#This Row],[Car ID]],A1382:A3881,1,FALSE),0),1,0)</f>
        <v>0</v>
      </c>
    </row>
    <row r="1382" spans="1:15" x14ac:dyDescent="0.25">
      <c r="A1382">
        <v>1381</v>
      </c>
      <c r="B1382" s="1" t="s">
        <v>10</v>
      </c>
      <c r="C1382" s="1">
        <f>car_price_prediction_[[#This Row],[Year2]]</f>
        <v>2022</v>
      </c>
      <c r="D1382">
        <v>2022</v>
      </c>
      <c r="E1382">
        <f>car_price_prediction_[[#This Row],[Engine Size]]/10</f>
        <v>2.7</v>
      </c>
      <c r="F1382">
        <v>27</v>
      </c>
      <c r="G1382" s="1" t="s">
        <v>16</v>
      </c>
      <c r="H1382" s="1" t="s">
        <v>22</v>
      </c>
      <c r="I1382" s="12">
        <f>car_price_prediction_[[#This Row],[Mileage]]/1000</f>
        <v>268.71800000000002</v>
      </c>
      <c r="J1382" s="5">
        <v>268718</v>
      </c>
      <c r="K1382" s="1" t="s">
        <v>25</v>
      </c>
      <c r="L1382" s="5">
        <f>car_price_prediction_[[#This Row],[Price]]/100</f>
        <v>58660.28</v>
      </c>
      <c r="M1382">
        <v>5866028</v>
      </c>
      <c r="N1382" s="1" t="s">
        <v>33</v>
      </c>
      <c r="O1382" s="1">
        <f>IF(IFERROR(VLOOKUP(car_price_prediction_[[#This Row],[Car ID]],A1383:A3882,1,FALSE),0),1,0)</f>
        <v>0</v>
      </c>
    </row>
    <row r="1383" spans="1:15" x14ac:dyDescent="0.25">
      <c r="A1383">
        <v>1382</v>
      </c>
      <c r="B1383" s="1" t="s">
        <v>10</v>
      </c>
      <c r="C1383" s="1">
        <f>car_price_prediction_[[#This Row],[Year2]]</f>
        <v>2012</v>
      </c>
      <c r="D1383">
        <v>2012</v>
      </c>
      <c r="E1383">
        <f>car_price_prediction_[[#This Row],[Engine Size]]/10</f>
        <v>4.7</v>
      </c>
      <c r="F1383">
        <v>47</v>
      </c>
      <c r="G1383" s="1" t="s">
        <v>21</v>
      </c>
      <c r="H1383" s="1" t="s">
        <v>12</v>
      </c>
      <c r="I1383" s="12">
        <f>car_price_prediction_[[#This Row],[Mileage]]/1000</f>
        <v>270.87700000000001</v>
      </c>
      <c r="J1383" s="5">
        <v>270877</v>
      </c>
      <c r="K1383" s="1" t="s">
        <v>17</v>
      </c>
      <c r="L1383" s="5">
        <f>car_price_prediction_[[#This Row],[Price]]/100</f>
        <v>76011.83</v>
      </c>
      <c r="M1383">
        <v>7601183</v>
      </c>
      <c r="N1383" s="1" t="s">
        <v>23</v>
      </c>
      <c r="O1383" s="1">
        <f>IF(IFERROR(VLOOKUP(car_price_prediction_[[#This Row],[Car ID]],A1384:A3883,1,FALSE),0),1,0)</f>
        <v>0</v>
      </c>
    </row>
    <row r="1384" spans="1:15" x14ac:dyDescent="0.25">
      <c r="A1384">
        <v>1383</v>
      </c>
      <c r="B1384" s="1" t="s">
        <v>30</v>
      </c>
      <c r="C1384" s="1">
        <f>car_price_prediction_[[#This Row],[Year2]]</f>
        <v>2014</v>
      </c>
      <c r="D1384">
        <v>2014</v>
      </c>
      <c r="E1384">
        <f>car_price_prediction_[[#This Row],[Engine Size]]/10</f>
        <v>3.1</v>
      </c>
      <c r="F1384">
        <v>31</v>
      </c>
      <c r="G1384" s="1" t="s">
        <v>11</v>
      </c>
      <c r="H1384" s="1" t="s">
        <v>12</v>
      </c>
      <c r="I1384" s="12">
        <f>car_price_prediction_[[#This Row],[Mileage]]/1000</f>
        <v>36.051000000000002</v>
      </c>
      <c r="J1384" s="5">
        <v>36051</v>
      </c>
      <c r="K1384" s="1" t="s">
        <v>25</v>
      </c>
      <c r="L1384" s="5">
        <f>car_price_prediction_[[#This Row],[Price]]/100</f>
        <v>4723.9399999999996</v>
      </c>
      <c r="M1384">
        <v>472394</v>
      </c>
      <c r="N1384" s="1" t="s">
        <v>42</v>
      </c>
      <c r="O1384" s="1">
        <f>IF(IFERROR(VLOOKUP(car_price_prediction_[[#This Row],[Car ID]],A1385:A3884,1,FALSE),0),1,0)</f>
        <v>0</v>
      </c>
    </row>
    <row r="1385" spans="1:15" x14ac:dyDescent="0.25">
      <c r="A1385">
        <v>1384</v>
      </c>
      <c r="B1385" s="1" t="s">
        <v>36</v>
      </c>
      <c r="C1385" s="1">
        <f>car_price_prediction_[[#This Row],[Year2]]</f>
        <v>2022</v>
      </c>
      <c r="D1385">
        <v>2022</v>
      </c>
      <c r="E1385">
        <f>car_price_prediction_[[#This Row],[Engine Size]]/10</f>
        <v>3.9</v>
      </c>
      <c r="F1385">
        <v>39</v>
      </c>
      <c r="G1385" s="1" t="s">
        <v>29</v>
      </c>
      <c r="H1385" s="1" t="s">
        <v>22</v>
      </c>
      <c r="I1385" s="12">
        <f>car_price_prediction_[[#This Row],[Mileage]]/1000</f>
        <v>15.909000000000001</v>
      </c>
      <c r="J1385" s="5">
        <v>15909</v>
      </c>
      <c r="K1385" s="1" t="s">
        <v>17</v>
      </c>
      <c r="L1385" s="5">
        <f>car_price_prediction_[[#This Row],[Price]]/100</f>
        <v>94768.92</v>
      </c>
      <c r="M1385">
        <v>9476892</v>
      </c>
      <c r="N1385" s="1" t="s">
        <v>37</v>
      </c>
      <c r="O1385" s="1">
        <f>IF(IFERROR(VLOOKUP(car_price_prediction_[[#This Row],[Car ID]],A1386:A3885,1,FALSE),0),1,0)</f>
        <v>0</v>
      </c>
    </row>
    <row r="1386" spans="1:15" x14ac:dyDescent="0.25">
      <c r="A1386">
        <v>1385</v>
      </c>
      <c r="B1386" s="1" t="s">
        <v>24</v>
      </c>
      <c r="C1386" s="1">
        <f>car_price_prediction_[[#This Row],[Year2]]</f>
        <v>2016</v>
      </c>
      <c r="D1386">
        <v>2016</v>
      </c>
      <c r="E1386">
        <f>car_price_prediction_[[#This Row],[Engine Size]]/10</f>
        <v>5.2</v>
      </c>
      <c r="F1386">
        <v>52</v>
      </c>
      <c r="G1386" s="1" t="s">
        <v>21</v>
      </c>
      <c r="H1386" s="1" t="s">
        <v>22</v>
      </c>
      <c r="I1386" s="12">
        <f>car_price_prediction_[[#This Row],[Mileage]]/1000</f>
        <v>77.337999999999994</v>
      </c>
      <c r="J1386" s="5">
        <v>77338</v>
      </c>
      <c r="K1386" s="1" t="s">
        <v>17</v>
      </c>
      <c r="L1386" s="5">
        <f>car_price_prediction_[[#This Row],[Price]]/100</f>
        <v>8326.2000000000007</v>
      </c>
      <c r="M1386">
        <v>832620</v>
      </c>
      <c r="N1386" s="1" t="s">
        <v>53</v>
      </c>
      <c r="O1386" s="1">
        <f>IF(IFERROR(VLOOKUP(car_price_prediction_[[#This Row],[Car ID]],A1387:A3886,1,FALSE),0),1,0)</f>
        <v>0</v>
      </c>
    </row>
    <row r="1387" spans="1:15" x14ac:dyDescent="0.25">
      <c r="A1387">
        <v>1386</v>
      </c>
      <c r="B1387" s="1" t="s">
        <v>15</v>
      </c>
      <c r="C1387" s="1">
        <f>car_price_prediction_[[#This Row],[Year2]]</f>
        <v>2014</v>
      </c>
      <c r="D1387">
        <v>2014</v>
      </c>
      <c r="E1387">
        <f>car_price_prediction_[[#This Row],[Engine Size]]/10</f>
        <v>5</v>
      </c>
      <c r="F1387">
        <v>50</v>
      </c>
      <c r="G1387" s="1" t="s">
        <v>16</v>
      </c>
      <c r="H1387" s="1" t="s">
        <v>22</v>
      </c>
      <c r="I1387" s="12">
        <f>car_price_prediction_[[#This Row],[Mileage]]/1000</f>
        <v>290.27699999999999</v>
      </c>
      <c r="J1387" s="5">
        <v>290277</v>
      </c>
      <c r="K1387" s="1" t="s">
        <v>17</v>
      </c>
      <c r="L1387" s="5">
        <f>car_price_prediction_[[#This Row],[Price]]/100</f>
        <v>65624.73</v>
      </c>
      <c r="M1387">
        <v>6562473</v>
      </c>
      <c r="N1387" s="1" t="s">
        <v>51</v>
      </c>
      <c r="O1387" s="1">
        <f>IF(IFERROR(VLOOKUP(car_price_prediction_[[#This Row],[Car ID]],A1388:A3887,1,FALSE),0),1,0)</f>
        <v>0</v>
      </c>
    </row>
    <row r="1388" spans="1:15" x14ac:dyDescent="0.25">
      <c r="A1388">
        <v>1387</v>
      </c>
      <c r="B1388" s="1" t="s">
        <v>30</v>
      </c>
      <c r="C1388" s="1">
        <f>car_price_prediction_[[#This Row],[Year2]]</f>
        <v>2019</v>
      </c>
      <c r="D1388">
        <v>2019</v>
      </c>
      <c r="E1388">
        <f>car_price_prediction_[[#This Row],[Engine Size]]/10</f>
        <v>5.3</v>
      </c>
      <c r="F1388">
        <v>53</v>
      </c>
      <c r="G1388" s="1" t="s">
        <v>21</v>
      </c>
      <c r="H1388" s="1" t="s">
        <v>12</v>
      </c>
      <c r="I1388" s="12">
        <f>car_price_prediction_[[#This Row],[Mileage]]/1000</f>
        <v>182.643</v>
      </c>
      <c r="J1388" s="5">
        <v>182643</v>
      </c>
      <c r="K1388" s="1" t="s">
        <v>17</v>
      </c>
      <c r="L1388" s="5">
        <f>car_price_prediction_[[#This Row],[Price]]/100</f>
        <v>10930.39</v>
      </c>
      <c r="M1388">
        <v>1093039</v>
      </c>
      <c r="N1388" s="1" t="s">
        <v>42</v>
      </c>
      <c r="O1388" s="1">
        <f>IF(IFERROR(VLOOKUP(car_price_prediction_[[#This Row],[Car ID]],A1389:A3888,1,FALSE),0),1,0)</f>
        <v>0</v>
      </c>
    </row>
    <row r="1389" spans="1:15" x14ac:dyDescent="0.25">
      <c r="A1389">
        <v>1388</v>
      </c>
      <c r="B1389" s="1" t="s">
        <v>19</v>
      </c>
      <c r="C1389" s="1">
        <f>car_price_prediction_[[#This Row],[Year2]]</f>
        <v>2017</v>
      </c>
      <c r="D1389">
        <v>2017</v>
      </c>
      <c r="E1389">
        <f>car_price_prediction_[[#This Row],[Engine Size]]/10</f>
        <v>1.3</v>
      </c>
      <c r="F1389">
        <v>13</v>
      </c>
      <c r="G1389" s="1" t="s">
        <v>21</v>
      </c>
      <c r="H1389" s="1" t="s">
        <v>12</v>
      </c>
      <c r="I1389" s="12">
        <f>car_price_prediction_[[#This Row],[Mileage]]/1000</f>
        <v>79.061999999999998</v>
      </c>
      <c r="J1389" s="5">
        <v>79062</v>
      </c>
      <c r="K1389" s="1" t="s">
        <v>25</v>
      </c>
      <c r="L1389" s="5">
        <f>car_price_prediction_[[#This Row],[Price]]/100</f>
        <v>66972.89</v>
      </c>
      <c r="M1389">
        <v>6697289</v>
      </c>
      <c r="N1389" s="1" t="s">
        <v>28</v>
      </c>
      <c r="O1389" s="1">
        <f>IF(IFERROR(VLOOKUP(car_price_prediction_[[#This Row],[Car ID]],A1390:A3889,1,FALSE),0),1,0)</f>
        <v>0</v>
      </c>
    </row>
    <row r="1390" spans="1:15" x14ac:dyDescent="0.25">
      <c r="A1390">
        <v>1389</v>
      </c>
      <c r="B1390" s="1" t="s">
        <v>36</v>
      </c>
      <c r="C1390" s="1">
        <f>car_price_prediction_[[#This Row],[Year2]]</f>
        <v>2017</v>
      </c>
      <c r="D1390">
        <v>2017</v>
      </c>
      <c r="E1390">
        <f>car_price_prediction_[[#This Row],[Engine Size]]/10</f>
        <v>4.5</v>
      </c>
      <c r="F1390">
        <v>45</v>
      </c>
      <c r="G1390" s="1" t="s">
        <v>16</v>
      </c>
      <c r="H1390" s="1" t="s">
        <v>12</v>
      </c>
      <c r="I1390" s="12">
        <f>car_price_prediction_[[#This Row],[Mileage]]/1000</f>
        <v>181.98</v>
      </c>
      <c r="J1390" s="5">
        <v>181980</v>
      </c>
      <c r="K1390" s="1" t="s">
        <v>13</v>
      </c>
      <c r="L1390" s="5">
        <f>car_price_prediction_[[#This Row],[Price]]/100</f>
        <v>91600.06</v>
      </c>
      <c r="M1390">
        <v>9160006</v>
      </c>
      <c r="N1390" s="1" t="s">
        <v>40</v>
      </c>
      <c r="O1390" s="1">
        <f>IF(IFERROR(VLOOKUP(car_price_prediction_[[#This Row],[Car ID]],A1391:A3890,1,FALSE),0),1,0)</f>
        <v>0</v>
      </c>
    </row>
    <row r="1391" spans="1:15" x14ac:dyDescent="0.25">
      <c r="A1391">
        <v>1390</v>
      </c>
      <c r="B1391" s="1" t="s">
        <v>30</v>
      </c>
      <c r="C1391" s="1">
        <f>car_price_prediction_[[#This Row],[Year2]]</f>
        <v>2001</v>
      </c>
      <c r="D1391">
        <v>2001</v>
      </c>
      <c r="E1391">
        <f>car_price_prediction_[[#This Row],[Engine Size]]/10</f>
        <v>1.7</v>
      </c>
      <c r="F1391">
        <v>17</v>
      </c>
      <c r="G1391" s="1" t="s">
        <v>11</v>
      </c>
      <c r="H1391" s="1" t="s">
        <v>22</v>
      </c>
      <c r="I1391" s="12">
        <f>car_price_prediction_[[#This Row],[Mileage]]/1000</f>
        <v>51.457999999999998</v>
      </c>
      <c r="J1391" s="5">
        <v>51458</v>
      </c>
      <c r="K1391" s="1" t="s">
        <v>13</v>
      </c>
      <c r="L1391" s="5">
        <f>car_price_prediction_[[#This Row],[Price]]/100</f>
        <v>41047.31</v>
      </c>
      <c r="M1391">
        <v>4104731</v>
      </c>
      <c r="N1391" s="1" t="s">
        <v>31</v>
      </c>
      <c r="O1391" s="1">
        <f>IF(IFERROR(VLOOKUP(car_price_prediction_[[#This Row],[Car ID]],A1392:A3891,1,FALSE),0),1,0)</f>
        <v>0</v>
      </c>
    </row>
    <row r="1392" spans="1:15" x14ac:dyDescent="0.25">
      <c r="A1392">
        <v>1391</v>
      </c>
      <c r="B1392" s="1" t="s">
        <v>43</v>
      </c>
      <c r="C1392" s="1">
        <f>car_price_prediction_[[#This Row],[Year2]]</f>
        <v>2003</v>
      </c>
      <c r="D1392">
        <v>2003</v>
      </c>
      <c r="E1392">
        <f>car_price_prediction_[[#This Row],[Engine Size]]/10</f>
        <v>3.1</v>
      </c>
      <c r="F1392">
        <v>31</v>
      </c>
      <c r="G1392" s="1" t="s">
        <v>11</v>
      </c>
      <c r="H1392" s="1" t="s">
        <v>12</v>
      </c>
      <c r="I1392" s="12">
        <f>car_price_prediction_[[#This Row],[Mileage]]/1000</f>
        <v>222.15899999999999</v>
      </c>
      <c r="J1392" s="5">
        <v>222159</v>
      </c>
      <c r="K1392" s="1" t="s">
        <v>25</v>
      </c>
      <c r="L1392" s="5">
        <f>car_price_prediction_[[#This Row],[Price]]/100</f>
        <v>84622.59</v>
      </c>
      <c r="M1392">
        <v>8462259</v>
      </c>
      <c r="N1392" s="1" t="s">
        <v>50</v>
      </c>
      <c r="O1392" s="1">
        <f>IF(IFERROR(VLOOKUP(car_price_prediction_[[#This Row],[Car ID]],A1393:A3892,1,FALSE),0),1,0)</f>
        <v>0</v>
      </c>
    </row>
    <row r="1393" spans="1:15" x14ac:dyDescent="0.25">
      <c r="A1393">
        <v>1392</v>
      </c>
      <c r="B1393" s="1" t="s">
        <v>43</v>
      </c>
      <c r="C1393" s="1">
        <f>car_price_prediction_[[#This Row],[Year2]]</f>
        <v>2000</v>
      </c>
      <c r="D1393">
        <v>2000</v>
      </c>
      <c r="E1393">
        <f>car_price_prediction_[[#This Row],[Engine Size]]/10</f>
        <v>3.7</v>
      </c>
      <c r="F1393">
        <v>37</v>
      </c>
      <c r="G1393" s="1" t="s">
        <v>21</v>
      </c>
      <c r="H1393" s="1" t="s">
        <v>22</v>
      </c>
      <c r="I1393" s="12">
        <f>car_price_prediction_[[#This Row],[Mileage]]/1000</f>
        <v>287.44200000000001</v>
      </c>
      <c r="J1393" s="5">
        <v>287442</v>
      </c>
      <c r="K1393" s="1" t="s">
        <v>25</v>
      </c>
      <c r="L1393" s="5">
        <f>car_price_prediction_[[#This Row],[Price]]/100</f>
        <v>34750.31</v>
      </c>
      <c r="M1393">
        <v>3475031</v>
      </c>
      <c r="N1393" s="1" t="s">
        <v>47</v>
      </c>
      <c r="O1393" s="1">
        <f>IF(IFERROR(VLOOKUP(car_price_prediction_[[#This Row],[Car ID]],A1394:A3893,1,FALSE),0),1,0)</f>
        <v>0</v>
      </c>
    </row>
    <row r="1394" spans="1:15" x14ac:dyDescent="0.25">
      <c r="A1394">
        <v>1393</v>
      </c>
      <c r="B1394" s="1" t="s">
        <v>10</v>
      </c>
      <c r="C1394" s="1">
        <f>car_price_prediction_[[#This Row],[Year2]]</f>
        <v>2003</v>
      </c>
      <c r="D1394">
        <v>2003</v>
      </c>
      <c r="E1394">
        <f>car_price_prediction_[[#This Row],[Engine Size]]/10</f>
        <v>3</v>
      </c>
      <c r="F1394">
        <v>30</v>
      </c>
      <c r="G1394" s="1" t="s">
        <v>16</v>
      </c>
      <c r="H1394" s="1" t="s">
        <v>12</v>
      </c>
      <c r="I1394" s="12">
        <f>car_price_prediction_[[#This Row],[Mileage]]/1000</f>
        <v>231.946</v>
      </c>
      <c r="J1394" s="5">
        <v>231946</v>
      </c>
      <c r="K1394" s="1" t="s">
        <v>17</v>
      </c>
      <c r="L1394" s="5">
        <f>car_price_prediction_[[#This Row],[Price]]/100</f>
        <v>59159.81</v>
      </c>
      <c r="M1394">
        <v>5915981</v>
      </c>
      <c r="N1394" s="1" t="s">
        <v>14</v>
      </c>
      <c r="O1394" s="1">
        <f>IF(IFERROR(VLOOKUP(car_price_prediction_[[#This Row],[Car ID]],A1395:A3894,1,FALSE),0),1,0)</f>
        <v>0</v>
      </c>
    </row>
    <row r="1395" spans="1:15" x14ac:dyDescent="0.25">
      <c r="A1395">
        <v>1394</v>
      </c>
      <c r="B1395" s="1" t="s">
        <v>15</v>
      </c>
      <c r="C1395" s="1">
        <f>car_price_prediction_[[#This Row],[Year2]]</f>
        <v>2017</v>
      </c>
      <c r="D1395">
        <v>2017</v>
      </c>
      <c r="E1395">
        <f>car_price_prediction_[[#This Row],[Engine Size]]/10</f>
        <v>3.6</v>
      </c>
      <c r="F1395">
        <v>36</v>
      </c>
      <c r="G1395" s="1" t="s">
        <v>29</v>
      </c>
      <c r="H1395" s="1" t="s">
        <v>22</v>
      </c>
      <c r="I1395" s="12">
        <f>car_price_prediction_[[#This Row],[Mileage]]/1000</f>
        <v>153.26300000000001</v>
      </c>
      <c r="J1395" s="5">
        <v>153263</v>
      </c>
      <c r="K1395" s="1" t="s">
        <v>25</v>
      </c>
      <c r="L1395" s="5">
        <f>car_price_prediction_[[#This Row],[Price]]/100</f>
        <v>66600.320000000007</v>
      </c>
      <c r="M1395">
        <v>6660032</v>
      </c>
      <c r="N1395" s="1" t="s">
        <v>35</v>
      </c>
      <c r="O1395" s="1">
        <f>IF(IFERROR(VLOOKUP(car_price_prediction_[[#This Row],[Car ID]],A1396:A3895,1,FALSE),0),1,0)</f>
        <v>0</v>
      </c>
    </row>
    <row r="1396" spans="1:15" x14ac:dyDescent="0.25">
      <c r="A1396">
        <v>1395</v>
      </c>
      <c r="B1396" s="1" t="s">
        <v>24</v>
      </c>
      <c r="C1396" s="1">
        <f>car_price_prediction_[[#This Row],[Year2]]</f>
        <v>2004</v>
      </c>
      <c r="D1396">
        <v>2004</v>
      </c>
      <c r="E1396">
        <f>car_price_prediction_[[#This Row],[Engine Size]]/10</f>
        <v>6</v>
      </c>
      <c r="F1396">
        <v>60</v>
      </c>
      <c r="G1396" s="1" t="s">
        <v>21</v>
      </c>
      <c r="H1396" s="1" t="s">
        <v>22</v>
      </c>
      <c r="I1396" s="12">
        <f>car_price_prediction_[[#This Row],[Mileage]]/1000</f>
        <v>164.16399999999999</v>
      </c>
      <c r="J1396" s="5">
        <v>164164</v>
      </c>
      <c r="K1396" s="1" t="s">
        <v>13</v>
      </c>
      <c r="L1396" s="5">
        <f>car_price_prediction_[[#This Row],[Price]]/100</f>
        <v>69409.53</v>
      </c>
      <c r="M1396">
        <v>6940953</v>
      </c>
      <c r="N1396" s="1" t="s">
        <v>53</v>
      </c>
      <c r="O1396" s="1">
        <f>IF(IFERROR(VLOOKUP(car_price_prediction_[[#This Row],[Car ID]],A1397:A3896,1,FALSE),0),1,0)</f>
        <v>0</v>
      </c>
    </row>
    <row r="1397" spans="1:15" x14ac:dyDescent="0.25">
      <c r="A1397">
        <v>1396</v>
      </c>
      <c r="B1397" s="1" t="s">
        <v>15</v>
      </c>
      <c r="C1397" s="1">
        <f>car_price_prediction_[[#This Row],[Year2]]</f>
        <v>2018</v>
      </c>
      <c r="D1397">
        <v>2018</v>
      </c>
      <c r="E1397">
        <f>car_price_prediction_[[#This Row],[Engine Size]]/10</f>
        <v>1.7</v>
      </c>
      <c r="F1397">
        <v>17</v>
      </c>
      <c r="G1397" s="1" t="s">
        <v>29</v>
      </c>
      <c r="H1397" s="1" t="s">
        <v>12</v>
      </c>
      <c r="I1397" s="12">
        <f>car_price_prediction_[[#This Row],[Mileage]]/1000</f>
        <v>89.406999999999996</v>
      </c>
      <c r="J1397" s="5">
        <v>89407</v>
      </c>
      <c r="K1397" s="1" t="s">
        <v>25</v>
      </c>
      <c r="L1397" s="5">
        <f>car_price_prediction_[[#This Row],[Price]]/100</f>
        <v>88842.18</v>
      </c>
      <c r="M1397">
        <v>8884218</v>
      </c>
      <c r="N1397" s="1" t="s">
        <v>51</v>
      </c>
      <c r="O1397" s="1">
        <f>IF(IFERROR(VLOOKUP(car_price_prediction_[[#This Row],[Car ID]],A1398:A3897,1,FALSE),0),1,0)</f>
        <v>0</v>
      </c>
    </row>
    <row r="1398" spans="1:15" x14ac:dyDescent="0.25">
      <c r="A1398">
        <v>1397</v>
      </c>
      <c r="B1398" s="1" t="s">
        <v>15</v>
      </c>
      <c r="C1398" s="1">
        <f>car_price_prediction_[[#This Row],[Year2]]</f>
        <v>2014</v>
      </c>
      <c r="D1398">
        <v>2014</v>
      </c>
      <c r="E1398">
        <f>car_price_prediction_[[#This Row],[Engine Size]]/10</f>
        <v>4.4000000000000004</v>
      </c>
      <c r="F1398">
        <v>44</v>
      </c>
      <c r="G1398" s="1" t="s">
        <v>21</v>
      </c>
      <c r="H1398" s="1" t="s">
        <v>22</v>
      </c>
      <c r="I1398" s="12">
        <f>car_price_prediction_[[#This Row],[Mileage]]/1000</f>
        <v>206.32900000000001</v>
      </c>
      <c r="J1398" s="5">
        <v>206329</v>
      </c>
      <c r="K1398" s="1" t="s">
        <v>25</v>
      </c>
      <c r="L1398" s="5">
        <f>car_price_prediction_[[#This Row],[Price]]/100</f>
        <v>27289.119999999999</v>
      </c>
      <c r="M1398">
        <v>2728912</v>
      </c>
      <c r="N1398" s="1" t="s">
        <v>35</v>
      </c>
      <c r="O1398" s="1">
        <f>IF(IFERROR(VLOOKUP(car_price_prediction_[[#This Row],[Car ID]],A1399:A3898,1,FALSE),0),1,0)</f>
        <v>0</v>
      </c>
    </row>
    <row r="1399" spans="1:15" x14ac:dyDescent="0.25">
      <c r="A1399">
        <v>1398</v>
      </c>
      <c r="B1399" s="1" t="s">
        <v>15</v>
      </c>
      <c r="C1399" s="1">
        <f>car_price_prediction_[[#This Row],[Year2]]</f>
        <v>2007</v>
      </c>
      <c r="D1399">
        <v>2007</v>
      </c>
      <c r="E1399">
        <f>car_price_prediction_[[#This Row],[Engine Size]]/10</f>
        <v>3</v>
      </c>
      <c r="F1399">
        <v>30</v>
      </c>
      <c r="G1399" s="1" t="s">
        <v>21</v>
      </c>
      <c r="H1399" s="1" t="s">
        <v>22</v>
      </c>
      <c r="I1399" s="12">
        <f>car_price_prediction_[[#This Row],[Mileage]]/1000</f>
        <v>62.512999999999998</v>
      </c>
      <c r="J1399" s="5">
        <v>62513</v>
      </c>
      <c r="K1399" s="1" t="s">
        <v>17</v>
      </c>
      <c r="L1399" s="5">
        <f>car_price_prediction_[[#This Row],[Price]]/100</f>
        <v>29925.11</v>
      </c>
      <c r="M1399">
        <v>2992511</v>
      </c>
      <c r="N1399" s="1" t="s">
        <v>39</v>
      </c>
      <c r="O1399" s="1">
        <f>IF(IFERROR(VLOOKUP(car_price_prediction_[[#This Row],[Car ID]],A1400:A3899,1,FALSE),0),1,0)</f>
        <v>0</v>
      </c>
    </row>
    <row r="1400" spans="1:15" x14ac:dyDescent="0.25">
      <c r="A1400">
        <v>1399</v>
      </c>
      <c r="B1400" s="1" t="s">
        <v>15</v>
      </c>
      <c r="C1400" s="1">
        <f>car_price_prediction_[[#This Row],[Year2]]</f>
        <v>2019</v>
      </c>
      <c r="D1400">
        <v>2019</v>
      </c>
      <c r="E1400">
        <f>car_price_prediction_[[#This Row],[Engine Size]]/10</f>
        <v>1.7</v>
      </c>
      <c r="F1400">
        <v>17</v>
      </c>
      <c r="G1400" s="1" t="s">
        <v>16</v>
      </c>
      <c r="H1400" s="1" t="s">
        <v>22</v>
      </c>
      <c r="I1400" s="12">
        <f>car_price_prediction_[[#This Row],[Mileage]]/1000</f>
        <v>145.476</v>
      </c>
      <c r="J1400" s="5">
        <v>145476</v>
      </c>
      <c r="K1400" s="1" t="s">
        <v>17</v>
      </c>
      <c r="L1400" s="5">
        <f>car_price_prediction_[[#This Row],[Price]]/100</f>
        <v>71883.89</v>
      </c>
      <c r="M1400">
        <v>7188389</v>
      </c>
      <c r="N1400" s="1" t="s">
        <v>18</v>
      </c>
      <c r="O1400" s="1">
        <f>IF(IFERROR(VLOOKUP(car_price_prediction_[[#This Row],[Car ID]],A1401:A3900,1,FALSE),0),1,0)</f>
        <v>0</v>
      </c>
    </row>
    <row r="1401" spans="1:15" x14ac:dyDescent="0.25">
      <c r="A1401">
        <v>1400</v>
      </c>
      <c r="B1401" s="1" t="s">
        <v>19</v>
      </c>
      <c r="C1401" s="1">
        <f>car_price_prediction_[[#This Row],[Year2]]</f>
        <v>2016</v>
      </c>
      <c r="D1401">
        <v>2016</v>
      </c>
      <c r="E1401">
        <f>car_price_prediction_[[#This Row],[Engine Size]]/10</f>
        <v>1.8</v>
      </c>
      <c r="F1401">
        <v>18</v>
      </c>
      <c r="G1401" s="1" t="s">
        <v>16</v>
      </c>
      <c r="H1401" s="1" t="s">
        <v>12</v>
      </c>
      <c r="I1401" s="12">
        <f>car_price_prediction_[[#This Row],[Mileage]]/1000</f>
        <v>35.198</v>
      </c>
      <c r="J1401" s="5">
        <v>35198</v>
      </c>
      <c r="K1401" s="1" t="s">
        <v>17</v>
      </c>
      <c r="L1401" s="5">
        <f>car_price_prediction_[[#This Row],[Price]]/100</f>
        <v>21833.41</v>
      </c>
      <c r="M1401">
        <v>2183341</v>
      </c>
      <c r="N1401" s="1" t="s">
        <v>27</v>
      </c>
      <c r="O1401" s="1">
        <f>IF(IFERROR(VLOOKUP(car_price_prediction_[[#This Row],[Car ID]],A1402:A3901,1,FALSE),0),1,0)</f>
        <v>0</v>
      </c>
    </row>
    <row r="1402" spans="1:15" x14ac:dyDescent="0.25">
      <c r="A1402">
        <v>1401</v>
      </c>
      <c r="B1402" s="1" t="s">
        <v>19</v>
      </c>
      <c r="C1402" s="1">
        <f>car_price_prediction_[[#This Row],[Year2]]</f>
        <v>2000</v>
      </c>
      <c r="D1402">
        <v>2000</v>
      </c>
      <c r="E1402">
        <f>car_price_prediction_[[#This Row],[Engine Size]]/10</f>
        <v>5.7</v>
      </c>
      <c r="F1402">
        <v>57</v>
      </c>
      <c r="G1402" s="1" t="s">
        <v>29</v>
      </c>
      <c r="H1402" s="1" t="s">
        <v>22</v>
      </c>
      <c r="I1402" s="12">
        <f>car_price_prediction_[[#This Row],[Mileage]]/1000</f>
        <v>225.29499999999999</v>
      </c>
      <c r="J1402" s="5">
        <v>225295</v>
      </c>
      <c r="K1402" s="1" t="s">
        <v>17</v>
      </c>
      <c r="L1402" s="5">
        <f>car_price_prediction_[[#This Row],[Price]]/100</f>
        <v>49105.69</v>
      </c>
      <c r="M1402">
        <v>4910569</v>
      </c>
      <c r="N1402" s="1" t="s">
        <v>28</v>
      </c>
      <c r="O1402" s="1">
        <f>IF(IFERROR(VLOOKUP(car_price_prediction_[[#This Row],[Car ID]],A1403:A3902,1,FALSE),0),1,0)</f>
        <v>0</v>
      </c>
    </row>
    <row r="1403" spans="1:15" x14ac:dyDescent="0.25">
      <c r="A1403">
        <v>1402</v>
      </c>
      <c r="B1403" s="1" t="s">
        <v>10</v>
      </c>
      <c r="C1403" s="1">
        <f>car_price_prediction_[[#This Row],[Year2]]</f>
        <v>2011</v>
      </c>
      <c r="D1403">
        <v>2011</v>
      </c>
      <c r="E1403">
        <f>car_price_prediction_[[#This Row],[Engine Size]]/10</f>
        <v>5.4</v>
      </c>
      <c r="F1403">
        <v>54</v>
      </c>
      <c r="G1403" s="1" t="s">
        <v>29</v>
      </c>
      <c r="H1403" s="1" t="s">
        <v>12</v>
      </c>
      <c r="I1403" s="12">
        <f>car_price_prediction_[[#This Row],[Mileage]]/1000</f>
        <v>264.32299999999998</v>
      </c>
      <c r="J1403" s="5">
        <v>264323</v>
      </c>
      <c r="K1403" s="1" t="s">
        <v>13</v>
      </c>
      <c r="L1403" s="5">
        <f>car_price_prediction_[[#This Row],[Price]]/100</f>
        <v>6903.27</v>
      </c>
      <c r="M1403">
        <v>690327</v>
      </c>
      <c r="N1403" s="1" t="s">
        <v>23</v>
      </c>
      <c r="O1403" s="1">
        <f>IF(IFERROR(VLOOKUP(car_price_prediction_[[#This Row],[Car ID]],A1404:A3903,1,FALSE),0),1,0)</f>
        <v>0</v>
      </c>
    </row>
    <row r="1404" spans="1:15" x14ac:dyDescent="0.25">
      <c r="A1404">
        <v>1403</v>
      </c>
      <c r="B1404" s="1" t="s">
        <v>30</v>
      </c>
      <c r="C1404" s="1">
        <f>car_price_prediction_[[#This Row],[Year2]]</f>
        <v>2018</v>
      </c>
      <c r="D1404">
        <v>2018</v>
      </c>
      <c r="E1404">
        <f>car_price_prediction_[[#This Row],[Engine Size]]/10</f>
        <v>5.5</v>
      </c>
      <c r="F1404">
        <v>55</v>
      </c>
      <c r="G1404" s="1" t="s">
        <v>11</v>
      </c>
      <c r="H1404" s="1" t="s">
        <v>12</v>
      </c>
      <c r="I1404" s="12">
        <f>car_price_prediction_[[#This Row],[Mileage]]/1000</f>
        <v>2.0190000000000001</v>
      </c>
      <c r="J1404" s="5">
        <v>2019</v>
      </c>
      <c r="K1404" s="1" t="s">
        <v>25</v>
      </c>
      <c r="L1404" s="5">
        <f>car_price_prediction_[[#This Row],[Price]]/100</f>
        <v>18393.04</v>
      </c>
      <c r="M1404">
        <v>1839304</v>
      </c>
      <c r="N1404" s="1" t="s">
        <v>31</v>
      </c>
      <c r="O1404" s="1">
        <f>IF(IFERROR(VLOOKUP(car_price_prediction_[[#This Row],[Car ID]],A1405:A3904,1,FALSE),0),1,0)</f>
        <v>0</v>
      </c>
    </row>
    <row r="1405" spans="1:15" x14ac:dyDescent="0.25">
      <c r="A1405">
        <v>1404</v>
      </c>
      <c r="B1405" s="1" t="s">
        <v>43</v>
      </c>
      <c r="C1405" s="1">
        <f>car_price_prediction_[[#This Row],[Year2]]</f>
        <v>2014</v>
      </c>
      <c r="D1405">
        <v>2014</v>
      </c>
      <c r="E1405">
        <f>car_price_prediction_[[#This Row],[Engine Size]]/10</f>
        <v>6</v>
      </c>
      <c r="F1405">
        <v>60</v>
      </c>
      <c r="G1405" s="1" t="s">
        <v>16</v>
      </c>
      <c r="H1405" s="1" t="s">
        <v>22</v>
      </c>
      <c r="I1405" s="12">
        <f>car_price_prediction_[[#This Row],[Mileage]]/1000</f>
        <v>81.454999999999998</v>
      </c>
      <c r="J1405" s="5">
        <v>81455</v>
      </c>
      <c r="K1405" s="1" t="s">
        <v>25</v>
      </c>
      <c r="L1405" s="5">
        <f>car_price_prediction_[[#This Row],[Price]]/100</f>
        <v>69490.41</v>
      </c>
      <c r="M1405">
        <v>6949041</v>
      </c>
      <c r="N1405" s="1" t="s">
        <v>47</v>
      </c>
      <c r="O1405" s="1">
        <f>IF(IFERROR(VLOOKUP(car_price_prediction_[[#This Row],[Car ID]],A1406:A3905,1,FALSE),0),1,0)</f>
        <v>0</v>
      </c>
    </row>
    <row r="1406" spans="1:15" x14ac:dyDescent="0.25">
      <c r="A1406">
        <v>1405</v>
      </c>
      <c r="B1406" s="1" t="s">
        <v>15</v>
      </c>
      <c r="C1406" s="1">
        <f>car_price_prediction_[[#This Row],[Year2]]</f>
        <v>2008</v>
      </c>
      <c r="D1406">
        <v>2008</v>
      </c>
      <c r="E1406">
        <f>car_price_prediction_[[#This Row],[Engine Size]]/10</f>
        <v>2</v>
      </c>
      <c r="F1406">
        <v>20</v>
      </c>
      <c r="G1406" s="1" t="s">
        <v>21</v>
      </c>
      <c r="H1406" s="1" t="s">
        <v>12</v>
      </c>
      <c r="I1406" s="12">
        <f>car_price_prediction_[[#This Row],[Mileage]]/1000</f>
        <v>216.31100000000001</v>
      </c>
      <c r="J1406" s="5">
        <v>216311</v>
      </c>
      <c r="K1406" s="1" t="s">
        <v>17</v>
      </c>
      <c r="L1406" s="5">
        <f>car_price_prediction_[[#This Row],[Price]]/100</f>
        <v>76008.850000000006</v>
      </c>
      <c r="M1406">
        <v>7600885</v>
      </c>
      <c r="N1406" s="1" t="s">
        <v>51</v>
      </c>
      <c r="O1406" s="1">
        <f>IF(IFERROR(VLOOKUP(car_price_prediction_[[#This Row],[Car ID]],A1407:A3906,1,FALSE),0),1,0)</f>
        <v>0</v>
      </c>
    </row>
    <row r="1407" spans="1:15" x14ac:dyDescent="0.25">
      <c r="A1407">
        <v>1406</v>
      </c>
      <c r="B1407" s="1" t="s">
        <v>10</v>
      </c>
      <c r="C1407" s="1">
        <f>car_price_prediction_[[#This Row],[Year2]]</f>
        <v>2006</v>
      </c>
      <c r="D1407">
        <v>2006</v>
      </c>
      <c r="E1407">
        <f>car_price_prediction_[[#This Row],[Engine Size]]/10</f>
        <v>2.8</v>
      </c>
      <c r="F1407">
        <v>28</v>
      </c>
      <c r="G1407" s="1" t="s">
        <v>21</v>
      </c>
      <c r="H1407" s="1" t="s">
        <v>22</v>
      </c>
      <c r="I1407" s="12">
        <f>car_price_prediction_[[#This Row],[Mileage]]/1000</f>
        <v>149.77600000000001</v>
      </c>
      <c r="J1407" s="5">
        <v>149776</v>
      </c>
      <c r="K1407" s="1" t="s">
        <v>13</v>
      </c>
      <c r="L1407" s="5">
        <f>car_price_prediction_[[#This Row],[Price]]/100</f>
        <v>15955.31</v>
      </c>
      <c r="M1407">
        <v>1595531</v>
      </c>
      <c r="N1407" s="1" t="s">
        <v>49</v>
      </c>
      <c r="O1407" s="1">
        <f>IF(IFERROR(VLOOKUP(car_price_prediction_[[#This Row],[Car ID]],A1408:A3907,1,FALSE),0),1,0)</f>
        <v>0</v>
      </c>
    </row>
    <row r="1408" spans="1:15" x14ac:dyDescent="0.25">
      <c r="A1408">
        <v>1407</v>
      </c>
      <c r="B1408" s="1" t="s">
        <v>30</v>
      </c>
      <c r="C1408" s="1">
        <f>car_price_prediction_[[#This Row],[Year2]]</f>
        <v>2001</v>
      </c>
      <c r="D1408">
        <v>2001</v>
      </c>
      <c r="E1408">
        <f>car_price_prediction_[[#This Row],[Engine Size]]/10</f>
        <v>4.3</v>
      </c>
      <c r="F1408">
        <v>43</v>
      </c>
      <c r="G1408" s="1" t="s">
        <v>11</v>
      </c>
      <c r="H1408" s="1" t="s">
        <v>12</v>
      </c>
      <c r="I1408" s="12">
        <f>car_price_prediction_[[#This Row],[Mileage]]/1000</f>
        <v>149.102</v>
      </c>
      <c r="J1408" s="5">
        <v>149102</v>
      </c>
      <c r="K1408" s="1" t="s">
        <v>13</v>
      </c>
      <c r="L1408" s="5">
        <f>car_price_prediction_[[#This Row],[Price]]/100</f>
        <v>26632.41</v>
      </c>
      <c r="M1408">
        <v>2663241</v>
      </c>
      <c r="N1408" s="1" t="s">
        <v>45</v>
      </c>
      <c r="O1408" s="1">
        <f>IF(IFERROR(VLOOKUP(car_price_prediction_[[#This Row],[Car ID]],A1409:A3908,1,FALSE),0),1,0)</f>
        <v>0</v>
      </c>
    </row>
    <row r="1409" spans="1:15" x14ac:dyDescent="0.25">
      <c r="A1409">
        <v>1408</v>
      </c>
      <c r="B1409" s="1" t="s">
        <v>43</v>
      </c>
      <c r="C1409" s="1">
        <f>car_price_prediction_[[#This Row],[Year2]]</f>
        <v>2008</v>
      </c>
      <c r="D1409">
        <v>2008</v>
      </c>
      <c r="E1409">
        <f>car_price_prediction_[[#This Row],[Engine Size]]/10</f>
        <v>3.4</v>
      </c>
      <c r="F1409">
        <v>34</v>
      </c>
      <c r="G1409" s="1" t="s">
        <v>16</v>
      </c>
      <c r="H1409" s="1" t="s">
        <v>22</v>
      </c>
      <c r="I1409" s="12">
        <f>car_price_prediction_[[#This Row],[Mileage]]/1000</f>
        <v>3.42</v>
      </c>
      <c r="J1409" s="5">
        <v>3420</v>
      </c>
      <c r="K1409" s="1" t="s">
        <v>25</v>
      </c>
      <c r="L1409" s="5">
        <f>car_price_prediction_[[#This Row],[Price]]/100</f>
        <v>14395.92</v>
      </c>
      <c r="M1409">
        <v>1439592</v>
      </c>
      <c r="N1409" s="1" t="s">
        <v>47</v>
      </c>
      <c r="O1409" s="1">
        <f>IF(IFERROR(VLOOKUP(car_price_prediction_[[#This Row],[Car ID]],A1410:A3909,1,FALSE),0),1,0)</f>
        <v>0</v>
      </c>
    </row>
    <row r="1410" spans="1:15" x14ac:dyDescent="0.25">
      <c r="A1410">
        <v>1409</v>
      </c>
      <c r="B1410" s="1" t="s">
        <v>36</v>
      </c>
      <c r="C1410" s="1">
        <f>car_price_prediction_[[#This Row],[Year2]]</f>
        <v>2009</v>
      </c>
      <c r="D1410">
        <v>2009</v>
      </c>
      <c r="E1410">
        <f>car_price_prediction_[[#This Row],[Engine Size]]/10</f>
        <v>3.1</v>
      </c>
      <c r="F1410">
        <v>31</v>
      </c>
      <c r="G1410" s="1" t="s">
        <v>21</v>
      </c>
      <c r="H1410" s="1" t="s">
        <v>12</v>
      </c>
      <c r="I1410" s="12">
        <f>car_price_prediction_[[#This Row],[Mileage]]/1000</f>
        <v>178.72499999999999</v>
      </c>
      <c r="J1410" s="5">
        <v>178725</v>
      </c>
      <c r="K1410" s="1" t="s">
        <v>17</v>
      </c>
      <c r="L1410" s="5">
        <f>car_price_prediction_[[#This Row],[Price]]/100</f>
        <v>46174.22</v>
      </c>
      <c r="M1410">
        <v>4617422</v>
      </c>
      <c r="N1410" s="1" t="s">
        <v>40</v>
      </c>
      <c r="O1410" s="1">
        <f>IF(IFERROR(VLOOKUP(car_price_prediction_[[#This Row],[Car ID]],A1411:A3910,1,FALSE),0),1,0)</f>
        <v>0</v>
      </c>
    </row>
    <row r="1411" spans="1:15" x14ac:dyDescent="0.25">
      <c r="A1411">
        <v>1410</v>
      </c>
      <c r="B1411" s="1" t="s">
        <v>24</v>
      </c>
      <c r="C1411" s="1">
        <f>car_price_prediction_[[#This Row],[Year2]]</f>
        <v>2001</v>
      </c>
      <c r="D1411">
        <v>2001</v>
      </c>
      <c r="E1411">
        <f>car_price_prediction_[[#This Row],[Engine Size]]/10</f>
        <v>2.8</v>
      </c>
      <c r="F1411">
        <v>28</v>
      </c>
      <c r="G1411" s="1" t="s">
        <v>11</v>
      </c>
      <c r="H1411" s="1" t="s">
        <v>22</v>
      </c>
      <c r="I1411" s="12">
        <f>car_price_prediction_[[#This Row],[Mileage]]/1000</f>
        <v>16.739999999999998</v>
      </c>
      <c r="J1411" s="5">
        <v>16740</v>
      </c>
      <c r="K1411" s="1" t="s">
        <v>25</v>
      </c>
      <c r="L1411" s="5">
        <f>car_price_prediction_[[#This Row],[Price]]/100</f>
        <v>16981.03</v>
      </c>
      <c r="M1411">
        <v>1698103</v>
      </c>
      <c r="N1411" s="1" t="s">
        <v>26</v>
      </c>
      <c r="O1411" s="1">
        <f>IF(IFERROR(VLOOKUP(car_price_prediction_[[#This Row],[Car ID]],A1412:A3911,1,FALSE),0),1,0)</f>
        <v>0</v>
      </c>
    </row>
    <row r="1412" spans="1:15" x14ac:dyDescent="0.25">
      <c r="A1412">
        <v>1411</v>
      </c>
      <c r="B1412" s="1" t="s">
        <v>19</v>
      </c>
      <c r="C1412" s="1">
        <f>car_price_prediction_[[#This Row],[Year2]]</f>
        <v>2018</v>
      </c>
      <c r="D1412">
        <v>2018</v>
      </c>
      <c r="E1412">
        <f>car_price_prediction_[[#This Row],[Engine Size]]/10</f>
        <v>4</v>
      </c>
      <c r="F1412">
        <v>40</v>
      </c>
      <c r="G1412" s="1" t="s">
        <v>11</v>
      </c>
      <c r="H1412" s="1" t="s">
        <v>22</v>
      </c>
      <c r="I1412" s="12">
        <f>car_price_prediction_[[#This Row],[Mileage]]/1000</f>
        <v>105.789</v>
      </c>
      <c r="J1412" s="5">
        <v>105789</v>
      </c>
      <c r="K1412" s="1" t="s">
        <v>25</v>
      </c>
      <c r="L1412" s="5">
        <f>car_price_prediction_[[#This Row],[Price]]/100</f>
        <v>46543.12</v>
      </c>
      <c r="M1412">
        <v>4654312</v>
      </c>
      <c r="N1412" s="1" t="s">
        <v>27</v>
      </c>
      <c r="O1412" s="1">
        <f>IF(IFERROR(VLOOKUP(car_price_prediction_[[#This Row],[Car ID]],A1413:A3912,1,FALSE),0),1,0)</f>
        <v>0</v>
      </c>
    </row>
    <row r="1413" spans="1:15" x14ac:dyDescent="0.25">
      <c r="A1413">
        <v>1412</v>
      </c>
      <c r="B1413" s="1" t="s">
        <v>36</v>
      </c>
      <c r="C1413" s="1">
        <f>car_price_prediction_[[#This Row],[Year2]]</f>
        <v>2010</v>
      </c>
      <c r="D1413">
        <v>2010</v>
      </c>
      <c r="E1413">
        <f>car_price_prediction_[[#This Row],[Engine Size]]/10</f>
        <v>3.9</v>
      </c>
      <c r="F1413">
        <v>39</v>
      </c>
      <c r="G1413" s="1" t="s">
        <v>21</v>
      </c>
      <c r="H1413" s="1" t="s">
        <v>22</v>
      </c>
      <c r="I1413" s="12">
        <f>car_price_prediction_[[#This Row],[Mileage]]/1000</f>
        <v>19.465</v>
      </c>
      <c r="J1413" s="5">
        <v>19465</v>
      </c>
      <c r="K1413" s="1" t="s">
        <v>13</v>
      </c>
      <c r="L1413" s="5">
        <f>car_price_prediction_[[#This Row],[Price]]/100</f>
        <v>74549.33</v>
      </c>
      <c r="M1413">
        <v>7454933</v>
      </c>
      <c r="N1413" s="1" t="s">
        <v>41</v>
      </c>
      <c r="O1413" s="1">
        <f>IF(IFERROR(VLOOKUP(car_price_prediction_[[#This Row],[Car ID]],A1414:A3913,1,FALSE),0),1,0)</f>
        <v>0</v>
      </c>
    </row>
    <row r="1414" spans="1:15" x14ac:dyDescent="0.25">
      <c r="A1414">
        <v>1413</v>
      </c>
      <c r="B1414" s="1" t="s">
        <v>43</v>
      </c>
      <c r="C1414" s="1">
        <f>car_price_prediction_[[#This Row],[Year2]]</f>
        <v>2012</v>
      </c>
      <c r="D1414">
        <v>2012</v>
      </c>
      <c r="E1414">
        <f>car_price_prediction_[[#This Row],[Engine Size]]/10</f>
        <v>1.8</v>
      </c>
      <c r="F1414">
        <v>18</v>
      </c>
      <c r="G1414" s="1" t="s">
        <v>21</v>
      </c>
      <c r="H1414" s="1" t="s">
        <v>22</v>
      </c>
      <c r="I1414" s="12">
        <f>car_price_prediction_[[#This Row],[Mileage]]/1000</f>
        <v>4.1310000000000002</v>
      </c>
      <c r="J1414" s="5">
        <v>4131</v>
      </c>
      <c r="K1414" s="1" t="s">
        <v>13</v>
      </c>
      <c r="L1414" s="5">
        <f>car_price_prediction_[[#This Row],[Price]]/100</f>
        <v>69921.919999999998</v>
      </c>
      <c r="M1414">
        <v>6992192</v>
      </c>
      <c r="N1414" s="1" t="s">
        <v>47</v>
      </c>
      <c r="O1414" s="1">
        <f>IF(IFERROR(VLOOKUP(car_price_prediction_[[#This Row],[Car ID]],A1415:A3914,1,FALSE),0),1,0)</f>
        <v>0</v>
      </c>
    </row>
    <row r="1415" spans="1:15" x14ac:dyDescent="0.25">
      <c r="A1415">
        <v>1414</v>
      </c>
      <c r="B1415" s="1" t="s">
        <v>36</v>
      </c>
      <c r="C1415" s="1">
        <f>car_price_prediction_[[#This Row],[Year2]]</f>
        <v>2009</v>
      </c>
      <c r="D1415">
        <v>2009</v>
      </c>
      <c r="E1415">
        <f>car_price_prediction_[[#This Row],[Engine Size]]/10</f>
        <v>3.4</v>
      </c>
      <c r="F1415">
        <v>34</v>
      </c>
      <c r="G1415" s="1" t="s">
        <v>29</v>
      </c>
      <c r="H1415" s="1" t="s">
        <v>12</v>
      </c>
      <c r="I1415" s="12">
        <f>car_price_prediction_[[#This Row],[Mileage]]/1000</f>
        <v>10.651999999999999</v>
      </c>
      <c r="J1415" s="5">
        <v>10652</v>
      </c>
      <c r="K1415" s="1" t="s">
        <v>25</v>
      </c>
      <c r="L1415" s="5">
        <f>car_price_prediction_[[#This Row],[Price]]/100</f>
        <v>31643.75</v>
      </c>
      <c r="M1415">
        <v>3164375</v>
      </c>
      <c r="N1415" s="1" t="s">
        <v>41</v>
      </c>
      <c r="O1415" s="1">
        <f>IF(IFERROR(VLOOKUP(car_price_prediction_[[#This Row],[Car ID]],A1416:A3915,1,FALSE),0),1,0)</f>
        <v>0</v>
      </c>
    </row>
    <row r="1416" spans="1:15" x14ac:dyDescent="0.25">
      <c r="A1416">
        <v>1415</v>
      </c>
      <c r="B1416" s="1" t="s">
        <v>24</v>
      </c>
      <c r="C1416" s="1">
        <f>car_price_prediction_[[#This Row],[Year2]]</f>
        <v>2013</v>
      </c>
      <c r="D1416">
        <v>2013</v>
      </c>
      <c r="E1416">
        <f>car_price_prediction_[[#This Row],[Engine Size]]/10</f>
        <v>3.8</v>
      </c>
      <c r="F1416">
        <v>38</v>
      </c>
      <c r="G1416" s="1" t="s">
        <v>16</v>
      </c>
      <c r="H1416" s="1" t="s">
        <v>12</v>
      </c>
      <c r="I1416" s="12">
        <f>car_price_prediction_[[#This Row],[Mileage]]/1000</f>
        <v>218.11500000000001</v>
      </c>
      <c r="J1416" s="5">
        <v>218115</v>
      </c>
      <c r="K1416" s="1" t="s">
        <v>17</v>
      </c>
      <c r="L1416" s="5">
        <f>car_price_prediction_[[#This Row],[Price]]/100</f>
        <v>69007.44</v>
      </c>
      <c r="M1416">
        <v>6900744</v>
      </c>
      <c r="N1416" s="1" t="s">
        <v>34</v>
      </c>
      <c r="O1416" s="1">
        <f>IF(IFERROR(VLOOKUP(car_price_prediction_[[#This Row],[Car ID]],A1417:A3916,1,FALSE),0),1,0)</f>
        <v>0</v>
      </c>
    </row>
    <row r="1417" spans="1:15" x14ac:dyDescent="0.25">
      <c r="A1417">
        <v>1416</v>
      </c>
      <c r="B1417" s="1" t="s">
        <v>10</v>
      </c>
      <c r="C1417" s="1">
        <f>car_price_prediction_[[#This Row],[Year2]]</f>
        <v>2017</v>
      </c>
      <c r="D1417">
        <v>2017</v>
      </c>
      <c r="E1417">
        <f>car_price_prediction_[[#This Row],[Engine Size]]/10</f>
        <v>3.9</v>
      </c>
      <c r="F1417">
        <v>39</v>
      </c>
      <c r="G1417" s="1" t="s">
        <v>29</v>
      </c>
      <c r="H1417" s="1" t="s">
        <v>22</v>
      </c>
      <c r="I1417" s="12">
        <f>car_price_prediction_[[#This Row],[Mileage]]/1000</f>
        <v>245.28899999999999</v>
      </c>
      <c r="J1417" s="5">
        <v>245289</v>
      </c>
      <c r="K1417" s="1" t="s">
        <v>17</v>
      </c>
      <c r="L1417" s="5">
        <f>car_price_prediction_[[#This Row],[Price]]/100</f>
        <v>93132.65</v>
      </c>
      <c r="M1417">
        <v>9313265</v>
      </c>
      <c r="N1417" s="1" t="s">
        <v>23</v>
      </c>
      <c r="O1417" s="1">
        <f>IF(IFERROR(VLOOKUP(car_price_prediction_[[#This Row],[Car ID]],A1418:A3917,1,FALSE),0),1,0)</f>
        <v>0</v>
      </c>
    </row>
    <row r="1418" spans="1:15" x14ac:dyDescent="0.25">
      <c r="A1418">
        <v>1417</v>
      </c>
      <c r="B1418" s="1" t="s">
        <v>43</v>
      </c>
      <c r="C1418" s="1">
        <f>car_price_prediction_[[#This Row],[Year2]]</f>
        <v>2018</v>
      </c>
      <c r="D1418">
        <v>2018</v>
      </c>
      <c r="E1418">
        <f>car_price_prediction_[[#This Row],[Engine Size]]/10</f>
        <v>2.1</v>
      </c>
      <c r="F1418">
        <v>21</v>
      </c>
      <c r="G1418" s="1" t="s">
        <v>11</v>
      </c>
      <c r="H1418" s="1" t="s">
        <v>12</v>
      </c>
      <c r="I1418" s="12">
        <f>car_price_prediction_[[#This Row],[Mileage]]/1000</f>
        <v>89.341999999999999</v>
      </c>
      <c r="J1418" s="5">
        <v>89342</v>
      </c>
      <c r="K1418" s="1" t="s">
        <v>25</v>
      </c>
      <c r="L1418" s="5">
        <f>car_price_prediction_[[#This Row],[Price]]/100</f>
        <v>38014.82</v>
      </c>
      <c r="M1418">
        <v>3801482</v>
      </c>
      <c r="N1418" s="1" t="s">
        <v>47</v>
      </c>
      <c r="O1418" s="1">
        <f>IF(IFERROR(VLOOKUP(car_price_prediction_[[#This Row],[Car ID]],A1419:A3918,1,FALSE),0),1,0)</f>
        <v>0</v>
      </c>
    </row>
    <row r="1419" spans="1:15" x14ac:dyDescent="0.25">
      <c r="A1419">
        <v>1418</v>
      </c>
      <c r="B1419" s="1" t="s">
        <v>36</v>
      </c>
      <c r="C1419" s="1">
        <f>car_price_prediction_[[#This Row],[Year2]]</f>
        <v>2021</v>
      </c>
      <c r="D1419">
        <v>2021</v>
      </c>
      <c r="E1419">
        <f>car_price_prediction_[[#This Row],[Engine Size]]/10</f>
        <v>4.7</v>
      </c>
      <c r="F1419">
        <v>47</v>
      </c>
      <c r="G1419" s="1" t="s">
        <v>21</v>
      </c>
      <c r="H1419" s="1" t="s">
        <v>22</v>
      </c>
      <c r="I1419" s="12">
        <f>car_price_prediction_[[#This Row],[Mileage]]/1000</f>
        <v>281.315</v>
      </c>
      <c r="J1419" s="5">
        <v>281315</v>
      </c>
      <c r="K1419" s="1" t="s">
        <v>25</v>
      </c>
      <c r="L1419" s="5">
        <f>car_price_prediction_[[#This Row],[Price]]/100</f>
        <v>36266.32</v>
      </c>
      <c r="M1419">
        <v>3626632</v>
      </c>
      <c r="N1419" s="1" t="s">
        <v>40</v>
      </c>
      <c r="O1419" s="1">
        <f>IF(IFERROR(VLOOKUP(car_price_prediction_[[#This Row],[Car ID]],A1420:A3919,1,FALSE),0),1,0)</f>
        <v>0</v>
      </c>
    </row>
    <row r="1420" spans="1:15" x14ac:dyDescent="0.25">
      <c r="A1420">
        <v>1419</v>
      </c>
      <c r="B1420" s="1" t="s">
        <v>19</v>
      </c>
      <c r="C1420" s="1">
        <f>car_price_prediction_[[#This Row],[Year2]]</f>
        <v>2008</v>
      </c>
      <c r="D1420">
        <v>2008</v>
      </c>
      <c r="E1420">
        <f>car_price_prediction_[[#This Row],[Engine Size]]/10</f>
        <v>1.1000000000000001</v>
      </c>
      <c r="F1420">
        <v>11</v>
      </c>
      <c r="G1420" s="1" t="s">
        <v>29</v>
      </c>
      <c r="H1420" s="1" t="s">
        <v>22</v>
      </c>
      <c r="I1420" s="12">
        <f>car_price_prediction_[[#This Row],[Mileage]]/1000</f>
        <v>217.20099999999999</v>
      </c>
      <c r="J1420" s="5">
        <v>217201</v>
      </c>
      <c r="K1420" s="1" t="s">
        <v>17</v>
      </c>
      <c r="L1420" s="5">
        <f>car_price_prediction_[[#This Row],[Price]]/100</f>
        <v>59286.67</v>
      </c>
      <c r="M1420">
        <v>5928667</v>
      </c>
      <c r="N1420" s="1" t="s">
        <v>38</v>
      </c>
      <c r="O1420" s="1">
        <f>IF(IFERROR(VLOOKUP(car_price_prediction_[[#This Row],[Car ID]],A1421:A3920,1,FALSE),0),1,0)</f>
        <v>0</v>
      </c>
    </row>
    <row r="1421" spans="1:15" x14ac:dyDescent="0.25">
      <c r="A1421">
        <v>1420</v>
      </c>
      <c r="B1421" s="1" t="s">
        <v>19</v>
      </c>
      <c r="C1421" s="1">
        <f>car_price_prediction_[[#This Row],[Year2]]</f>
        <v>2006</v>
      </c>
      <c r="D1421">
        <v>2006</v>
      </c>
      <c r="E1421">
        <f>car_price_prediction_[[#This Row],[Engine Size]]/10</f>
        <v>2.8</v>
      </c>
      <c r="F1421">
        <v>28</v>
      </c>
      <c r="G1421" s="1" t="s">
        <v>11</v>
      </c>
      <c r="H1421" s="1" t="s">
        <v>12</v>
      </c>
      <c r="I1421" s="12">
        <f>car_price_prediction_[[#This Row],[Mileage]]/1000</f>
        <v>259.82</v>
      </c>
      <c r="J1421" s="5">
        <v>259820</v>
      </c>
      <c r="K1421" s="1" t="s">
        <v>17</v>
      </c>
      <c r="L1421" s="5">
        <f>car_price_prediction_[[#This Row],[Price]]/100</f>
        <v>28322.67</v>
      </c>
      <c r="M1421">
        <v>2832267</v>
      </c>
      <c r="N1421" s="1" t="s">
        <v>20</v>
      </c>
      <c r="O1421" s="1">
        <f>IF(IFERROR(VLOOKUP(car_price_prediction_[[#This Row],[Car ID]],A1422:A3921,1,FALSE),0),1,0)</f>
        <v>0</v>
      </c>
    </row>
    <row r="1422" spans="1:15" x14ac:dyDescent="0.25">
      <c r="A1422">
        <v>1421</v>
      </c>
      <c r="B1422" s="1" t="s">
        <v>30</v>
      </c>
      <c r="C1422" s="1">
        <f>car_price_prediction_[[#This Row],[Year2]]</f>
        <v>2002</v>
      </c>
      <c r="D1422">
        <v>2002</v>
      </c>
      <c r="E1422">
        <f>car_price_prediction_[[#This Row],[Engine Size]]/10</f>
        <v>4.9000000000000004</v>
      </c>
      <c r="F1422">
        <v>49</v>
      </c>
      <c r="G1422" s="1" t="s">
        <v>16</v>
      </c>
      <c r="H1422" s="1" t="s">
        <v>12</v>
      </c>
      <c r="I1422" s="12">
        <f>car_price_prediction_[[#This Row],[Mileage]]/1000</f>
        <v>186.76400000000001</v>
      </c>
      <c r="J1422" s="5">
        <v>186764</v>
      </c>
      <c r="K1422" s="1" t="s">
        <v>17</v>
      </c>
      <c r="L1422" s="5">
        <f>car_price_prediction_[[#This Row],[Price]]/100</f>
        <v>6690</v>
      </c>
      <c r="M1422">
        <v>669000</v>
      </c>
      <c r="N1422" s="1" t="s">
        <v>45</v>
      </c>
      <c r="O1422" s="1">
        <f>IF(IFERROR(VLOOKUP(car_price_prediction_[[#This Row],[Car ID]],A1423:A3922,1,FALSE),0),1,0)</f>
        <v>0</v>
      </c>
    </row>
    <row r="1423" spans="1:15" x14ac:dyDescent="0.25">
      <c r="A1423">
        <v>1422</v>
      </c>
      <c r="B1423" s="1" t="s">
        <v>36</v>
      </c>
      <c r="C1423" s="1">
        <f>car_price_prediction_[[#This Row],[Year2]]</f>
        <v>2019</v>
      </c>
      <c r="D1423">
        <v>2019</v>
      </c>
      <c r="E1423">
        <f>car_price_prediction_[[#This Row],[Engine Size]]/10</f>
        <v>3.8</v>
      </c>
      <c r="F1423">
        <v>38</v>
      </c>
      <c r="G1423" s="1" t="s">
        <v>21</v>
      </c>
      <c r="H1423" s="1" t="s">
        <v>22</v>
      </c>
      <c r="I1423" s="12">
        <f>car_price_prediction_[[#This Row],[Mileage]]/1000</f>
        <v>58.540999999999997</v>
      </c>
      <c r="J1423" s="5">
        <v>58541</v>
      </c>
      <c r="K1423" s="1" t="s">
        <v>25</v>
      </c>
      <c r="L1423" s="5">
        <f>car_price_prediction_[[#This Row],[Price]]/100</f>
        <v>84064.87</v>
      </c>
      <c r="M1423">
        <v>8406487</v>
      </c>
      <c r="N1423" s="1" t="s">
        <v>40</v>
      </c>
      <c r="O1423" s="1">
        <f>IF(IFERROR(VLOOKUP(car_price_prediction_[[#This Row],[Car ID]],A1424:A3923,1,FALSE),0),1,0)</f>
        <v>0</v>
      </c>
    </row>
    <row r="1424" spans="1:15" x14ac:dyDescent="0.25">
      <c r="A1424">
        <v>1423</v>
      </c>
      <c r="B1424" s="1" t="s">
        <v>15</v>
      </c>
      <c r="C1424" s="1">
        <f>car_price_prediction_[[#This Row],[Year2]]</f>
        <v>2005</v>
      </c>
      <c r="D1424">
        <v>2005</v>
      </c>
      <c r="E1424">
        <f>car_price_prediction_[[#This Row],[Engine Size]]/10</f>
        <v>2.2999999999999998</v>
      </c>
      <c r="F1424">
        <v>23</v>
      </c>
      <c r="G1424" s="1" t="s">
        <v>29</v>
      </c>
      <c r="H1424" s="1" t="s">
        <v>12</v>
      </c>
      <c r="I1424" s="12">
        <f>car_price_prediction_[[#This Row],[Mileage]]/1000</f>
        <v>9.4700000000000006</v>
      </c>
      <c r="J1424" s="5">
        <v>9470</v>
      </c>
      <c r="K1424" s="1" t="s">
        <v>13</v>
      </c>
      <c r="L1424" s="5">
        <f>car_price_prediction_[[#This Row],[Price]]/100</f>
        <v>48635.26</v>
      </c>
      <c r="M1424">
        <v>4863526</v>
      </c>
      <c r="N1424" s="1" t="s">
        <v>35</v>
      </c>
      <c r="O1424" s="1">
        <f>IF(IFERROR(VLOOKUP(car_price_prediction_[[#This Row],[Car ID]],A1425:A3924,1,FALSE),0),1,0)</f>
        <v>0</v>
      </c>
    </row>
    <row r="1425" spans="1:15" x14ac:dyDescent="0.25">
      <c r="A1425">
        <v>1424</v>
      </c>
      <c r="B1425" s="1" t="s">
        <v>36</v>
      </c>
      <c r="C1425" s="1">
        <f>car_price_prediction_[[#This Row],[Year2]]</f>
        <v>2020</v>
      </c>
      <c r="D1425">
        <v>2020</v>
      </c>
      <c r="E1425">
        <f>car_price_prediction_[[#This Row],[Engine Size]]/10</f>
        <v>4.5</v>
      </c>
      <c r="F1425">
        <v>45</v>
      </c>
      <c r="G1425" s="1" t="s">
        <v>16</v>
      </c>
      <c r="H1425" s="1" t="s">
        <v>22</v>
      </c>
      <c r="I1425" s="12">
        <f>car_price_prediction_[[#This Row],[Mileage]]/1000</f>
        <v>192.416</v>
      </c>
      <c r="J1425" s="5">
        <v>192416</v>
      </c>
      <c r="K1425" s="1" t="s">
        <v>17</v>
      </c>
      <c r="L1425" s="5">
        <f>car_price_prediction_[[#This Row],[Price]]/100</f>
        <v>6955.32</v>
      </c>
      <c r="M1425">
        <v>695532</v>
      </c>
      <c r="N1425" s="1" t="s">
        <v>41</v>
      </c>
      <c r="O1425" s="1">
        <f>IF(IFERROR(VLOOKUP(car_price_prediction_[[#This Row],[Car ID]],A1426:A3925,1,FALSE),0),1,0)</f>
        <v>0</v>
      </c>
    </row>
    <row r="1426" spans="1:15" x14ac:dyDescent="0.25">
      <c r="A1426">
        <v>1425</v>
      </c>
      <c r="B1426" s="1" t="s">
        <v>10</v>
      </c>
      <c r="C1426" s="1">
        <f>car_price_prediction_[[#This Row],[Year2]]</f>
        <v>2001</v>
      </c>
      <c r="D1426">
        <v>2001</v>
      </c>
      <c r="E1426">
        <f>car_price_prediction_[[#This Row],[Engine Size]]/10</f>
        <v>3.8</v>
      </c>
      <c r="F1426">
        <v>38</v>
      </c>
      <c r="G1426" s="1" t="s">
        <v>29</v>
      </c>
      <c r="H1426" s="1" t="s">
        <v>12</v>
      </c>
      <c r="I1426" s="12">
        <f>car_price_prediction_[[#This Row],[Mileage]]/1000</f>
        <v>44.308</v>
      </c>
      <c r="J1426" s="5">
        <v>44308</v>
      </c>
      <c r="K1426" s="1" t="s">
        <v>17</v>
      </c>
      <c r="L1426" s="5">
        <f>car_price_prediction_[[#This Row],[Price]]/100</f>
        <v>66929.119999999995</v>
      </c>
      <c r="M1426">
        <v>6692912</v>
      </c>
      <c r="N1426" s="1" t="s">
        <v>33</v>
      </c>
      <c r="O1426" s="1">
        <f>IF(IFERROR(VLOOKUP(car_price_prediction_[[#This Row],[Car ID]],A1427:A3926,1,FALSE),0),1,0)</f>
        <v>0</v>
      </c>
    </row>
    <row r="1427" spans="1:15" x14ac:dyDescent="0.25">
      <c r="A1427">
        <v>1426</v>
      </c>
      <c r="B1427" s="1" t="s">
        <v>43</v>
      </c>
      <c r="C1427" s="1">
        <f>car_price_prediction_[[#This Row],[Year2]]</f>
        <v>2005</v>
      </c>
      <c r="D1427">
        <v>2005</v>
      </c>
      <c r="E1427">
        <f>car_price_prediction_[[#This Row],[Engine Size]]/10</f>
        <v>5</v>
      </c>
      <c r="F1427">
        <v>50</v>
      </c>
      <c r="G1427" s="1" t="s">
        <v>11</v>
      </c>
      <c r="H1427" s="1" t="s">
        <v>12</v>
      </c>
      <c r="I1427" s="12">
        <f>car_price_prediction_[[#This Row],[Mileage]]/1000</f>
        <v>135.66900000000001</v>
      </c>
      <c r="J1427" s="5">
        <v>135669</v>
      </c>
      <c r="K1427" s="1" t="s">
        <v>17</v>
      </c>
      <c r="L1427" s="5">
        <f>car_price_prediction_[[#This Row],[Price]]/100</f>
        <v>8673.23</v>
      </c>
      <c r="M1427">
        <v>867323</v>
      </c>
      <c r="N1427" s="1" t="s">
        <v>44</v>
      </c>
      <c r="O1427" s="1">
        <f>IF(IFERROR(VLOOKUP(car_price_prediction_[[#This Row],[Car ID]],A1428:A3927,1,FALSE),0),1,0)</f>
        <v>0</v>
      </c>
    </row>
    <row r="1428" spans="1:15" x14ac:dyDescent="0.25">
      <c r="A1428">
        <v>1427</v>
      </c>
      <c r="B1428" s="1" t="s">
        <v>43</v>
      </c>
      <c r="C1428" s="1">
        <f>car_price_prediction_[[#This Row],[Year2]]</f>
        <v>2002</v>
      </c>
      <c r="D1428">
        <v>2002</v>
      </c>
      <c r="E1428">
        <f>car_price_prediction_[[#This Row],[Engine Size]]/10</f>
        <v>4.7</v>
      </c>
      <c r="F1428">
        <v>47</v>
      </c>
      <c r="G1428" s="1" t="s">
        <v>16</v>
      </c>
      <c r="H1428" s="1" t="s">
        <v>12</v>
      </c>
      <c r="I1428" s="12">
        <f>car_price_prediction_[[#This Row],[Mileage]]/1000</f>
        <v>102.84</v>
      </c>
      <c r="J1428" s="5">
        <v>102840</v>
      </c>
      <c r="K1428" s="1" t="s">
        <v>25</v>
      </c>
      <c r="L1428" s="5">
        <f>car_price_prediction_[[#This Row],[Price]]/100</f>
        <v>22424.55</v>
      </c>
      <c r="M1428">
        <v>2242455</v>
      </c>
      <c r="N1428" s="1" t="s">
        <v>47</v>
      </c>
      <c r="O1428" s="1">
        <f>IF(IFERROR(VLOOKUP(car_price_prediction_[[#This Row],[Car ID]],A1429:A3928,1,FALSE),0),1,0)</f>
        <v>0</v>
      </c>
    </row>
    <row r="1429" spans="1:15" x14ac:dyDescent="0.25">
      <c r="A1429">
        <v>1428</v>
      </c>
      <c r="B1429" s="1" t="s">
        <v>10</v>
      </c>
      <c r="C1429" s="1">
        <f>car_price_prediction_[[#This Row],[Year2]]</f>
        <v>2015</v>
      </c>
      <c r="D1429">
        <v>2015</v>
      </c>
      <c r="E1429">
        <f>car_price_prediction_[[#This Row],[Engine Size]]/10</f>
        <v>4.0999999999999996</v>
      </c>
      <c r="F1429">
        <v>41</v>
      </c>
      <c r="G1429" s="1" t="s">
        <v>29</v>
      </c>
      <c r="H1429" s="1" t="s">
        <v>12</v>
      </c>
      <c r="I1429" s="12">
        <f>car_price_prediction_[[#This Row],[Mileage]]/1000</f>
        <v>161.86000000000001</v>
      </c>
      <c r="J1429" s="5">
        <v>161860</v>
      </c>
      <c r="K1429" s="1" t="s">
        <v>13</v>
      </c>
      <c r="L1429" s="5">
        <f>car_price_prediction_[[#This Row],[Price]]/100</f>
        <v>89885.35</v>
      </c>
      <c r="M1429">
        <v>8988535</v>
      </c>
      <c r="N1429" s="1" t="s">
        <v>49</v>
      </c>
      <c r="O1429" s="1">
        <f>IF(IFERROR(VLOOKUP(car_price_prediction_[[#This Row],[Car ID]],A1430:A3929,1,FALSE),0),1,0)</f>
        <v>0</v>
      </c>
    </row>
    <row r="1430" spans="1:15" x14ac:dyDescent="0.25">
      <c r="A1430">
        <v>1429</v>
      </c>
      <c r="B1430" s="1" t="s">
        <v>36</v>
      </c>
      <c r="C1430" s="1">
        <f>car_price_prediction_[[#This Row],[Year2]]</f>
        <v>2007</v>
      </c>
      <c r="D1430">
        <v>2007</v>
      </c>
      <c r="E1430">
        <f>car_price_prediction_[[#This Row],[Engine Size]]/10</f>
        <v>3.4</v>
      </c>
      <c r="F1430">
        <v>34</v>
      </c>
      <c r="G1430" s="1" t="s">
        <v>16</v>
      </c>
      <c r="H1430" s="1" t="s">
        <v>12</v>
      </c>
      <c r="I1430" s="12">
        <f>car_price_prediction_[[#This Row],[Mileage]]/1000</f>
        <v>49.476999999999997</v>
      </c>
      <c r="J1430" s="5">
        <v>49477</v>
      </c>
      <c r="K1430" s="1" t="s">
        <v>13</v>
      </c>
      <c r="L1430" s="5">
        <f>car_price_prediction_[[#This Row],[Price]]/100</f>
        <v>94194.75</v>
      </c>
      <c r="M1430">
        <v>9419475</v>
      </c>
      <c r="N1430" s="1" t="s">
        <v>46</v>
      </c>
      <c r="O1430" s="1">
        <f>IF(IFERROR(VLOOKUP(car_price_prediction_[[#This Row],[Car ID]],A1431:A3930,1,FALSE),0),1,0)</f>
        <v>0</v>
      </c>
    </row>
    <row r="1431" spans="1:15" x14ac:dyDescent="0.25">
      <c r="A1431">
        <v>1430</v>
      </c>
      <c r="B1431" s="1" t="s">
        <v>10</v>
      </c>
      <c r="C1431" s="1">
        <f>car_price_prediction_[[#This Row],[Year2]]</f>
        <v>2001</v>
      </c>
      <c r="D1431">
        <v>2001</v>
      </c>
      <c r="E1431">
        <f>car_price_prediction_[[#This Row],[Engine Size]]/10</f>
        <v>1.7</v>
      </c>
      <c r="F1431">
        <v>17</v>
      </c>
      <c r="G1431" s="1" t="s">
        <v>11</v>
      </c>
      <c r="H1431" s="1" t="s">
        <v>22</v>
      </c>
      <c r="I1431" s="12">
        <f>car_price_prediction_[[#This Row],[Mileage]]/1000</f>
        <v>108.261</v>
      </c>
      <c r="J1431" s="5">
        <v>108261</v>
      </c>
      <c r="K1431" s="1" t="s">
        <v>17</v>
      </c>
      <c r="L1431" s="5">
        <f>car_price_prediction_[[#This Row],[Price]]/100</f>
        <v>79141.77</v>
      </c>
      <c r="M1431">
        <v>7914177</v>
      </c>
      <c r="N1431" s="1" t="s">
        <v>23</v>
      </c>
      <c r="O1431" s="1">
        <f>IF(IFERROR(VLOOKUP(car_price_prediction_[[#This Row],[Car ID]],A1432:A3931,1,FALSE),0),1,0)</f>
        <v>0</v>
      </c>
    </row>
    <row r="1432" spans="1:15" x14ac:dyDescent="0.25">
      <c r="A1432">
        <v>1431</v>
      </c>
      <c r="B1432" s="1" t="s">
        <v>24</v>
      </c>
      <c r="C1432" s="1">
        <f>car_price_prediction_[[#This Row],[Year2]]</f>
        <v>2016</v>
      </c>
      <c r="D1432">
        <v>2016</v>
      </c>
      <c r="E1432">
        <f>car_price_prediction_[[#This Row],[Engine Size]]/10</f>
        <v>2.2999999999999998</v>
      </c>
      <c r="F1432">
        <v>23</v>
      </c>
      <c r="G1432" s="1" t="s">
        <v>16</v>
      </c>
      <c r="H1432" s="1" t="s">
        <v>12</v>
      </c>
      <c r="I1432" s="12">
        <f>car_price_prediction_[[#This Row],[Mileage]]/1000</f>
        <v>102.46599999999999</v>
      </c>
      <c r="J1432" s="5">
        <v>102466</v>
      </c>
      <c r="K1432" s="1" t="s">
        <v>25</v>
      </c>
      <c r="L1432" s="5">
        <f>car_price_prediction_[[#This Row],[Price]]/100</f>
        <v>92518.57</v>
      </c>
      <c r="M1432">
        <v>9251857</v>
      </c>
      <c r="N1432" s="1" t="s">
        <v>53</v>
      </c>
      <c r="O1432" s="1">
        <f>IF(IFERROR(VLOOKUP(car_price_prediction_[[#This Row],[Car ID]],A1433:A3932,1,FALSE),0),1,0)</f>
        <v>0</v>
      </c>
    </row>
    <row r="1433" spans="1:15" x14ac:dyDescent="0.25">
      <c r="A1433">
        <v>1432</v>
      </c>
      <c r="B1433" s="1" t="s">
        <v>10</v>
      </c>
      <c r="C1433" s="1">
        <f>car_price_prediction_[[#This Row],[Year2]]</f>
        <v>2008</v>
      </c>
      <c r="D1433">
        <v>2008</v>
      </c>
      <c r="E1433">
        <f>car_price_prediction_[[#This Row],[Engine Size]]/10</f>
        <v>3.1</v>
      </c>
      <c r="F1433">
        <v>31</v>
      </c>
      <c r="G1433" s="1" t="s">
        <v>29</v>
      </c>
      <c r="H1433" s="1" t="s">
        <v>12</v>
      </c>
      <c r="I1433" s="12">
        <f>car_price_prediction_[[#This Row],[Mileage]]/1000</f>
        <v>295.21499999999997</v>
      </c>
      <c r="J1433" s="5">
        <v>295215</v>
      </c>
      <c r="K1433" s="1" t="s">
        <v>13</v>
      </c>
      <c r="L1433" s="5">
        <f>car_price_prediction_[[#This Row],[Price]]/100</f>
        <v>34084.120000000003</v>
      </c>
      <c r="M1433">
        <v>3408412</v>
      </c>
      <c r="N1433" s="1" t="s">
        <v>49</v>
      </c>
      <c r="O1433" s="1">
        <f>IF(IFERROR(VLOOKUP(car_price_prediction_[[#This Row],[Car ID]],A1434:A3933,1,FALSE),0),1,0)</f>
        <v>0</v>
      </c>
    </row>
    <row r="1434" spans="1:15" x14ac:dyDescent="0.25">
      <c r="A1434">
        <v>1433</v>
      </c>
      <c r="B1434" s="1" t="s">
        <v>19</v>
      </c>
      <c r="C1434" s="1">
        <f>car_price_prediction_[[#This Row],[Year2]]</f>
        <v>2011</v>
      </c>
      <c r="D1434">
        <v>2011</v>
      </c>
      <c r="E1434">
        <f>car_price_prediction_[[#This Row],[Engine Size]]/10</f>
        <v>4</v>
      </c>
      <c r="F1434">
        <v>40</v>
      </c>
      <c r="G1434" s="1" t="s">
        <v>11</v>
      </c>
      <c r="H1434" s="1" t="s">
        <v>22</v>
      </c>
      <c r="I1434" s="12">
        <f>car_price_prediction_[[#This Row],[Mileage]]/1000</f>
        <v>70.56</v>
      </c>
      <c r="J1434" s="5">
        <v>70560</v>
      </c>
      <c r="K1434" s="1" t="s">
        <v>25</v>
      </c>
      <c r="L1434" s="5">
        <f>car_price_prediction_[[#This Row],[Price]]/100</f>
        <v>28532.54</v>
      </c>
      <c r="M1434">
        <v>2853254</v>
      </c>
      <c r="N1434" s="1" t="s">
        <v>20</v>
      </c>
      <c r="O1434" s="1">
        <f>IF(IFERROR(VLOOKUP(car_price_prediction_[[#This Row],[Car ID]],A1435:A3934,1,FALSE),0),1,0)</f>
        <v>0</v>
      </c>
    </row>
    <row r="1435" spans="1:15" x14ac:dyDescent="0.25">
      <c r="A1435">
        <v>1434</v>
      </c>
      <c r="B1435" s="1" t="s">
        <v>10</v>
      </c>
      <c r="C1435" s="1">
        <f>car_price_prediction_[[#This Row],[Year2]]</f>
        <v>2002</v>
      </c>
      <c r="D1435">
        <v>2002</v>
      </c>
      <c r="E1435">
        <f>car_price_prediction_[[#This Row],[Engine Size]]/10</f>
        <v>3.6</v>
      </c>
      <c r="F1435">
        <v>36</v>
      </c>
      <c r="G1435" s="1" t="s">
        <v>21</v>
      </c>
      <c r="H1435" s="1" t="s">
        <v>22</v>
      </c>
      <c r="I1435" s="12">
        <f>car_price_prediction_[[#This Row],[Mileage]]/1000</f>
        <v>255.392</v>
      </c>
      <c r="J1435" s="5">
        <v>255392</v>
      </c>
      <c r="K1435" s="1" t="s">
        <v>13</v>
      </c>
      <c r="L1435" s="5">
        <f>car_price_prediction_[[#This Row],[Price]]/100</f>
        <v>41508.519999999997</v>
      </c>
      <c r="M1435">
        <v>4150852</v>
      </c>
      <c r="N1435" s="1" t="s">
        <v>23</v>
      </c>
      <c r="O1435" s="1">
        <f>IF(IFERROR(VLOOKUP(car_price_prediction_[[#This Row],[Car ID]],A1436:A3935,1,FALSE),0),1,0)</f>
        <v>0</v>
      </c>
    </row>
    <row r="1436" spans="1:15" x14ac:dyDescent="0.25">
      <c r="A1436">
        <v>1435</v>
      </c>
      <c r="B1436" s="1" t="s">
        <v>43</v>
      </c>
      <c r="C1436" s="1">
        <f>car_price_prediction_[[#This Row],[Year2]]</f>
        <v>2010</v>
      </c>
      <c r="D1436">
        <v>2010</v>
      </c>
      <c r="E1436">
        <f>car_price_prediction_[[#This Row],[Engine Size]]/10</f>
        <v>2.4</v>
      </c>
      <c r="F1436">
        <v>24</v>
      </c>
      <c r="G1436" s="1" t="s">
        <v>29</v>
      </c>
      <c r="H1436" s="1" t="s">
        <v>22</v>
      </c>
      <c r="I1436" s="12">
        <f>car_price_prediction_[[#This Row],[Mileage]]/1000</f>
        <v>261.27800000000002</v>
      </c>
      <c r="J1436" s="5">
        <v>261278</v>
      </c>
      <c r="K1436" s="1" t="s">
        <v>17</v>
      </c>
      <c r="L1436" s="5">
        <f>car_price_prediction_[[#This Row],[Price]]/100</f>
        <v>10257.49</v>
      </c>
      <c r="M1436">
        <v>1025749</v>
      </c>
      <c r="N1436" s="1" t="s">
        <v>50</v>
      </c>
      <c r="O1436" s="1">
        <f>IF(IFERROR(VLOOKUP(car_price_prediction_[[#This Row],[Car ID]],A1437:A3936,1,FALSE),0),1,0)</f>
        <v>0</v>
      </c>
    </row>
    <row r="1437" spans="1:15" x14ac:dyDescent="0.25">
      <c r="A1437">
        <v>1436</v>
      </c>
      <c r="B1437" s="1" t="s">
        <v>19</v>
      </c>
      <c r="C1437" s="1">
        <f>car_price_prediction_[[#This Row],[Year2]]</f>
        <v>2000</v>
      </c>
      <c r="D1437">
        <v>2000</v>
      </c>
      <c r="E1437">
        <f>car_price_prediction_[[#This Row],[Engine Size]]/10</f>
        <v>1</v>
      </c>
      <c r="F1437">
        <v>10</v>
      </c>
      <c r="G1437" s="1" t="s">
        <v>29</v>
      </c>
      <c r="H1437" s="1" t="s">
        <v>12</v>
      </c>
      <c r="I1437" s="12">
        <f>car_price_prediction_[[#This Row],[Mileage]]/1000</f>
        <v>166.471</v>
      </c>
      <c r="J1437" s="5">
        <v>166471</v>
      </c>
      <c r="K1437" s="1" t="s">
        <v>25</v>
      </c>
      <c r="L1437" s="5">
        <f>car_price_prediction_[[#This Row],[Price]]/100</f>
        <v>8193.7800000000007</v>
      </c>
      <c r="M1437">
        <v>819378</v>
      </c>
      <c r="N1437" s="1" t="s">
        <v>38</v>
      </c>
      <c r="O1437" s="1">
        <f>IF(IFERROR(VLOOKUP(car_price_prediction_[[#This Row],[Car ID]],A1438:A3937,1,FALSE),0),1,0)</f>
        <v>0</v>
      </c>
    </row>
    <row r="1438" spans="1:15" x14ac:dyDescent="0.25">
      <c r="A1438">
        <v>1437</v>
      </c>
      <c r="B1438" s="1" t="s">
        <v>43</v>
      </c>
      <c r="C1438" s="1">
        <f>car_price_prediction_[[#This Row],[Year2]]</f>
        <v>2022</v>
      </c>
      <c r="D1438">
        <v>2022</v>
      </c>
      <c r="E1438">
        <f>car_price_prediction_[[#This Row],[Engine Size]]/10</f>
        <v>3.5</v>
      </c>
      <c r="F1438">
        <v>35</v>
      </c>
      <c r="G1438" s="1" t="s">
        <v>11</v>
      </c>
      <c r="H1438" s="1" t="s">
        <v>12</v>
      </c>
      <c r="I1438" s="12">
        <f>car_price_prediction_[[#This Row],[Mileage]]/1000</f>
        <v>244.41300000000001</v>
      </c>
      <c r="J1438" s="5">
        <v>244413</v>
      </c>
      <c r="K1438" s="1" t="s">
        <v>17</v>
      </c>
      <c r="L1438" s="5">
        <f>car_price_prediction_[[#This Row],[Price]]/100</f>
        <v>98496.67</v>
      </c>
      <c r="M1438">
        <v>9849667</v>
      </c>
      <c r="N1438" s="1" t="s">
        <v>52</v>
      </c>
      <c r="O1438" s="1">
        <f>IF(IFERROR(VLOOKUP(car_price_prediction_[[#This Row],[Car ID]],A1439:A3938,1,FALSE),0),1,0)</f>
        <v>0</v>
      </c>
    </row>
    <row r="1439" spans="1:15" x14ac:dyDescent="0.25">
      <c r="A1439">
        <v>1438</v>
      </c>
      <c r="B1439" s="1" t="s">
        <v>30</v>
      </c>
      <c r="C1439" s="1">
        <f>car_price_prediction_[[#This Row],[Year2]]</f>
        <v>2012</v>
      </c>
      <c r="D1439">
        <v>2012</v>
      </c>
      <c r="E1439">
        <f>car_price_prediction_[[#This Row],[Engine Size]]/10</f>
        <v>2.4</v>
      </c>
      <c r="F1439">
        <v>24</v>
      </c>
      <c r="G1439" s="1" t="s">
        <v>11</v>
      </c>
      <c r="H1439" s="1" t="s">
        <v>22</v>
      </c>
      <c r="I1439" s="12">
        <f>car_price_prediction_[[#This Row],[Mileage]]/1000</f>
        <v>188.511</v>
      </c>
      <c r="J1439" s="5">
        <v>188511</v>
      </c>
      <c r="K1439" s="1" t="s">
        <v>13</v>
      </c>
      <c r="L1439" s="5">
        <f>car_price_prediction_[[#This Row],[Price]]/100</f>
        <v>83282.78</v>
      </c>
      <c r="M1439">
        <v>8328278</v>
      </c>
      <c r="N1439" s="1" t="s">
        <v>45</v>
      </c>
      <c r="O1439" s="1">
        <f>IF(IFERROR(VLOOKUP(car_price_prediction_[[#This Row],[Car ID]],A1440:A3939,1,FALSE),0),1,0)</f>
        <v>0</v>
      </c>
    </row>
    <row r="1440" spans="1:15" x14ac:dyDescent="0.25">
      <c r="A1440">
        <v>1439</v>
      </c>
      <c r="B1440" s="1" t="s">
        <v>15</v>
      </c>
      <c r="C1440" s="1">
        <f>car_price_prediction_[[#This Row],[Year2]]</f>
        <v>2014</v>
      </c>
      <c r="D1440">
        <v>2014</v>
      </c>
      <c r="E1440">
        <f>car_price_prediction_[[#This Row],[Engine Size]]/10</f>
        <v>4.7</v>
      </c>
      <c r="F1440">
        <v>47</v>
      </c>
      <c r="G1440" s="1" t="s">
        <v>21</v>
      </c>
      <c r="H1440" s="1" t="s">
        <v>22</v>
      </c>
      <c r="I1440" s="12">
        <f>car_price_prediction_[[#This Row],[Mileage]]/1000</f>
        <v>2.3690000000000002</v>
      </c>
      <c r="J1440" s="5">
        <v>2369</v>
      </c>
      <c r="K1440" s="1" t="s">
        <v>13</v>
      </c>
      <c r="L1440" s="5">
        <f>car_price_prediction_[[#This Row],[Price]]/100</f>
        <v>57722.66</v>
      </c>
      <c r="M1440">
        <v>5772266</v>
      </c>
      <c r="N1440" s="1" t="s">
        <v>39</v>
      </c>
      <c r="O1440" s="1">
        <f>IF(IFERROR(VLOOKUP(car_price_prediction_[[#This Row],[Car ID]],A1441:A3940,1,FALSE),0),1,0)</f>
        <v>0</v>
      </c>
    </row>
    <row r="1441" spans="1:15" x14ac:dyDescent="0.25">
      <c r="A1441">
        <v>1440</v>
      </c>
      <c r="B1441" s="1" t="s">
        <v>43</v>
      </c>
      <c r="C1441" s="1">
        <f>car_price_prediction_[[#This Row],[Year2]]</f>
        <v>2004</v>
      </c>
      <c r="D1441">
        <v>2004</v>
      </c>
      <c r="E1441">
        <f>car_price_prediction_[[#This Row],[Engine Size]]/10</f>
        <v>1.1000000000000001</v>
      </c>
      <c r="F1441">
        <v>11</v>
      </c>
      <c r="G1441" s="1" t="s">
        <v>29</v>
      </c>
      <c r="H1441" s="1" t="s">
        <v>22</v>
      </c>
      <c r="I1441" s="12">
        <f>car_price_prediction_[[#This Row],[Mileage]]/1000</f>
        <v>228.62899999999999</v>
      </c>
      <c r="J1441" s="5">
        <v>228629</v>
      </c>
      <c r="K1441" s="1" t="s">
        <v>17</v>
      </c>
      <c r="L1441" s="5">
        <f>car_price_prediction_[[#This Row],[Price]]/100</f>
        <v>33051.79</v>
      </c>
      <c r="M1441">
        <v>3305179</v>
      </c>
      <c r="N1441" s="1" t="s">
        <v>50</v>
      </c>
      <c r="O1441" s="1">
        <f>IF(IFERROR(VLOOKUP(car_price_prediction_[[#This Row],[Car ID]],A1442:A3941,1,FALSE),0),1,0)</f>
        <v>0</v>
      </c>
    </row>
    <row r="1442" spans="1:15" x14ac:dyDescent="0.25">
      <c r="A1442">
        <v>1441</v>
      </c>
      <c r="B1442" s="1" t="s">
        <v>19</v>
      </c>
      <c r="C1442" s="1">
        <f>car_price_prediction_[[#This Row],[Year2]]</f>
        <v>2020</v>
      </c>
      <c r="D1442">
        <v>2020</v>
      </c>
      <c r="E1442">
        <f>car_price_prediction_[[#This Row],[Engine Size]]/10</f>
        <v>3.9</v>
      </c>
      <c r="F1442">
        <v>39</v>
      </c>
      <c r="G1442" s="1" t="s">
        <v>11</v>
      </c>
      <c r="H1442" s="1" t="s">
        <v>22</v>
      </c>
      <c r="I1442" s="12">
        <f>car_price_prediction_[[#This Row],[Mileage]]/1000</f>
        <v>262.67200000000003</v>
      </c>
      <c r="J1442" s="5">
        <v>262672</v>
      </c>
      <c r="K1442" s="1" t="s">
        <v>13</v>
      </c>
      <c r="L1442" s="5">
        <f>car_price_prediction_[[#This Row],[Price]]/100</f>
        <v>2378.13</v>
      </c>
      <c r="M1442">
        <v>237813</v>
      </c>
      <c r="N1442" s="1" t="s">
        <v>28</v>
      </c>
      <c r="O1442" s="1">
        <f>IF(IFERROR(VLOOKUP(car_price_prediction_[[#This Row],[Car ID]],A1443:A3942,1,FALSE),0),1,0)</f>
        <v>0</v>
      </c>
    </row>
    <row r="1443" spans="1:15" x14ac:dyDescent="0.25">
      <c r="A1443">
        <v>1442</v>
      </c>
      <c r="B1443" s="1" t="s">
        <v>30</v>
      </c>
      <c r="C1443" s="1">
        <f>car_price_prediction_[[#This Row],[Year2]]</f>
        <v>2016</v>
      </c>
      <c r="D1443">
        <v>2016</v>
      </c>
      <c r="E1443">
        <f>car_price_prediction_[[#This Row],[Engine Size]]/10</f>
        <v>5.7</v>
      </c>
      <c r="F1443">
        <v>57</v>
      </c>
      <c r="G1443" s="1" t="s">
        <v>21</v>
      </c>
      <c r="H1443" s="1" t="s">
        <v>12</v>
      </c>
      <c r="I1443" s="12">
        <f>car_price_prediction_[[#This Row],[Mileage]]/1000</f>
        <v>108.806</v>
      </c>
      <c r="J1443" s="5">
        <v>108806</v>
      </c>
      <c r="K1443" s="1" t="s">
        <v>17</v>
      </c>
      <c r="L1443" s="5">
        <f>car_price_prediction_[[#This Row],[Price]]/100</f>
        <v>39585.97</v>
      </c>
      <c r="M1443">
        <v>3958597</v>
      </c>
      <c r="N1443" s="1" t="s">
        <v>42</v>
      </c>
      <c r="O1443" s="1">
        <f>IF(IFERROR(VLOOKUP(car_price_prediction_[[#This Row],[Car ID]],A1444:A3943,1,FALSE),0),1,0)</f>
        <v>0</v>
      </c>
    </row>
    <row r="1444" spans="1:15" x14ac:dyDescent="0.25">
      <c r="A1444">
        <v>1443</v>
      </c>
      <c r="B1444" s="1" t="s">
        <v>43</v>
      </c>
      <c r="C1444" s="1">
        <f>car_price_prediction_[[#This Row],[Year2]]</f>
        <v>2022</v>
      </c>
      <c r="D1444">
        <v>2022</v>
      </c>
      <c r="E1444">
        <f>car_price_prediction_[[#This Row],[Engine Size]]/10</f>
        <v>1.9</v>
      </c>
      <c r="F1444">
        <v>19</v>
      </c>
      <c r="G1444" s="1" t="s">
        <v>21</v>
      </c>
      <c r="H1444" s="1" t="s">
        <v>12</v>
      </c>
      <c r="I1444" s="12">
        <f>car_price_prediction_[[#This Row],[Mileage]]/1000</f>
        <v>161.386</v>
      </c>
      <c r="J1444" s="5">
        <v>161386</v>
      </c>
      <c r="K1444" s="1" t="s">
        <v>17</v>
      </c>
      <c r="L1444" s="5">
        <f>car_price_prediction_[[#This Row],[Price]]/100</f>
        <v>68362.11</v>
      </c>
      <c r="M1444">
        <v>6836211</v>
      </c>
      <c r="N1444" s="1" t="s">
        <v>44</v>
      </c>
      <c r="O1444" s="1">
        <f>IF(IFERROR(VLOOKUP(car_price_prediction_[[#This Row],[Car ID]],A1445:A3944,1,FALSE),0),1,0)</f>
        <v>0</v>
      </c>
    </row>
    <row r="1445" spans="1:15" x14ac:dyDescent="0.25">
      <c r="A1445">
        <v>1444</v>
      </c>
      <c r="B1445" s="1" t="s">
        <v>24</v>
      </c>
      <c r="C1445" s="1">
        <f>car_price_prediction_[[#This Row],[Year2]]</f>
        <v>2023</v>
      </c>
      <c r="D1445">
        <v>2023</v>
      </c>
      <c r="E1445">
        <f>car_price_prediction_[[#This Row],[Engine Size]]/10</f>
        <v>3.4</v>
      </c>
      <c r="F1445">
        <v>34</v>
      </c>
      <c r="G1445" s="1" t="s">
        <v>11</v>
      </c>
      <c r="H1445" s="1" t="s">
        <v>12</v>
      </c>
      <c r="I1445" s="12">
        <f>car_price_prediction_[[#This Row],[Mileage]]/1000</f>
        <v>102.979</v>
      </c>
      <c r="J1445" s="5">
        <v>102979</v>
      </c>
      <c r="K1445" s="1" t="s">
        <v>17</v>
      </c>
      <c r="L1445" s="5">
        <f>car_price_prediction_[[#This Row],[Price]]/100</f>
        <v>47470.85</v>
      </c>
      <c r="M1445">
        <v>4747085</v>
      </c>
      <c r="N1445" s="1" t="s">
        <v>32</v>
      </c>
      <c r="O1445" s="1">
        <f>IF(IFERROR(VLOOKUP(car_price_prediction_[[#This Row],[Car ID]],A1446:A3945,1,FALSE),0),1,0)</f>
        <v>0</v>
      </c>
    </row>
    <row r="1446" spans="1:15" x14ac:dyDescent="0.25">
      <c r="A1446">
        <v>1445</v>
      </c>
      <c r="B1446" s="1" t="s">
        <v>10</v>
      </c>
      <c r="C1446" s="1">
        <f>car_price_prediction_[[#This Row],[Year2]]</f>
        <v>2005</v>
      </c>
      <c r="D1446">
        <v>2005</v>
      </c>
      <c r="E1446">
        <f>car_price_prediction_[[#This Row],[Engine Size]]/10</f>
        <v>1.5</v>
      </c>
      <c r="F1446">
        <v>15</v>
      </c>
      <c r="G1446" s="1" t="s">
        <v>29</v>
      </c>
      <c r="H1446" s="1" t="s">
        <v>12</v>
      </c>
      <c r="I1446" s="12">
        <f>car_price_prediction_[[#This Row],[Mileage]]/1000</f>
        <v>281.892</v>
      </c>
      <c r="J1446" s="5">
        <v>281892</v>
      </c>
      <c r="K1446" s="1" t="s">
        <v>13</v>
      </c>
      <c r="L1446" s="5">
        <f>car_price_prediction_[[#This Row],[Price]]/100</f>
        <v>93735.679999999993</v>
      </c>
      <c r="M1446">
        <v>9373568</v>
      </c>
      <c r="N1446" s="1" t="s">
        <v>23</v>
      </c>
      <c r="O1446" s="1">
        <f>IF(IFERROR(VLOOKUP(car_price_prediction_[[#This Row],[Car ID]],A1447:A3946,1,FALSE),0),1,0)</f>
        <v>0</v>
      </c>
    </row>
    <row r="1447" spans="1:15" x14ac:dyDescent="0.25">
      <c r="A1447">
        <v>1446</v>
      </c>
      <c r="B1447" s="1" t="s">
        <v>15</v>
      </c>
      <c r="C1447" s="1">
        <f>car_price_prediction_[[#This Row],[Year2]]</f>
        <v>2020</v>
      </c>
      <c r="D1447">
        <v>2020</v>
      </c>
      <c r="E1447">
        <f>car_price_prediction_[[#This Row],[Engine Size]]/10</f>
        <v>4.0999999999999996</v>
      </c>
      <c r="F1447">
        <v>41</v>
      </c>
      <c r="G1447" s="1" t="s">
        <v>16</v>
      </c>
      <c r="H1447" s="1" t="s">
        <v>12</v>
      </c>
      <c r="I1447" s="12">
        <f>car_price_prediction_[[#This Row],[Mileage]]/1000</f>
        <v>35.109000000000002</v>
      </c>
      <c r="J1447" s="5">
        <v>35109</v>
      </c>
      <c r="K1447" s="1" t="s">
        <v>25</v>
      </c>
      <c r="L1447" s="5">
        <f>car_price_prediction_[[#This Row],[Price]]/100</f>
        <v>86150.93</v>
      </c>
      <c r="M1447">
        <v>8615093</v>
      </c>
      <c r="N1447" s="1" t="s">
        <v>51</v>
      </c>
      <c r="O1447" s="1">
        <f>IF(IFERROR(VLOOKUP(car_price_prediction_[[#This Row],[Car ID]],A1448:A3947,1,FALSE),0),1,0)</f>
        <v>0</v>
      </c>
    </row>
    <row r="1448" spans="1:15" x14ac:dyDescent="0.25">
      <c r="A1448">
        <v>1447</v>
      </c>
      <c r="B1448" s="1" t="s">
        <v>43</v>
      </c>
      <c r="C1448" s="1">
        <f>car_price_prediction_[[#This Row],[Year2]]</f>
        <v>2021</v>
      </c>
      <c r="D1448">
        <v>2021</v>
      </c>
      <c r="E1448">
        <f>car_price_prediction_[[#This Row],[Engine Size]]/10</f>
        <v>3.8</v>
      </c>
      <c r="F1448">
        <v>38</v>
      </c>
      <c r="G1448" s="1" t="s">
        <v>16</v>
      </c>
      <c r="H1448" s="1" t="s">
        <v>22</v>
      </c>
      <c r="I1448" s="12">
        <f>car_price_prediction_[[#This Row],[Mileage]]/1000</f>
        <v>13.919</v>
      </c>
      <c r="J1448" s="5">
        <v>13919</v>
      </c>
      <c r="K1448" s="1" t="s">
        <v>17</v>
      </c>
      <c r="L1448" s="5">
        <f>car_price_prediction_[[#This Row],[Price]]/100</f>
        <v>14728.06</v>
      </c>
      <c r="M1448">
        <v>1472806</v>
      </c>
      <c r="N1448" s="1" t="s">
        <v>44</v>
      </c>
      <c r="O1448" s="1">
        <f>IF(IFERROR(VLOOKUP(car_price_prediction_[[#This Row],[Car ID]],A1449:A3948,1,FALSE),0),1,0)</f>
        <v>0</v>
      </c>
    </row>
    <row r="1449" spans="1:15" x14ac:dyDescent="0.25">
      <c r="A1449">
        <v>1448</v>
      </c>
      <c r="B1449" s="1" t="s">
        <v>30</v>
      </c>
      <c r="C1449" s="1">
        <f>car_price_prediction_[[#This Row],[Year2]]</f>
        <v>2010</v>
      </c>
      <c r="D1449">
        <v>2010</v>
      </c>
      <c r="E1449">
        <f>car_price_prediction_[[#This Row],[Engine Size]]/10</f>
        <v>3</v>
      </c>
      <c r="F1449">
        <v>30</v>
      </c>
      <c r="G1449" s="1" t="s">
        <v>21</v>
      </c>
      <c r="H1449" s="1" t="s">
        <v>12</v>
      </c>
      <c r="I1449" s="12">
        <f>car_price_prediction_[[#This Row],[Mileage]]/1000</f>
        <v>211.864</v>
      </c>
      <c r="J1449" s="5">
        <v>211864</v>
      </c>
      <c r="K1449" s="1" t="s">
        <v>25</v>
      </c>
      <c r="L1449" s="5">
        <f>car_price_prediction_[[#This Row],[Price]]/100</f>
        <v>1749.49</v>
      </c>
      <c r="M1449">
        <v>174949</v>
      </c>
      <c r="N1449" s="1" t="s">
        <v>48</v>
      </c>
      <c r="O1449" s="1">
        <f>IF(IFERROR(VLOOKUP(car_price_prediction_[[#This Row],[Car ID]],A1450:A3949,1,FALSE),0),1,0)</f>
        <v>0</v>
      </c>
    </row>
    <row r="1450" spans="1:15" x14ac:dyDescent="0.25">
      <c r="A1450">
        <v>1449</v>
      </c>
      <c r="B1450" s="1" t="s">
        <v>24</v>
      </c>
      <c r="C1450" s="1">
        <f>car_price_prediction_[[#This Row],[Year2]]</f>
        <v>2017</v>
      </c>
      <c r="D1450">
        <v>2017</v>
      </c>
      <c r="E1450">
        <f>car_price_prediction_[[#This Row],[Engine Size]]/10</f>
        <v>3.6</v>
      </c>
      <c r="F1450">
        <v>36</v>
      </c>
      <c r="G1450" s="1" t="s">
        <v>16</v>
      </c>
      <c r="H1450" s="1" t="s">
        <v>22</v>
      </c>
      <c r="I1450" s="12">
        <f>car_price_prediction_[[#This Row],[Mileage]]/1000</f>
        <v>70.441000000000003</v>
      </c>
      <c r="J1450" s="5">
        <v>70441</v>
      </c>
      <c r="K1450" s="1" t="s">
        <v>13</v>
      </c>
      <c r="L1450" s="5">
        <f>car_price_prediction_[[#This Row],[Price]]/100</f>
        <v>69242.720000000001</v>
      </c>
      <c r="M1450">
        <v>6924272</v>
      </c>
      <c r="N1450" s="1" t="s">
        <v>53</v>
      </c>
      <c r="O1450" s="1">
        <f>IF(IFERROR(VLOOKUP(car_price_prediction_[[#This Row],[Car ID]],A1451:A3950,1,FALSE),0),1,0)</f>
        <v>0</v>
      </c>
    </row>
    <row r="1451" spans="1:15" x14ac:dyDescent="0.25">
      <c r="A1451">
        <v>1450</v>
      </c>
      <c r="B1451" s="1" t="s">
        <v>36</v>
      </c>
      <c r="C1451" s="1">
        <f>car_price_prediction_[[#This Row],[Year2]]</f>
        <v>2003</v>
      </c>
      <c r="D1451">
        <v>2003</v>
      </c>
      <c r="E1451">
        <f>car_price_prediction_[[#This Row],[Engine Size]]/10</f>
        <v>5.5</v>
      </c>
      <c r="F1451">
        <v>55</v>
      </c>
      <c r="G1451" s="1" t="s">
        <v>16</v>
      </c>
      <c r="H1451" s="1" t="s">
        <v>22</v>
      </c>
      <c r="I1451" s="12">
        <f>car_price_prediction_[[#This Row],[Mileage]]/1000</f>
        <v>66.896000000000001</v>
      </c>
      <c r="J1451" s="5">
        <v>66896</v>
      </c>
      <c r="K1451" s="1" t="s">
        <v>13</v>
      </c>
      <c r="L1451" s="5">
        <f>car_price_prediction_[[#This Row],[Price]]/100</f>
        <v>2692.3</v>
      </c>
      <c r="M1451">
        <v>269230</v>
      </c>
      <c r="N1451" s="1" t="s">
        <v>41</v>
      </c>
      <c r="O1451" s="1">
        <f>IF(IFERROR(VLOOKUP(car_price_prediction_[[#This Row],[Car ID]],A1452:A3951,1,FALSE),0),1,0)</f>
        <v>0</v>
      </c>
    </row>
    <row r="1452" spans="1:15" x14ac:dyDescent="0.25">
      <c r="A1452">
        <v>1451</v>
      </c>
      <c r="B1452" s="1" t="s">
        <v>30</v>
      </c>
      <c r="C1452" s="1">
        <f>car_price_prediction_[[#This Row],[Year2]]</f>
        <v>2002</v>
      </c>
      <c r="D1452">
        <v>2002</v>
      </c>
      <c r="E1452">
        <f>car_price_prediction_[[#This Row],[Engine Size]]/10</f>
        <v>2</v>
      </c>
      <c r="F1452">
        <v>20</v>
      </c>
      <c r="G1452" s="1" t="s">
        <v>11</v>
      </c>
      <c r="H1452" s="1" t="s">
        <v>22</v>
      </c>
      <c r="I1452" s="12">
        <f>car_price_prediction_[[#This Row],[Mileage]]/1000</f>
        <v>103.431</v>
      </c>
      <c r="J1452" s="5">
        <v>103431</v>
      </c>
      <c r="K1452" s="1" t="s">
        <v>25</v>
      </c>
      <c r="L1452" s="5">
        <f>car_price_prediction_[[#This Row],[Price]]/100</f>
        <v>80147.839999999997</v>
      </c>
      <c r="M1452">
        <v>8014784</v>
      </c>
      <c r="N1452" s="1" t="s">
        <v>45</v>
      </c>
      <c r="O1452" s="1">
        <f>IF(IFERROR(VLOOKUP(car_price_prediction_[[#This Row],[Car ID]],A1453:A3952,1,FALSE),0),1,0)</f>
        <v>0</v>
      </c>
    </row>
    <row r="1453" spans="1:15" x14ac:dyDescent="0.25">
      <c r="A1453">
        <v>1452</v>
      </c>
      <c r="B1453" s="1" t="s">
        <v>10</v>
      </c>
      <c r="C1453" s="1">
        <f>car_price_prediction_[[#This Row],[Year2]]</f>
        <v>2012</v>
      </c>
      <c r="D1453">
        <v>2012</v>
      </c>
      <c r="E1453">
        <f>car_price_prediction_[[#This Row],[Engine Size]]/10</f>
        <v>1.1000000000000001</v>
      </c>
      <c r="F1453">
        <v>11</v>
      </c>
      <c r="G1453" s="1" t="s">
        <v>21</v>
      </c>
      <c r="H1453" s="1" t="s">
        <v>12</v>
      </c>
      <c r="I1453" s="12">
        <f>car_price_prediction_[[#This Row],[Mileage]]/1000</f>
        <v>47.02</v>
      </c>
      <c r="J1453" s="5">
        <v>47020</v>
      </c>
      <c r="K1453" s="1" t="s">
        <v>17</v>
      </c>
      <c r="L1453" s="5">
        <f>car_price_prediction_[[#This Row],[Price]]/100</f>
        <v>61179.02</v>
      </c>
      <c r="M1453">
        <v>6117902</v>
      </c>
      <c r="N1453" s="1" t="s">
        <v>23</v>
      </c>
      <c r="O1453" s="1">
        <f>IF(IFERROR(VLOOKUP(car_price_prediction_[[#This Row],[Car ID]],A1454:A3953,1,FALSE),0),1,0)</f>
        <v>0</v>
      </c>
    </row>
    <row r="1454" spans="1:15" x14ac:dyDescent="0.25">
      <c r="A1454">
        <v>1453</v>
      </c>
      <c r="B1454" s="1" t="s">
        <v>30</v>
      </c>
      <c r="C1454" s="1">
        <f>car_price_prediction_[[#This Row],[Year2]]</f>
        <v>2022</v>
      </c>
      <c r="D1454">
        <v>2022</v>
      </c>
      <c r="E1454">
        <f>car_price_prediction_[[#This Row],[Engine Size]]/10</f>
        <v>5.3</v>
      </c>
      <c r="F1454">
        <v>53</v>
      </c>
      <c r="G1454" s="1" t="s">
        <v>29</v>
      </c>
      <c r="H1454" s="1" t="s">
        <v>22</v>
      </c>
      <c r="I1454" s="12">
        <f>car_price_prediction_[[#This Row],[Mileage]]/1000</f>
        <v>205.33799999999999</v>
      </c>
      <c r="J1454" s="5">
        <v>205338</v>
      </c>
      <c r="K1454" s="1" t="s">
        <v>13</v>
      </c>
      <c r="L1454" s="5">
        <f>car_price_prediction_[[#This Row],[Price]]/100</f>
        <v>2683.39</v>
      </c>
      <c r="M1454">
        <v>268339</v>
      </c>
      <c r="N1454" s="1" t="s">
        <v>42</v>
      </c>
      <c r="O1454" s="1">
        <f>IF(IFERROR(VLOOKUP(car_price_prediction_[[#This Row],[Car ID]],A1455:A3954,1,FALSE),0),1,0)</f>
        <v>0</v>
      </c>
    </row>
    <row r="1455" spans="1:15" x14ac:dyDescent="0.25">
      <c r="A1455">
        <v>1454</v>
      </c>
      <c r="B1455" s="1" t="s">
        <v>24</v>
      </c>
      <c r="C1455" s="1">
        <f>car_price_prediction_[[#This Row],[Year2]]</f>
        <v>2008</v>
      </c>
      <c r="D1455">
        <v>2008</v>
      </c>
      <c r="E1455">
        <f>car_price_prediction_[[#This Row],[Engine Size]]/10</f>
        <v>3.9</v>
      </c>
      <c r="F1455">
        <v>39</v>
      </c>
      <c r="G1455" s="1" t="s">
        <v>21</v>
      </c>
      <c r="H1455" s="1" t="s">
        <v>12</v>
      </c>
      <c r="I1455" s="12">
        <f>car_price_prediction_[[#This Row],[Mileage]]/1000</f>
        <v>284.30500000000001</v>
      </c>
      <c r="J1455" s="5">
        <v>284305</v>
      </c>
      <c r="K1455" s="1" t="s">
        <v>17</v>
      </c>
      <c r="L1455" s="5">
        <f>car_price_prediction_[[#This Row],[Price]]/100</f>
        <v>50475.25</v>
      </c>
      <c r="M1455">
        <v>5047525</v>
      </c>
      <c r="N1455" s="1" t="s">
        <v>53</v>
      </c>
      <c r="O1455" s="1">
        <f>IF(IFERROR(VLOOKUP(car_price_prediction_[[#This Row],[Car ID]],A1456:A3955,1,FALSE),0),1,0)</f>
        <v>0</v>
      </c>
    </row>
    <row r="1456" spans="1:15" x14ac:dyDescent="0.25">
      <c r="A1456">
        <v>1455</v>
      </c>
      <c r="B1456" s="1" t="s">
        <v>30</v>
      </c>
      <c r="C1456" s="1">
        <f>car_price_prediction_[[#This Row],[Year2]]</f>
        <v>2020</v>
      </c>
      <c r="D1456">
        <v>2020</v>
      </c>
      <c r="E1456">
        <f>car_price_prediction_[[#This Row],[Engine Size]]/10</f>
        <v>5.5</v>
      </c>
      <c r="F1456">
        <v>55</v>
      </c>
      <c r="G1456" s="1" t="s">
        <v>11</v>
      </c>
      <c r="H1456" s="1" t="s">
        <v>22</v>
      </c>
      <c r="I1456" s="12">
        <f>car_price_prediction_[[#This Row],[Mileage]]/1000</f>
        <v>27.738</v>
      </c>
      <c r="J1456" s="5">
        <v>27738</v>
      </c>
      <c r="K1456" s="1" t="s">
        <v>17</v>
      </c>
      <c r="L1456" s="5">
        <f>car_price_prediction_[[#This Row],[Price]]/100</f>
        <v>43577.25</v>
      </c>
      <c r="M1456">
        <v>4357725</v>
      </c>
      <c r="N1456" s="1" t="s">
        <v>42</v>
      </c>
      <c r="O1456" s="1">
        <f>IF(IFERROR(VLOOKUP(car_price_prediction_[[#This Row],[Car ID]],A1457:A3956,1,FALSE),0),1,0)</f>
        <v>0</v>
      </c>
    </row>
    <row r="1457" spans="1:15" x14ac:dyDescent="0.25">
      <c r="A1457">
        <v>1456</v>
      </c>
      <c r="B1457" s="1" t="s">
        <v>24</v>
      </c>
      <c r="C1457" s="1">
        <f>car_price_prediction_[[#This Row],[Year2]]</f>
        <v>2005</v>
      </c>
      <c r="D1457">
        <v>2005</v>
      </c>
      <c r="E1457">
        <f>car_price_prediction_[[#This Row],[Engine Size]]/10</f>
        <v>4</v>
      </c>
      <c r="F1457">
        <v>40</v>
      </c>
      <c r="G1457" s="1" t="s">
        <v>16</v>
      </c>
      <c r="H1457" s="1" t="s">
        <v>12</v>
      </c>
      <c r="I1457" s="12">
        <f>car_price_prediction_[[#This Row],[Mileage]]/1000</f>
        <v>134.99700000000001</v>
      </c>
      <c r="J1457" s="5">
        <v>134997</v>
      </c>
      <c r="K1457" s="1" t="s">
        <v>25</v>
      </c>
      <c r="L1457" s="5">
        <f>car_price_prediction_[[#This Row],[Price]]/100</f>
        <v>87950.14</v>
      </c>
      <c r="M1457">
        <v>8795014</v>
      </c>
      <c r="N1457" s="1" t="s">
        <v>34</v>
      </c>
      <c r="O1457" s="1">
        <f>IF(IFERROR(VLOOKUP(car_price_prediction_[[#This Row],[Car ID]],A1458:A3957,1,FALSE),0),1,0)</f>
        <v>0</v>
      </c>
    </row>
    <row r="1458" spans="1:15" x14ac:dyDescent="0.25">
      <c r="A1458">
        <v>1457</v>
      </c>
      <c r="B1458" s="1" t="s">
        <v>43</v>
      </c>
      <c r="C1458" s="1">
        <f>car_price_prediction_[[#This Row],[Year2]]</f>
        <v>2011</v>
      </c>
      <c r="D1458">
        <v>2011</v>
      </c>
      <c r="E1458">
        <f>car_price_prediction_[[#This Row],[Engine Size]]/10</f>
        <v>5.0999999999999996</v>
      </c>
      <c r="F1458">
        <v>51</v>
      </c>
      <c r="G1458" s="1" t="s">
        <v>29</v>
      </c>
      <c r="H1458" s="1" t="s">
        <v>22</v>
      </c>
      <c r="I1458" s="12">
        <f>car_price_prediction_[[#This Row],[Mileage]]/1000</f>
        <v>57.152999999999999</v>
      </c>
      <c r="J1458" s="5">
        <v>57153</v>
      </c>
      <c r="K1458" s="1" t="s">
        <v>13</v>
      </c>
      <c r="L1458" s="5">
        <f>car_price_prediction_[[#This Row],[Price]]/100</f>
        <v>8055.44</v>
      </c>
      <c r="M1458">
        <v>805544</v>
      </c>
      <c r="N1458" s="1" t="s">
        <v>47</v>
      </c>
      <c r="O1458" s="1">
        <f>IF(IFERROR(VLOOKUP(car_price_prediction_[[#This Row],[Car ID]],A1459:A3958,1,FALSE),0),1,0)</f>
        <v>0</v>
      </c>
    </row>
    <row r="1459" spans="1:15" x14ac:dyDescent="0.25">
      <c r="A1459">
        <v>1458</v>
      </c>
      <c r="B1459" s="1" t="s">
        <v>24</v>
      </c>
      <c r="C1459" s="1">
        <f>car_price_prediction_[[#This Row],[Year2]]</f>
        <v>2001</v>
      </c>
      <c r="D1459">
        <v>2001</v>
      </c>
      <c r="E1459">
        <f>car_price_prediction_[[#This Row],[Engine Size]]/10</f>
        <v>3.1</v>
      </c>
      <c r="F1459">
        <v>31</v>
      </c>
      <c r="G1459" s="1" t="s">
        <v>21</v>
      </c>
      <c r="H1459" s="1" t="s">
        <v>12</v>
      </c>
      <c r="I1459" s="12">
        <f>car_price_prediction_[[#This Row],[Mileage]]/1000</f>
        <v>214.02</v>
      </c>
      <c r="J1459" s="5">
        <v>214020</v>
      </c>
      <c r="K1459" s="1" t="s">
        <v>25</v>
      </c>
      <c r="L1459" s="5">
        <f>car_price_prediction_[[#This Row],[Price]]/100</f>
        <v>90105.17</v>
      </c>
      <c r="M1459">
        <v>9010517</v>
      </c>
      <c r="N1459" s="1" t="s">
        <v>34</v>
      </c>
      <c r="O1459" s="1">
        <f>IF(IFERROR(VLOOKUP(car_price_prediction_[[#This Row],[Car ID]],A1460:A3959,1,FALSE),0),1,0)</f>
        <v>0</v>
      </c>
    </row>
    <row r="1460" spans="1:15" x14ac:dyDescent="0.25">
      <c r="A1460">
        <v>1459</v>
      </c>
      <c r="B1460" s="1" t="s">
        <v>24</v>
      </c>
      <c r="C1460" s="1">
        <f>car_price_prediction_[[#This Row],[Year2]]</f>
        <v>2002</v>
      </c>
      <c r="D1460">
        <v>2002</v>
      </c>
      <c r="E1460">
        <f>car_price_prediction_[[#This Row],[Engine Size]]/10</f>
        <v>4.7</v>
      </c>
      <c r="F1460">
        <v>47</v>
      </c>
      <c r="G1460" s="1" t="s">
        <v>16</v>
      </c>
      <c r="H1460" s="1" t="s">
        <v>22</v>
      </c>
      <c r="I1460" s="12">
        <f>car_price_prediction_[[#This Row],[Mileage]]/1000</f>
        <v>61.009</v>
      </c>
      <c r="J1460" s="5">
        <v>61009</v>
      </c>
      <c r="K1460" s="1" t="s">
        <v>13</v>
      </c>
      <c r="L1460" s="5">
        <f>car_price_prediction_[[#This Row],[Price]]/100</f>
        <v>66947.850000000006</v>
      </c>
      <c r="M1460">
        <v>6694785</v>
      </c>
      <c r="N1460" s="1" t="s">
        <v>26</v>
      </c>
      <c r="O1460" s="1">
        <f>IF(IFERROR(VLOOKUP(car_price_prediction_[[#This Row],[Car ID]],A1461:A3960,1,FALSE),0),1,0)</f>
        <v>0</v>
      </c>
    </row>
    <row r="1461" spans="1:15" x14ac:dyDescent="0.25">
      <c r="A1461">
        <v>1460</v>
      </c>
      <c r="B1461" s="1" t="s">
        <v>15</v>
      </c>
      <c r="C1461" s="1">
        <f>car_price_prediction_[[#This Row],[Year2]]</f>
        <v>2002</v>
      </c>
      <c r="D1461">
        <v>2002</v>
      </c>
      <c r="E1461">
        <f>car_price_prediction_[[#This Row],[Engine Size]]/10</f>
        <v>5.6</v>
      </c>
      <c r="F1461">
        <v>56</v>
      </c>
      <c r="G1461" s="1" t="s">
        <v>21</v>
      </c>
      <c r="H1461" s="1" t="s">
        <v>22</v>
      </c>
      <c r="I1461" s="12">
        <f>car_price_prediction_[[#This Row],[Mileage]]/1000</f>
        <v>172.624</v>
      </c>
      <c r="J1461" s="5">
        <v>172624</v>
      </c>
      <c r="K1461" s="1" t="s">
        <v>25</v>
      </c>
      <c r="L1461" s="5">
        <f>car_price_prediction_[[#This Row],[Price]]/100</f>
        <v>75066.13</v>
      </c>
      <c r="M1461">
        <v>7506613</v>
      </c>
      <c r="N1461" s="1" t="s">
        <v>18</v>
      </c>
      <c r="O1461" s="1">
        <f>IF(IFERROR(VLOOKUP(car_price_prediction_[[#This Row],[Car ID]],A1462:A3961,1,FALSE),0),1,0)</f>
        <v>0</v>
      </c>
    </row>
    <row r="1462" spans="1:15" x14ac:dyDescent="0.25">
      <c r="A1462">
        <v>1461</v>
      </c>
      <c r="B1462" s="1" t="s">
        <v>24</v>
      </c>
      <c r="C1462" s="1">
        <f>car_price_prediction_[[#This Row],[Year2]]</f>
        <v>2011</v>
      </c>
      <c r="D1462">
        <v>2011</v>
      </c>
      <c r="E1462">
        <f>car_price_prediction_[[#This Row],[Engine Size]]/10</f>
        <v>3.9</v>
      </c>
      <c r="F1462">
        <v>39</v>
      </c>
      <c r="G1462" s="1" t="s">
        <v>29</v>
      </c>
      <c r="H1462" s="1" t="s">
        <v>22</v>
      </c>
      <c r="I1462" s="12">
        <f>car_price_prediction_[[#This Row],[Mileage]]/1000</f>
        <v>271.94099999999997</v>
      </c>
      <c r="J1462" s="5">
        <v>271941</v>
      </c>
      <c r="K1462" s="1" t="s">
        <v>13</v>
      </c>
      <c r="L1462" s="5">
        <f>car_price_prediction_[[#This Row],[Price]]/100</f>
        <v>5247.71</v>
      </c>
      <c r="M1462">
        <v>524771</v>
      </c>
      <c r="N1462" s="1" t="s">
        <v>26</v>
      </c>
      <c r="O1462" s="1">
        <f>IF(IFERROR(VLOOKUP(car_price_prediction_[[#This Row],[Car ID]],A1463:A3962,1,FALSE),0),1,0)</f>
        <v>0</v>
      </c>
    </row>
    <row r="1463" spans="1:15" x14ac:dyDescent="0.25">
      <c r="A1463">
        <v>1462</v>
      </c>
      <c r="B1463" s="1" t="s">
        <v>24</v>
      </c>
      <c r="C1463" s="1">
        <f>car_price_prediction_[[#This Row],[Year2]]</f>
        <v>2014</v>
      </c>
      <c r="D1463">
        <v>2014</v>
      </c>
      <c r="E1463">
        <f>car_price_prediction_[[#This Row],[Engine Size]]/10</f>
        <v>1.9</v>
      </c>
      <c r="F1463">
        <v>19</v>
      </c>
      <c r="G1463" s="1" t="s">
        <v>21</v>
      </c>
      <c r="H1463" s="1" t="s">
        <v>22</v>
      </c>
      <c r="I1463" s="12">
        <f>car_price_prediction_[[#This Row],[Mileage]]/1000</f>
        <v>71.941999999999993</v>
      </c>
      <c r="J1463" s="5">
        <v>71942</v>
      </c>
      <c r="K1463" s="1" t="s">
        <v>13</v>
      </c>
      <c r="L1463" s="5">
        <f>car_price_prediction_[[#This Row],[Price]]/100</f>
        <v>64682.75</v>
      </c>
      <c r="M1463">
        <v>6468275</v>
      </c>
      <c r="N1463" s="1" t="s">
        <v>53</v>
      </c>
      <c r="O1463" s="1">
        <f>IF(IFERROR(VLOOKUP(car_price_prediction_[[#This Row],[Car ID]],A1464:A3963,1,FALSE),0),1,0)</f>
        <v>0</v>
      </c>
    </row>
    <row r="1464" spans="1:15" x14ac:dyDescent="0.25">
      <c r="A1464">
        <v>1463</v>
      </c>
      <c r="B1464" s="1" t="s">
        <v>36</v>
      </c>
      <c r="C1464" s="1">
        <f>car_price_prediction_[[#This Row],[Year2]]</f>
        <v>2008</v>
      </c>
      <c r="D1464">
        <v>2008</v>
      </c>
      <c r="E1464">
        <f>car_price_prediction_[[#This Row],[Engine Size]]/10</f>
        <v>2.2999999999999998</v>
      </c>
      <c r="F1464">
        <v>23</v>
      </c>
      <c r="G1464" s="1" t="s">
        <v>21</v>
      </c>
      <c r="H1464" s="1" t="s">
        <v>12</v>
      </c>
      <c r="I1464" s="12">
        <f>car_price_prediction_[[#This Row],[Mileage]]/1000</f>
        <v>118.065</v>
      </c>
      <c r="J1464" s="5">
        <v>118065</v>
      </c>
      <c r="K1464" s="1" t="s">
        <v>13</v>
      </c>
      <c r="L1464" s="5">
        <f>car_price_prediction_[[#This Row],[Price]]/100</f>
        <v>60906.19</v>
      </c>
      <c r="M1464">
        <v>6090619</v>
      </c>
      <c r="N1464" s="1" t="s">
        <v>41</v>
      </c>
      <c r="O1464" s="1">
        <f>IF(IFERROR(VLOOKUP(car_price_prediction_[[#This Row],[Car ID]],A1465:A3964,1,FALSE),0),1,0)</f>
        <v>0</v>
      </c>
    </row>
    <row r="1465" spans="1:15" x14ac:dyDescent="0.25">
      <c r="A1465">
        <v>1464</v>
      </c>
      <c r="B1465" s="1" t="s">
        <v>43</v>
      </c>
      <c r="C1465" s="1">
        <f>car_price_prediction_[[#This Row],[Year2]]</f>
        <v>2022</v>
      </c>
      <c r="D1465">
        <v>2022</v>
      </c>
      <c r="E1465">
        <f>car_price_prediction_[[#This Row],[Engine Size]]/10</f>
        <v>2</v>
      </c>
      <c r="F1465">
        <v>20</v>
      </c>
      <c r="G1465" s="1" t="s">
        <v>21</v>
      </c>
      <c r="H1465" s="1" t="s">
        <v>12</v>
      </c>
      <c r="I1465" s="12">
        <f>car_price_prediction_[[#This Row],[Mileage]]/1000</f>
        <v>276.10899999999998</v>
      </c>
      <c r="J1465" s="5">
        <v>276109</v>
      </c>
      <c r="K1465" s="1" t="s">
        <v>17</v>
      </c>
      <c r="L1465" s="5">
        <f>car_price_prediction_[[#This Row],[Price]]/100</f>
        <v>56034.53</v>
      </c>
      <c r="M1465">
        <v>5603453</v>
      </c>
      <c r="N1465" s="1" t="s">
        <v>50</v>
      </c>
      <c r="O1465" s="1">
        <f>IF(IFERROR(VLOOKUP(car_price_prediction_[[#This Row],[Car ID]],A1466:A3965,1,FALSE),0),1,0)</f>
        <v>0</v>
      </c>
    </row>
    <row r="1466" spans="1:15" x14ac:dyDescent="0.25">
      <c r="A1466">
        <v>1465</v>
      </c>
      <c r="B1466" s="1" t="s">
        <v>10</v>
      </c>
      <c r="C1466" s="1">
        <f>car_price_prediction_[[#This Row],[Year2]]</f>
        <v>2007</v>
      </c>
      <c r="D1466">
        <v>2007</v>
      </c>
      <c r="E1466">
        <f>car_price_prediction_[[#This Row],[Engine Size]]/10</f>
        <v>2.2000000000000002</v>
      </c>
      <c r="F1466">
        <v>22</v>
      </c>
      <c r="G1466" s="1" t="s">
        <v>16</v>
      </c>
      <c r="H1466" s="1" t="s">
        <v>12</v>
      </c>
      <c r="I1466" s="12">
        <f>car_price_prediction_[[#This Row],[Mileage]]/1000</f>
        <v>275.87700000000001</v>
      </c>
      <c r="J1466" s="5">
        <v>275877</v>
      </c>
      <c r="K1466" s="1" t="s">
        <v>17</v>
      </c>
      <c r="L1466" s="5">
        <f>car_price_prediction_[[#This Row],[Price]]/100</f>
        <v>79657.350000000006</v>
      </c>
      <c r="M1466">
        <v>7965735</v>
      </c>
      <c r="N1466" s="1" t="s">
        <v>49</v>
      </c>
      <c r="O1466" s="1">
        <f>IF(IFERROR(VLOOKUP(car_price_prediction_[[#This Row],[Car ID]],A1467:A3966,1,FALSE),0),1,0)</f>
        <v>0</v>
      </c>
    </row>
    <row r="1467" spans="1:15" x14ac:dyDescent="0.25">
      <c r="A1467">
        <v>1466</v>
      </c>
      <c r="B1467" s="1" t="s">
        <v>15</v>
      </c>
      <c r="C1467" s="1">
        <f>car_price_prediction_[[#This Row],[Year2]]</f>
        <v>2010</v>
      </c>
      <c r="D1467">
        <v>2010</v>
      </c>
      <c r="E1467">
        <f>car_price_prediction_[[#This Row],[Engine Size]]/10</f>
        <v>2.5</v>
      </c>
      <c r="F1467">
        <v>25</v>
      </c>
      <c r="G1467" s="1" t="s">
        <v>29</v>
      </c>
      <c r="H1467" s="1" t="s">
        <v>22</v>
      </c>
      <c r="I1467" s="12">
        <f>car_price_prediction_[[#This Row],[Mileage]]/1000</f>
        <v>157.99799999999999</v>
      </c>
      <c r="J1467" s="5">
        <v>157998</v>
      </c>
      <c r="K1467" s="1" t="s">
        <v>25</v>
      </c>
      <c r="L1467" s="5">
        <f>car_price_prediction_[[#This Row],[Price]]/100</f>
        <v>57807.75</v>
      </c>
      <c r="M1467">
        <v>5780775</v>
      </c>
      <c r="N1467" s="1" t="s">
        <v>39</v>
      </c>
      <c r="O1467" s="1">
        <f>IF(IFERROR(VLOOKUP(car_price_prediction_[[#This Row],[Car ID]],A1468:A3967,1,FALSE),0),1,0)</f>
        <v>0</v>
      </c>
    </row>
    <row r="1468" spans="1:15" x14ac:dyDescent="0.25">
      <c r="A1468">
        <v>1467</v>
      </c>
      <c r="B1468" s="1" t="s">
        <v>36</v>
      </c>
      <c r="C1468" s="1">
        <f>car_price_prediction_[[#This Row],[Year2]]</f>
        <v>2015</v>
      </c>
      <c r="D1468">
        <v>2015</v>
      </c>
      <c r="E1468">
        <f>car_price_prediction_[[#This Row],[Engine Size]]/10</f>
        <v>3.8</v>
      </c>
      <c r="F1468">
        <v>38</v>
      </c>
      <c r="G1468" s="1" t="s">
        <v>29</v>
      </c>
      <c r="H1468" s="1" t="s">
        <v>22</v>
      </c>
      <c r="I1468" s="12">
        <f>car_price_prediction_[[#This Row],[Mileage]]/1000</f>
        <v>159.85499999999999</v>
      </c>
      <c r="J1468" s="5">
        <v>159855</v>
      </c>
      <c r="K1468" s="1" t="s">
        <v>25</v>
      </c>
      <c r="L1468" s="5">
        <f>car_price_prediction_[[#This Row],[Price]]/100</f>
        <v>86424.23</v>
      </c>
      <c r="M1468">
        <v>8642423</v>
      </c>
      <c r="N1468" s="1" t="s">
        <v>40</v>
      </c>
      <c r="O1468" s="1">
        <f>IF(IFERROR(VLOOKUP(car_price_prediction_[[#This Row],[Car ID]],A1469:A3968,1,FALSE),0),1,0)</f>
        <v>0</v>
      </c>
    </row>
    <row r="1469" spans="1:15" x14ac:dyDescent="0.25">
      <c r="A1469">
        <v>1468</v>
      </c>
      <c r="B1469" s="1" t="s">
        <v>19</v>
      </c>
      <c r="C1469" s="1">
        <f>car_price_prediction_[[#This Row],[Year2]]</f>
        <v>2021</v>
      </c>
      <c r="D1469">
        <v>2021</v>
      </c>
      <c r="E1469">
        <f>car_price_prediction_[[#This Row],[Engine Size]]/10</f>
        <v>3.9</v>
      </c>
      <c r="F1469">
        <v>39</v>
      </c>
      <c r="G1469" s="1" t="s">
        <v>16</v>
      </c>
      <c r="H1469" s="1" t="s">
        <v>22</v>
      </c>
      <c r="I1469" s="12">
        <f>car_price_prediction_[[#This Row],[Mileage]]/1000</f>
        <v>83.36</v>
      </c>
      <c r="J1469" s="5">
        <v>83360</v>
      </c>
      <c r="K1469" s="1" t="s">
        <v>13</v>
      </c>
      <c r="L1469" s="5">
        <f>car_price_prediction_[[#This Row],[Price]]/100</f>
        <v>27099.99</v>
      </c>
      <c r="M1469">
        <v>2709999</v>
      </c>
      <c r="N1469" s="1" t="s">
        <v>27</v>
      </c>
      <c r="O1469" s="1">
        <f>IF(IFERROR(VLOOKUP(car_price_prediction_[[#This Row],[Car ID]],A1470:A3969,1,FALSE),0),1,0)</f>
        <v>0</v>
      </c>
    </row>
    <row r="1470" spans="1:15" x14ac:dyDescent="0.25">
      <c r="A1470">
        <v>1469</v>
      </c>
      <c r="B1470" s="1" t="s">
        <v>43</v>
      </c>
      <c r="C1470" s="1">
        <f>car_price_prediction_[[#This Row],[Year2]]</f>
        <v>2003</v>
      </c>
      <c r="D1470">
        <v>2003</v>
      </c>
      <c r="E1470">
        <f>car_price_prediction_[[#This Row],[Engine Size]]/10</f>
        <v>3.1</v>
      </c>
      <c r="F1470">
        <v>31</v>
      </c>
      <c r="G1470" s="1" t="s">
        <v>16</v>
      </c>
      <c r="H1470" s="1" t="s">
        <v>22</v>
      </c>
      <c r="I1470" s="12">
        <f>car_price_prediction_[[#This Row],[Mileage]]/1000</f>
        <v>167.46600000000001</v>
      </c>
      <c r="J1470" s="5">
        <v>167466</v>
      </c>
      <c r="K1470" s="1" t="s">
        <v>13</v>
      </c>
      <c r="L1470" s="5">
        <f>car_price_prediction_[[#This Row],[Price]]/100</f>
        <v>81568.350000000006</v>
      </c>
      <c r="M1470">
        <v>8156835</v>
      </c>
      <c r="N1470" s="1" t="s">
        <v>50</v>
      </c>
      <c r="O1470" s="1">
        <f>IF(IFERROR(VLOOKUP(car_price_prediction_[[#This Row],[Car ID]],A1471:A3970,1,FALSE),0),1,0)</f>
        <v>0</v>
      </c>
    </row>
    <row r="1471" spans="1:15" x14ac:dyDescent="0.25">
      <c r="A1471">
        <v>1470</v>
      </c>
      <c r="B1471" s="1" t="s">
        <v>43</v>
      </c>
      <c r="C1471" s="1">
        <f>car_price_prediction_[[#This Row],[Year2]]</f>
        <v>2000</v>
      </c>
      <c r="D1471">
        <v>2000</v>
      </c>
      <c r="E1471">
        <f>car_price_prediction_[[#This Row],[Engine Size]]/10</f>
        <v>4.0999999999999996</v>
      </c>
      <c r="F1471">
        <v>41</v>
      </c>
      <c r="G1471" s="1" t="s">
        <v>16</v>
      </c>
      <c r="H1471" s="1" t="s">
        <v>22</v>
      </c>
      <c r="I1471" s="12">
        <f>car_price_prediction_[[#This Row],[Mileage]]/1000</f>
        <v>195.86799999999999</v>
      </c>
      <c r="J1471" s="5">
        <v>195868</v>
      </c>
      <c r="K1471" s="1" t="s">
        <v>17</v>
      </c>
      <c r="L1471" s="5">
        <f>car_price_prediction_[[#This Row],[Price]]/100</f>
        <v>22034.71</v>
      </c>
      <c r="M1471">
        <v>2203471</v>
      </c>
      <c r="N1471" s="1" t="s">
        <v>44</v>
      </c>
      <c r="O1471" s="1">
        <f>IF(IFERROR(VLOOKUP(car_price_prediction_[[#This Row],[Car ID]],A1472:A3971,1,FALSE),0),1,0)</f>
        <v>0</v>
      </c>
    </row>
    <row r="1472" spans="1:15" x14ac:dyDescent="0.25">
      <c r="A1472">
        <v>1471</v>
      </c>
      <c r="B1472" s="1" t="s">
        <v>19</v>
      </c>
      <c r="C1472" s="1">
        <f>car_price_prediction_[[#This Row],[Year2]]</f>
        <v>2023</v>
      </c>
      <c r="D1472">
        <v>2023</v>
      </c>
      <c r="E1472">
        <f>car_price_prediction_[[#This Row],[Engine Size]]/10</f>
        <v>1.4</v>
      </c>
      <c r="F1472">
        <v>14</v>
      </c>
      <c r="G1472" s="1" t="s">
        <v>11</v>
      </c>
      <c r="H1472" s="1" t="s">
        <v>22</v>
      </c>
      <c r="I1472" s="12">
        <f>car_price_prediction_[[#This Row],[Mileage]]/1000</f>
        <v>290.43099999999998</v>
      </c>
      <c r="J1472" s="5">
        <v>290431</v>
      </c>
      <c r="K1472" s="1" t="s">
        <v>17</v>
      </c>
      <c r="L1472" s="5">
        <f>car_price_prediction_[[#This Row],[Price]]/100</f>
        <v>82246.19</v>
      </c>
      <c r="M1472">
        <v>8224619</v>
      </c>
      <c r="N1472" s="1" t="s">
        <v>20</v>
      </c>
      <c r="O1472" s="1">
        <f>IF(IFERROR(VLOOKUP(car_price_prediction_[[#This Row],[Car ID]],A1473:A3972,1,FALSE),0),1,0)</f>
        <v>0</v>
      </c>
    </row>
    <row r="1473" spans="1:15" x14ac:dyDescent="0.25">
      <c r="A1473">
        <v>1472</v>
      </c>
      <c r="B1473" s="1" t="s">
        <v>10</v>
      </c>
      <c r="C1473" s="1">
        <f>car_price_prediction_[[#This Row],[Year2]]</f>
        <v>2006</v>
      </c>
      <c r="D1473">
        <v>2006</v>
      </c>
      <c r="E1473">
        <f>car_price_prediction_[[#This Row],[Engine Size]]/10</f>
        <v>1.4</v>
      </c>
      <c r="F1473">
        <v>14</v>
      </c>
      <c r="G1473" s="1" t="s">
        <v>21</v>
      </c>
      <c r="H1473" s="1" t="s">
        <v>12</v>
      </c>
      <c r="I1473" s="12">
        <f>car_price_prediction_[[#This Row],[Mileage]]/1000</f>
        <v>82.103999999999999</v>
      </c>
      <c r="J1473" s="5">
        <v>82104</v>
      </c>
      <c r="K1473" s="1" t="s">
        <v>17</v>
      </c>
      <c r="L1473" s="5">
        <f>car_price_prediction_[[#This Row],[Price]]/100</f>
        <v>94344.03</v>
      </c>
      <c r="M1473">
        <v>9434403</v>
      </c>
      <c r="N1473" s="1" t="s">
        <v>33</v>
      </c>
      <c r="O1473" s="1">
        <f>IF(IFERROR(VLOOKUP(car_price_prediction_[[#This Row],[Car ID]],A1474:A3973,1,FALSE),0),1,0)</f>
        <v>0</v>
      </c>
    </row>
    <row r="1474" spans="1:15" x14ac:dyDescent="0.25">
      <c r="A1474">
        <v>1473</v>
      </c>
      <c r="B1474" s="1" t="s">
        <v>24</v>
      </c>
      <c r="C1474" s="1">
        <f>car_price_prediction_[[#This Row],[Year2]]</f>
        <v>2001</v>
      </c>
      <c r="D1474">
        <v>2001</v>
      </c>
      <c r="E1474">
        <f>car_price_prediction_[[#This Row],[Engine Size]]/10</f>
        <v>1.9</v>
      </c>
      <c r="F1474">
        <v>19</v>
      </c>
      <c r="G1474" s="1" t="s">
        <v>21</v>
      </c>
      <c r="H1474" s="1" t="s">
        <v>12</v>
      </c>
      <c r="I1474" s="12">
        <f>car_price_prediction_[[#This Row],[Mileage]]/1000</f>
        <v>161.50800000000001</v>
      </c>
      <c r="J1474" s="5">
        <v>161508</v>
      </c>
      <c r="K1474" s="1" t="s">
        <v>25</v>
      </c>
      <c r="L1474" s="5">
        <f>car_price_prediction_[[#This Row],[Price]]/100</f>
        <v>36890.94</v>
      </c>
      <c r="M1474">
        <v>3689094</v>
      </c>
      <c r="N1474" s="1" t="s">
        <v>32</v>
      </c>
      <c r="O1474" s="1">
        <f>IF(IFERROR(VLOOKUP(car_price_prediction_[[#This Row],[Car ID]],A1475:A3974,1,FALSE),0),1,0)</f>
        <v>0</v>
      </c>
    </row>
    <row r="1475" spans="1:15" x14ac:dyDescent="0.25">
      <c r="A1475">
        <v>1474</v>
      </c>
      <c r="B1475" s="1" t="s">
        <v>36</v>
      </c>
      <c r="C1475" s="1">
        <f>car_price_prediction_[[#This Row],[Year2]]</f>
        <v>2023</v>
      </c>
      <c r="D1475">
        <v>2023</v>
      </c>
      <c r="E1475">
        <f>car_price_prediction_[[#This Row],[Engine Size]]/10</f>
        <v>3.6</v>
      </c>
      <c r="F1475">
        <v>36</v>
      </c>
      <c r="G1475" s="1" t="s">
        <v>29</v>
      </c>
      <c r="H1475" s="1" t="s">
        <v>12</v>
      </c>
      <c r="I1475" s="12">
        <f>car_price_prediction_[[#This Row],[Mileage]]/1000</f>
        <v>221.404</v>
      </c>
      <c r="J1475" s="5">
        <v>221404</v>
      </c>
      <c r="K1475" s="1" t="s">
        <v>17</v>
      </c>
      <c r="L1475" s="5">
        <f>car_price_prediction_[[#This Row],[Price]]/100</f>
        <v>5533.92</v>
      </c>
      <c r="M1475">
        <v>553392</v>
      </c>
      <c r="N1475" s="1" t="s">
        <v>46</v>
      </c>
      <c r="O1475" s="1">
        <f>IF(IFERROR(VLOOKUP(car_price_prediction_[[#This Row],[Car ID]],A1476:A3975,1,FALSE),0),1,0)</f>
        <v>0</v>
      </c>
    </row>
    <row r="1476" spans="1:15" x14ac:dyDescent="0.25">
      <c r="A1476">
        <v>1475</v>
      </c>
      <c r="B1476" s="1" t="s">
        <v>30</v>
      </c>
      <c r="C1476" s="1">
        <f>car_price_prediction_[[#This Row],[Year2]]</f>
        <v>2004</v>
      </c>
      <c r="D1476">
        <v>2004</v>
      </c>
      <c r="E1476">
        <f>car_price_prediction_[[#This Row],[Engine Size]]/10</f>
        <v>2.1</v>
      </c>
      <c r="F1476">
        <v>21</v>
      </c>
      <c r="G1476" s="1" t="s">
        <v>21</v>
      </c>
      <c r="H1476" s="1" t="s">
        <v>12</v>
      </c>
      <c r="I1476" s="12">
        <f>car_price_prediction_[[#This Row],[Mileage]]/1000</f>
        <v>265.33199999999999</v>
      </c>
      <c r="J1476" s="5">
        <v>265332</v>
      </c>
      <c r="K1476" s="1" t="s">
        <v>25</v>
      </c>
      <c r="L1476" s="5">
        <f>car_price_prediction_[[#This Row],[Price]]/100</f>
        <v>67541.259999999995</v>
      </c>
      <c r="M1476">
        <v>6754126</v>
      </c>
      <c r="N1476" s="1" t="s">
        <v>48</v>
      </c>
      <c r="O1476" s="1">
        <f>IF(IFERROR(VLOOKUP(car_price_prediction_[[#This Row],[Car ID]],A1477:A3976,1,FALSE),0),1,0)</f>
        <v>0</v>
      </c>
    </row>
    <row r="1477" spans="1:15" x14ac:dyDescent="0.25">
      <c r="A1477">
        <v>1476</v>
      </c>
      <c r="B1477" s="1" t="s">
        <v>15</v>
      </c>
      <c r="C1477" s="1">
        <f>car_price_prediction_[[#This Row],[Year2]]</f>
        <v>2006</v>
      </c>
      <c r="D1477">
        <v>2006</v>
      </c>
      <c r="E1477">
        <f>car_price_prediction_[[#This Row],[Engine Size]]/10</f>
        <v>2.4</v>
      </c>
      <c r="F1477">
        <v>24</v>
      </c>
      <c r="G1477" s="1" t="s">
        <v>11</v>
      </c>
      <c r="H1477" s="1" t="s">
        <v>12</v>
      </c>
      <c r="I1477" s="12">
        <f>car_price_prediction_[[#This Row],[Mileage]]/1000</f>
        <v>91.204999999999998</v>
      </c>
      <c r="J1477" s="5">
        <v>91205</v>
      </c>
      <c r="K1477" s="1" t="s">
        <v>17</v>
      </c>
      <c r="L1477" s="5">
        <f>car_price_prediction_[[#This Row],[Price]]/100</f>
        <v>12549.81</v>
      </c>
      <c r="M1477">
        <v>1254981</v>
      </c>
      <c r="N1477" s="1" t="s">
        <v>18</v>
      </c>
      <c r="O1477" s="1">
        <f>IF(IFERROR(VLOOKUP(car_price_prediction_[[#This Row],[Car ID]],A1478:A3977,1,FALSE),0),1,0)</f>
        <v>0</v>
      </c>
    </row>
    <row r="1478" spans="1:15" x14ac:dyDescent="0.25">
      <c r="A1478">
        <v>1477</v>
      </c>
      <c r="B1478" s="1" t="s">
        <v>30</v>
      </c>
      <c r="C1478" s="1">
        <f>car_price_prediction_[[#This Row],[Year2]]</f>
        <v>2003</v>
      </c>
      <c r="D1478">
        <v>2003</v>
      </c>
      <c r="E1478">
        <f>car_price_prediction_[[#This Row],[Engine Size]]/10</f>
        <v>3</v>
      </c>
      <c r="F1478">
        <v>30</v>
      </c>
      <c r="G1478" s="1" t="s">
        <v>16</v>
      </c>
      <c r="H1478" s="1" t="s">
        <v>12</v>
      </c>
      <c r="I1478" s="12">
        <f>car_price_prediction_[[#This Row],[Mileage]]/1000</f>
        <v>232.321</v>
      </c>
      <c r="J1478" s="5">
        <v>232321</v>
      </c>
      <c r="K1478" s="1" t="s">
        <v>17</v>
      </c>
      <c r="L1478" s="5">
        <f>car_price_prediction_[[#This Row],[Price]]/100</f>
        <v>51937.67</v>
      </c>
      <c r="M1478">
        <v>5193767</v>
      </c>
      <c r="N1478" s="1" t="s">
        <v>31</v>
      </c>
      <c r="O1478" s="1">
        <f>IF(IFERROR(VLOOKUP(car_price_prediction_[[#This Row],[Car ID]],A1479:A3978,1,FALSE),0),1,0)</f>
        <v>0</v>
      </c>
    </row>
    <row r="1479" spans="1:15" x14ac:dyDescent="0.25">
      <c r="A1479">
        <v>1478</v>
      </c>
      <c r="B1479" s="1" t="s">
        <v>19</v>
      </c>
      <c r="C1479" s="1">
        <f>car_price_prediction_[[#This Row],[Year2]]</f>
        <v>2004</v>
      </c>
      <c r="D1479">
        <v>2004</v>
      </c>
      <c r="E1479">
        <f>car_price_prediction_[[#This Row],[Engine Size]]/10</f>
        <v>5.0999999999999996</v>
      </c>
      <c r="F1479">
        <v>51</v>
      </c>
      <c r="G1479" s="1" t="s">
        <v>29</v>
      </c>
      <c r="H1479" s="1" t="s">
        <v>12</v>
      </c>
      <c r="I1479" s="12">
        <f>car_price_prediction_[[#This Row],[Mileage]]/1000</f>
        <v>137.83699999999999</v>
      </c>
      <c r="J1479" s="5">
        <v>137837</v>
      </c>
      <c r="K1479" s="1" t="s">
        <v>13</v>
      </c>
      <c r="L1479" s="5">
        <f>car_price_prediction_[[#This Row],[Price]]/100</f>
        <v>39255.57</v>
      </c>
      <c r="M1479">
        <v>3925557</v>
      </c>
      <c r="N1479" s="1" t="s">
        <v>38</v>
      </c>
      <c r="O1479" s="1">
        <f>IF(IFERROR(VLOOKUP(car_price_prediction_[[#This Row],[Car ID]],A1480:A3979,1,FALSE),0),1,0)</f>
        <v>0</v>
      </c>
    </row>
    <row r="1480" spans="1:15" x14ac:dyDescent="0.25">
      <c r="A1480">
        <v>1479</v>
      </c>
      <c r="B1480" s="1" t="s">
        <v>43</v>
      </c>
      <c r="C1480" s="1">
        <f>car_price_prediction_[[#This Row],[Year2]]</f>
        <v>2023</v>
      </c>
      <c r="D1480">
        <v>2023</v>
      </c>
      <c r="E1480">
        <f>car_price_prediction_[[#This Row],[Engine Size]]/10</f>
        <v>1.1000000000000001</v>
      </c>
      <c r="F1480">
        <v>11</v>
      </c>
      <c r="G1480" s="1" t="s">
        <v>29</v>
      </c>
      <c r="H1480" s="1" t="s">
        <v>12</v>
      </c>
      <c r="I1480" s="12">
        <f>car_price_prediction_[[#This Row],[Mileage]]/1000</f>
        <v>219.779</v>
      </c>
      <c r="J1480" s="5">
        <v>219779</v>
      </c>
      <c r="K1480" s="1" t="s">
        <v>25</v>
      </c>
      <c r="L1480" s="5">
        <f>car_price_prediction_[[#This Row],[Price]]/100</f>
        <v>87883.28</v>
      </c>
      <c r="M1480">
        <v>8788328</v>
      </c>
      <c r="N1480" s="1" t="s">
        <v>52</v>
      </c>
      <c r="O1480" s="1">
        <f>IF(IFERROR(VLOOKUP(car_price_prediction_[[#This Row],[Car ID]],A1481:A3980,1,FALSE),0),1,0)</f>
        <v>0</v>
      </c>
    </row>
    <row r="1481" spans="1:15" x14ac:dyDescent="0.25">
      <c r="A1481">
        <v>1480</v>
      </c>
      <c r="B1481" s="1" t="s">
        <v>10</v>
      </c>
      <c r="C1481" s="1">
        <f>car_price_prediction_[[#This Row],[Year2]]</f>
        <v>2000</v>
      </c>
      <c r="D1481">
        <v>2000</v>
      </c>
      <c r="E1481">
        <f>car_price_prediction_[[#This Row],[Engine Size]]/10</f>
        <v>4.2</v>
      </c>
      <c r="F1481">
        <v>42</v>
      </c>
      <c r="G1481" s="1" t="s">
        <v>21</v>
      </c>
      <c r="H1481" s="1" t="s">
        <v>22</v>
      </c>
      <c r="I1481" s="12">
        <f>car_price_prediction_[[#This Row],[Mileage]]/1000</f>
        <v>141.87899999999999</v>
      </c>
      <c r="J1481" s="5">
        <v>141879</v>
      </c>
      <c r="K1481" s="1" t="s">
        <v>17</v>
      </c>
      <c r="L1481" s="5">
        <f>car_price_prediction_[[#This Row],[Price]]/100</f>
        <v>88284.55</v>
      </c>
      <c r="M1481">
        <v>8828455</v>
      </c>
      <c r="N1481" s="1" t="s">
        <v>49</v>
      </c>
      <c r="O1481" s="1">
        <f>IF(IFERROR(VLOOKUP(car_price_prediction_[[#This Row],[Car ID]],A1482:A3981,1,FALSE),0),1,0)</f>
        <v>0</v>
      </c>
    </row>
    <row r="1482" spans="1:15" x14ac:dyDescent="0.25">
      <c r="A1482">
        <v>1481</v>
      </c>
      <c r="B1482" s="1" t="s">
        <v>43</v>
      </c>
      <c r="C1482" s="1">
        <f>car_price_prediction_[[#This Row],[Year2]]</f>
        <v>2000</v>
      </c>
      <c r="D1482">
        <v>2000</v>
      </c>
      <c r="E1482">
        <f>car_price_prediction_[[#This Row],[Engine Size]]/10</f>
        <v>4.3</v>
      </c>
      <c r="F1482">
        <v>43</v>
      </c>
      <c r="G1482" s="1" t="s">
        <v>29</v>
      </c>
      <c r="H1482" s="1" t="s">
        <v>22</v>
      </c>
      <c r="I1482" s="12">
        <f>car_price_prediction_[[#This Row],[Mileage]]/1000</f>
        <v>10.204000000000001</v>
      </c>
      <c r="J1482" s="5">
        <v>10204</v>
      </c>
      <c r="K1482" s="1" t="s">
        <v>13</v>
      </c>
      <c r="L1482" s="5">
        <f>car_price_prediction_[[#This Row],[Price]]/100</f>
        <v>71574.06</v>
      </c>
      <c r="M1482">
        <v>7157406</v>
      </c>
      <c r="N1482" s="1" t="s">
        <v>50</v>
      </c>
      <c r="O1482" s="1">
        <f>IF(IFERROR(VLOOKUP(car_price_prediction_[[#This Row],[Car ID]],A1483:A3982,1,FALSE),0),1,0)</f>
        <v>0</v>
      </c>
    </row>
    <row r="1483" spans="1:15" x14ac:dyDescent="0.25">
      <c r="A1483">
        <v>1482</v>
      </c>
      <c r="B1483" s="1" t="s">
        <v>15</v>
      </c>
      <c r="C1483" s="1">
        <f>car_price_prediction_[[#This Row],[Year2]]</f>
        <v>2014</v>
      </c>
      <c r="D1483">
        <v>2014</v>
      </c>
      <c r="E1483">
        <f>car_price_prediction_[[#This Row],[Engine Size]]/10</f>
        <v>5</v>
      </c>
      <c r="F1483">
        <v>50</v>
      </c>
      <c r="G1483" s="1" t="s">
        <v>16</v>
      </c>
      <c r="H1483" s="1" t="s">
        <v>22</v>
      </c>
      <c r="I1483" s="12">
        <f>car_price_prediction_[[#This Row],[Mileage]]/1000</f>
        <v>223.67400000000001</v>
      </c>
      <c r="J1483" s="5">
        <v>223674</v>
      </c>
      <c r="K1483" s="1" t="s">
        <v>25</v>
      </c>
      <c r="L1483" s="5">
        <f>car_price_prediction_[[#This Row],[Price]]/100</f>
        <v>67293.83</v>
      </c>
      <c r="M1483">
        <v>6729383</v>
      </c>
      <c r="N1483" s="1" t="s">
        <v>39</v>
      </c>
      <c r="O1483" s="1">
        <f>IF(IFERROR(VLOOKUP(car_price_prediction_[[#This Row],[Car ID]],A1484:A3983,1,FALSE),0),1,0)</f>
        <v>0</v>
      </c>
    </row>
    <row r="1484" spans="1:15" x14ac:dyDescent="0.25">
      <c r="A1484">
        <v>1483</v>
      </c>
      <c r="B1484" s="1" t="s">
        <v>43</v>
      </c>
      <c r="C1484" s="1">
        <f>car_price_prediction_[[#This Row],[Year2]]</f>
        <v>2019</v>
      </c>
      <c r="D1484">
        <v>2019</v>
      </c>
      <c r="E1484">
        <f>car_price_prediction_[[#This Row],[Engine Size]]/10</f>
        <v>5.7</v>
      </c>
      <c r="F1484">
        <v>57</v>
      </c>
      <c r="G1484" s="1" t="s">
        <v>29</v>
      </c>
      <c r="H1484" s="1" t="s">
        <v>22</v>
      </c>
      <c r="I1484" s="12">
        <f>car_price_prediction_[[#This Row],[Mileage]]/1000</f>
        <v>189.01599999999999</v>
      </c>
      <c r="J1484" s="5">
        <v>189016</v>
      </c>
      <c r="K1484" s="1" t="s">
        <v>25</v>
      </c>
      <c r="L1484" s="5">
        <f>car_price_prediction_[[#This Row],[Price]]/100</f>
        <v>7470.04</v>
      </c>
      <c r="M1484">
        <v>747004</v>
      </c>
      <c r="N1484" s="1" t="s">
        <v>47</v>
      </c>
      <c r="O1484" s="1">
        <f>IF(IFERROR(VLOOKUP(car_price_prediction_[[#This Row],[Car ID]],A1485:A3984,1,FALSE),0),1,0)</f>
        <v>0</v>
      </c>
    </row>
    <row r="1485" spans="1:15" x14ac:dyDescent="0.25">
      <c r="A1485">
        <v>1484</v>
      </c>
      <c r="B1485" s="1" t="s">
        <v>43</v>
      </c>
      <c r="C1485" s="1">
        <f>car_price_prediction_[[#This Row],[Year2]]</f>
        <v>2018</v>
      </c>
      <c r="D1485">
        <v>2018</v>
      </c>
      <c r="E1485">
        <f>car_price_prediction_[[#This Row],[Engine Size]]/10</f>
        <v>1.1000000000000001</v>
      </c>
      <c r="F1485">
        <v>11</v>
      </c>
      <c r="G1485" s="1" t="s">
        <v>16</v>
      </c>
      <c r="H1485" s="1" t="s">
        <v>22</v>
      </c>
      <c r="I1485" s="12">
        <f>car_price_prediction_[[#This Row],[Mileage]]/1000</f>
        <v>102.90300000000001</v>
      </c>
      <c r="J1485" s="5">
        <v>102903</v>
      </c>
      <c r="K1485" s="1" t="s">
        <v>17</v>
      </c>
      <c r="L1485" s="5">
        <f>car_price_prediction_[[#This Row],[Price]]/100</f>
        <v>39768.76</v>
      </c>
      <c r="M1485">
        <v>3976876</v>
      </c>
      <c r="N1485" s="1" t="s">
        <v>50</v>
      </c>
      <c r="O1485" s="1">
        <f>IF(IFERROR(VLOOKUP(car_price_prediction_[[#This Row],[Car ID]],A1486:A3985,1,FALSE),0),1,0)</f>
        <v>0</v>
      </c>
    </row>
    <row r="1486" spans="1:15" x14ac:dyDescent="0.25">
      <c r="A1486">
        <v>1485</v>
      </c>
      <c r="B1486" s="1" t="s">
        <v>15</v>
      </c>
      <c r="C1486" s="1">
        <f>car_price_prediction_[[#This Row],[Year2]]</f>
        <v>2009</v>
      </c>
      <c r="D1486">
        <v>2009</v>
      </c>
      <c r="E1486">
        <f>car_price_prediction_[[#This Row],[Engine Size]]/10</f>
        <v>1.8</v>
      </c>
      <c r="F1486">
        <v>18</v>
      </c>
      <c r="G1486" s="1" t="s">
        <v>11</v>
      </c>
      <c r="H1486" s="1" t="s">
        <v>22</v>
      </c>
      <c r="I1486" s="12">
        <f>car_price_prediction_[[#This Row],[Mileage]]/1000</f>
        <v>299.22500000000002</v>
      </c>
      <c r="J1486" s="5">
        <v>299225</v>
      </c>
      <c r="K1486" s="1" t="s">
        <v>25</v>
      </c>
      <c r="L1486" s="5">
        <f>car_price_prediction_[[#This Row],[Price]]/100</f>
        <v>43429.33</v>
      </c>
      <c r="M1486">
        <v>4342933</v>
      </c>
      <c r="N1486" s="1" t="s">
        <v>35</v>
      </c>
      <c r="O1486" s="1">
        <f>IF(IFERROR(VLOOKUP(car_price_prediction_[[#This Row],[Car ID]],A1487:A3986,1,FALSE),0),1,0)</f>
        <v>0</v>
      </c>
    </row>
    <row r="1487" spans="1:15" x14ac:dyDescent="0.25">
      <c r="A1487">
        <v>1486</v>
      </c>
      <c r="B1487" s="1" t="s">
        <v>36</v>
      </c>
      <c r="C1487" s="1">
        <f>car_price_prediction_[[#This Row],[Year2]]</f>
        <v>2017</v>
      </c>
      <c r="D1487">
        <v>2017</v>
      </c>
      <c r="E1487">
        <f>car_price_prediction_[[#This Row],[Engine Size]]/10</f>
        <v>5.4</v>
      </c>
      <c r="F1487">
        <v>54</v>
      </c>
      <c r="G1487" s="1" t="s">
        <v>11</v>
      </c>
      <c r="H1487" s="1" t="s">
        <v>22</v>
      </c>
      <c r="I1487" s="12">
        <f>car_price_prediction_[[#This Row],[Mileage]]/1000</f>
        <v>256.68700000000001</v>
      </c>
      <c r="J1487" s="5">
        <v>256687</v>
      </c>
      <c r="K1487" s="1" t="s">
        <v>13</v>
      </c>
      <c r="L1487" s="5">
        <f>car_price_prediction_[[#This Row],[Price]]/100</f>
        <v>57601.95</v>
      </c>
      <c r="M1487">
        <v>5760195</v>
      </c>
      <c r="N1487" s="1" t="s">
        <v>41</v>
      </c>
      <c r="O1487" s="1">
        <f>IF(IFERROR(VLOOKUP(car_price_prediction_[[#This Row],[Car ID]],A1488:A3987,1,FALSE),0),1,0)</f>
        <v>0</v>
      </c>
    </row>
    <row r="1488" spans="1:15" x14ac:dyDescent="0.25">
      <c r="A1488">
        <v>1487</v>
      </c>
      <c r="B1488" s="1" t="s">
        <v>36</v>
      </c>
      <c r="C1488" s="1">
        <f>car_price_prediction_[[#This Row],[Year2]]</f>
        <v>2002</v>
      </c>
      <c r="D1488">
        <v>2002</v>
      </c>
      <c r="E1488">
        <f>car_price_prediction_[[#This Row],[Engine Size]]/10</f>
        <v>3.3</v>
      </c>
      <c r="F1488">
        <v>33</v>
      </c>
      <c r="G1488" s="1" t="s">
        <v>16</v>
      </c>
      <c r="H1488" s="1" t="s">
        <v>12</v>
      </c>
      <c r="I1488" s="12">
        <f>car_price_prediction_[[#This Row],[Mileage]]/1000</f>
        <v>34.985999999999997</v>
      </c>
      <c r="J1488" s="5">
        <v>34986</v>
      </c>
      <c r="K1488" s="1" t="s">
        <v>13</v>
      </c>
      <c r="L1488" s="5">
        <f>car_price_prediction_[[#This Row],[Price]]/100</f>
        <v>94112.67</v>
      </c>
      <c r="M1488">
        <v>9411267</v>
      </c>
      <c r="N1488" s="1" t="s">
        <v>40</v>
      </c>
      <c r="O1488" s="1">
        <f>IF(IFERROR(VLOOKUP(car_price_prediction_[[#This Row],[Car ID]],A1489:A3988,1,FALSE),0),1,0)</f>
        <v>0</v>
      </c>
    </row>
    <row r="1489" spans="1:15" x14ac:dyDescent="0.25">
      <c r="A1489">
        <v>1488</v>
      </c>
      <c r="B1489" s="1" t="s">
        <v>15</v>
      </c>
      <c r="C1489" s="1">
        <f>car_price_prediction_[[#This Row],[Year2]]</f>
        <v>2010</v>
      </c>
      <c r="D1489">
        <v>2010</v>
      </c>
      <c r="E1489">
        <f>car_price_prediction_[[#This Row],[Engine Size]]/10</f>
        <v>3.8</v>
      </c>
      <c r="F1489">
        <v>38</v>
      </c>
      <c r="G1489" s="1" t="s">
        <v>21</v>
      </c>
      <c r="H1489" s="1" t="s">
        <v>12</v>
      </c>
      <c r="I1489" s="12">
        <f>car_price_prediction_[[#This Row],[Mileage]]/1000</f>
        <v>50.304000000000002</v>
      </c>
      <c r="J1489" s="5">
        <v>50304</v>
      </c>
      <c r="K1489" s="1" t="s">
        <v>25</v>
      </c>
      <c r="L1489" s="5">
        <f>car_price_prediction_[[#This Row],[Price]]/100</f>
        <v>73779.990000000005</v>
      </c>
      <c r="M1489">
        <v>7377999</v>
      </c>
      <c r="N1489" s="1" t="s">
        <v>51</v>
      </c>
      <c r="O1489" s="1">
        <f>IF(IFERROR(VLOOKUP(car_price_prediction_[[#This Row],[Car ID]],A1490:A3989,1,FALSE),0),1,0)</f>
        <v>0</v>
      </c>
    </row>
    <row r="1490" spans="1:15" x14ac:dyDescent="0.25">
      <c r="A1490">
        <v>1489</v>
      </c>
      <c r="B1490" s="1" t="s">
        <v>10</v>
      </c>
      <c r="C1490" s="1">
        <f>car_price_prediction_[[#This Row],[Year2]]</f>
        <v>2014</v>
      </c>
      <c r="D1490">
        <v>2014</v>
      </c>
      <c r="E1490">
        <f>car_price_prediction_[[#This Row],[Engine Size]]/10</f>
        <v>4.3</v>
      </c>
      <c r="F1490">
        <v>43</v>
      </c>
      <c r="G1490" s="1" t="s">
        <v>29</v>
      </c>
      <c r="H1490" s="1" t="s">
        <v>22</v>
      </c>
      <c r="I1490" s="12">
        <f>car_price_prediction_[[#This Row],[Mileage]]/1000</f>
        <v>39.985999999999997</v>
      </c>
      <c r="J1490" s="5">
        <v>39986</v>
      </c>
      <c r="K1490" s="1" t="s">
        <v>13</v>
      </c>
      <c r="L1490" s="5">
        <f>car_price_prediction_[[#This Row],[Price]]/100</f>
        <v>57343.98</v>
      </c>
      <c r="M1490">
        <v>5734398</v>
      </c>
      <c r="N1490" s="1" t="s">
        <v>49</v>
      </c>
      <c r="O1490" s="1">
        <f>IF(IFERROR(VLOOKUP(car_price_prediction_[[#This Row],[Car ID]],A1491:A3990,1,FALSE),0),1,0)</f>
        <v>0</v>
      </c>
    </row>
    <row r="1491" spans="1:15" x14ac:dyDescent="0.25">
      <c r="A1491">
        <v>1490</v>
      </c>
      <c r="B1491" s="1" t="s">
        <v>19</v>
      </c>
      <c r="C1491" s="1">
        <f>car_price_prediction_[[#This Row],[Year2]]</f>
        <v>2010</v>
      </c>
      <c r="D1491">
        <v>2010</v>
      </c>
      <c r="E1491">
        <f>car_price_prediction_[[#This Row],[Engine Size]]/10</f>
        <v>4.4000000000000004</v>
      </c>
      <c r="F1491">
        <v>44</v>
      </c>
      <c r="G1491" s="1" t="s">
        <v>21</v>
      </c>
      <c r="H1491" s="1" t="s">
        <v>12</v>
      </c>
      <c r="I1491" s="12">
        <f>car_price_prediction_[[#This Row],[Mileage]]/1000</f>
        <v>91.593999999999994</v>
      </c>
      <c r="J1491" s="5">
        <v>91594</v>
      </c>
      <c r="K1491" s="1" t="s">
        <v>25</v>
      </c>
      <c r="L1491" s="5">
        <f>car_price_prediction_[[#This Row],[Price]]/100</f>
        <v>78189.240000000005</v>
      </c>
      <c r="M1491">
        <v>7818924</v>
      </c>
      <c r="N1491" s="1" t="s">
        <v>38</v>
      </c>
      <c r="O1491" s="1">
        <f>IF(IFERROR(VLOOKUP(car_price_prediction_[[#This Row],[Car ID]],A1492:A3991,1,FALSE),0),1,0)</f>
        <v>0</v>
      </c>
    </row>
    <row r="1492" spans="1:15" x14ac:dyDescent="0.25">
      <c r="A1492">
        <v>1491</v>
      </c>
      <c r="B1492" s="1" t="s">
        <v>43</v>
      </c>
      <c r="C1492" s="1">
        <f>car_price_prediction_[[#This Row],[Year2]]</f>
        <v>2016</v>
      </c>
      <c r="D1492">
        <v>2016</v>
      </c>
      <c r="E1492">
        <f>car_price_prediction_[[#This Row],[Engine Size]]/10</f>
        <v>5.7</v>
      </c>
      <c r="F1492">
        <v>57</v>
      </c>
      <c r="G1492" s="1" t="s">
        <v>29</v>
      </c>
      <c r="H1492" s="1" t="s">
        <v>12</v>
      </c>
      <c r="I1492" s="12">
        <f>car_price_prediction_[[#This Row],[Mileage]]/1000</f>
        <v>66.150999999999996</v>
      </c>
      <c r="J1492" s="5">
        <v>66151</v>
      </c>
      <c r="K1492" s="1" t="s">
        <v>13</v>
      </c>
      <c r="L1492" s="5">
        <f>car_price_prediction_[[#This Row],[Price]]/100</f>
        <v>40234.58</v>
      </c>
      <c r="M1492">
        <v>4023458</v>
      </c>
      <c r="N1492" s="1" t="s">
        <v>44</v>
      </c>
      <c r="O1492" s="1">
        <f>IF(IFERROR(VLOOKUP(car_price_prediction_[[#This Row],[Car ID]],A1493:A3992,1,FALSE),0),1,0)</f>
        <v>0</v>
      </c>
    </row>
    <row r="1493" spans="1:15" x14ac:dyDescent="0.25">
      <c r="A1493">
        <v>1492</v>
      </c>
      <c r="B1493" s="1" t="s">
        <v>10</v>
      </c>
      <c r="C1493" s="1">
        <f>car_price_prediction_[[#This Row],[Year2]]</f>
        <v>2016</v>
      </c>
      <c r="D1493">
        <v>2016</v>
      </c>
      <c r="E1493">
        <f>car_price_prediction_[[#This Row],[Engine Size]]/10</f>
        <v>6</v>
      </c>
      <c r="F1493">
        <v>60</v>
      </c>
      <c r="G1493" s="1" t="s">
        <v>11</v>
      </c>
      <c r="H1493" s="1" t="s">
        <v>12</v>
      </c>
      <c r="I1493" s="12">
        <f>car_price_prediction_[[#This Row],[Mileage]]/1000</f>
        <v>290.358</v>
      </c>
      <c r="J1493" s="5">
        <v>290358</v>
      </c>
      <c r="K1493" s="1" t="s">
        <v>25</v>
      </c>
      <c r="L1493" s="5">
        <f>car_price_prediction_[[#This Row],[Price]]/100</f>
        <v>74394.34</v>
      </c>
      <c r="M1493">
        <v>7439434</v>
      </c>
      <c r="N1493" s="1" t="s">
        <v>49</v>
      </c>
      <c r="O1493" s="1">
        <f>IF(IFERROR(VLOOKUP(car_price_prediction_[[#This Row],[Car ID]],A1494:A3993,1,FALSE),0),1,0)</f>
        <v>0</v>
      </c>
    </row>
    <row r="1494" spans="1:15" x14ac:dyDescent="0.25">
      <c r="A1494">
        <v>1493</v>
      </c>
      <c r="B1494" s="1" t="s">
        <v>43</v>
      </c>
      <c r="C1494" s="1">
        <f>car_price_prediction_[[#This Row],[Year2]]</f>
        <v>2005</v>
      </c>
      <c r="D1494">
        <v>2005</v>
      </c>
      <c r="E1494">
        <f>car_price_prediction_[[#This Row],[Engine Size]]/10</f>
        <v>4.5999999999999996</v>
      </c>
      <c r="F1494">
        <v>46</v>
      </c>
      <c r="G1494" s="1" t="s">
        <v>11</v>
      </c>
      <c r="H1494" s="1" t="s">
        <v>12</v>
      </c>
      <c r="I1494" s="12">
        <f>car_price_prediction_[[#This Row],[Mileage]]/1000</f>
        <v>173.62</v>
      </c>
      <c r="J1494" s="5">
        <v>173620</v>
      </c>
      <c r="K1494" s="1" t="s">
        <v>25</v>
      </c>
      <c r="L1494" s="5">
        <f>car_price_prediction_[[#This Row],[Price]]/100</f>
        <v>44014.239999999998</v>
      </c>
      <c r="M1494">
        <v>4401424</v>
      </c>
      <c r="N1494" s="1" t="s">
        <v>50</v>
      </c>
      <c r="O1494" s="1">
        <f>IF(IFERROR(VLOOKUP(car_price_prediction_[[#This Row],[Car ID]],A1495:A3994,1,FALSE),0),1,0)</f>
        <v>0</v>
      </c>
    </row>
    <row r="1495" spans="1:15" x14ac:dyDescent="0.25">
      <c r="A1495">
        <v>1494</v>
      </c>
      <c r="B1495" s="1" t="s">
        <v>19</v>
      </c>
      <c r="C1495" s="1">
        <f>car_price_prediction_[[#This Row],[Year2]]</f>
        <v>2004</v>
      </c>
      <c r="D1495">
        <v>2004</v>
      </c>
      <c r="E1495">
        <f>car_price_prediction_[[#This Row],[Engine Size]]/10</f>
        <v>2.4</v>
      </c>
      <c r="F1495">
        <v>24</v>
      </c>
      <c r="G1495" s="1" t="s">
        <v>11</v>
      </c>
      <c r="H1495" s="1" t="s">
        <v>12</v>
      </c>
      <c r="I1495" s="12">
        <f>car_price_prediction_[[#This Row],[Mileage]]/1000</f>
        <v>141.75299999999999</v>
      </c>
      <c r="J1495" s="5">
        <v>141753</v>
      </c>
      <c r="K1495" s="1" t="s">
        <v>25</v>
      </c>
      <c r="L1495" s="5">
        <f>car_price_prediction_[[#This Row],[Price]]/100</f>
        <v>31567.83</v>
      </c>
      <c r="M1495">
        <v>3156783</v>
      </c>
      <c r="N1495" s="1" t="s">
        <v>27</v>
      </c>
      <c r="O1495" s="1">
        <f>IF(IFERROR(VLOOKUP(car_price_prediction_[[#This Row],[Car ID]],A1496:A3995,1,FALSE),0),1,0)</f>
        <v>0</v>
      </c>
    </row>
    <row r="1496" spans="1:15" x14ac:dyDescent="0.25">
      <c r="A1496">
        <v>1495</v>
      </c>
      <c r="B1496" s="1" t="s">
        <v>36</v>
      </c>
      <c r="C1496" s="1">
        <f>car_price_prediction_[[#This Row],[Year2]]</f>
        <v>2007</v>
      </c>
      <c r="D1496">
        <v>2007</v>
      </c>
      <c r="E1496">
        <f>car_price_prediction_[[#This Row],[Engine Size]]/10</f>
        <v>5.4</v>
      </c>
      <c r="F1496">
        <v>54</v>
      </c>
      <c r="G1496" s="1" t="s">
        <v>29</v>
      </c>
      <c r="H1496" s="1" t="s">
        <v>22</v>
      </c>
      <c r="I1496" s="12">
        <f>car_price_prediction_[[#This Row],[Mileage]]/1000</f>
        <v>138.05600000000001</v>
      </c>
      <c r="J1496" s="5">
        <v>138056</v>
      </c>
      <c r="K1496" s="1" t="s">
        <v>13</v>
      </c>
      <c r="L1496" s="5">
        <f>car_price_prediction_[[#This Row],[Price]]/100</f>
        <v>62923.78</v>
      </c>
      <c r="M1496">
        <v>6292378</v>
      </c>
      <c r="N1496" s="1" t="s">
        <v>40</v>
      </c>
      <c r="O1496" s="1">
        <f>IF(IFERROR(VLOOKUP(car_price_prediction_[[#This Row],[Car ID]],A1497:A3996,1,FALSE),0),1,0)</f>
        <v>0</v>
      </c>
    </row>
    <row r="1497" spans="1:15" x14ac:dyDescent="0.25">
      <c r="A1497">
        <v>1496</v>
      </c>
      <c r="B1497" s="1" t="s">
        <v>10</v>
      </c>
      <c r="C1497" s="1">
        <f>car_price_prediction_[[#This Row],[Year2]]</f>
        <v>2001</v>
      </c>
      <c r="D1497">
        <v>2001</v>
      </c>
      <c r="E1497">
        <f>car_price_prediction_[[#This Row],[Engine Size]]/10</f>
        <v>1.2</v>
      </c>
      <c r="F1497">
        <v>12</v>
      </c>
      <c r="G1497" s="1" t="s">
        <v>11</v>
      </c>
      <c r="H1497" s="1" t="s">
        <v>12</v>
      </c>
      <c r="I1497" s="12">
        <f>car_price_prediction_[[#This Row],[Mileage]]/1000</f>
        <v>158.65100000000001</v>
      </c>
      <c r="J1497" s="5">
        <v>158651</v>
      </c>
      <c r="K1497" s="1" t="s">
        <v>25</v>
      </c>
      <c r="L1497" s="5">
        <f>car_price_prediction_[[#This Row],[Price]]/100</f>
        <v>70253.37</v>
      </c>
      <c r="M1497">
        <v>7025337</v>
      </c>
      <c r="N1497" s="1" t="s">
        <v>14</v>
      </c>
      <c r="O1497" s="1">
        <f>IF(IFERROR(VLOOKUP(car_price_prediction_[[#This Row],[Car ID]],A1498:A3997,1,FALSE),0),1,0)</f>
        <v>0</v>
      </c>
    </row>
    <row r="1498" spans="1:15" x14ac:dyDescent="0.25">
      <c r="A1498">
        <v>1497</v>
      </c>
      <c r="B1498" s="1" t="s">
        <v>24</v>
      </c>
      <c r="C1498" s="1">
        <f>car_price_prediction_[[#This Row],[Year2]]</f>
        <v>2015</v>
      </c>
      <c r="D1498">
        <v>2015</v>
      </c>
      <c r="E1498">
        <f>car_price_prediction_[[#This Row],[Engine Size]]/10</f>
        <v>2.2000000000000002</v>
      </c>
      <c r="F1498">
        <v>22</v>
      </c>
      <c r="G1498" s="1" t="s">
        <v>11</v>
      </c>
      <c r="H1498" s="1" t="s">
        <v>22</v>
      </c>
      <c r="I1498" s="12">
        <f>car_price_prediction_[[#This Row],[Mileage]]/1000</f>
        <v>234.34700000000001</v>
      </c>
      <c r="J1498" s="5">
        <v>234347</v>
      </c>
      <c r="K1498" s="1" t="s">
        <v>25</v>
      </c>
      <c r="L1498" s="5">
        <f>car_price_prediction_[[#This Row],[Price]]/100</f>
        <v>48632.89</v>
      </c>
      <c r="M1498">
        <v>4863289</v>
      </c>
      <c r="N1498" s="1" t="s">
        <v>53</v>
      </c>
      <c r="O1498" s="1">
        <f>IF(IFERROR(VLOOKUP(car_price_prediction_[[#This Row],[Car ID]],A1499:A3998,1,FALSE),0),1,0)</f>
        <v>0</v>
      </c>
    </row>
    <row r="1499" spans="1:15" x14ac:dyDescent="0.25">
      <c r="A1499">
        <v>1498</v>
      </c>
      <c r="B1499" s="1" t="s">
        <v>24</v>
      </c>
      <c r="C1499" s="1">
        <f>car_price_prediction_[[#This Row],[Year2]]</f>
        <v>2019</v>
      </c>
      <c r="D1499">
        <v>2019</v>
      </c>
      <c r="E1499">
        <f>car_price_prediction_[[#This Row],[Engine Size]]/10</f>
        <v>5.5</v>
      </c>
      <c r="F1499">
        <v>55</v>
      </c>
      <c r="G1499" s="1" t="s">
        <v>11</v>
      </c>
      <c r="H1499" s="1" t="s">
        <v>22</v>
      </c>
      <c r="I1499" s="12">
        <f>car_price_prediction_[[#This Row],[Mileage]]/1000</f>
        <v>186.005</v>
      </c>
      <c r="J1499" s="5">
        <v>186005</v>
      </c>
      <c r="K1499" s="1" t="s">
        <v>17</v>
      </c>
      <c r="L1499" s="5">
        <f>car_price_prediction_[[#This Row],[Price]]/100</f>
        <v>58722.57</v>
      </c>
      <c r="M1499">
        <v>5872257</v>
      </c>
      <c r="N1499" s="1" t="s">
        <v>34</v>
      </c>
      <c r="O1499" s="1">
        <f>IF(IFERROR(VLOOKUP(car_price_prediction_[[#This Row],[Car ID]],A1500:A3999,1,FALSE),0),1,0)</f>
        <v>0</v>
      </c>
    </row>
    <row r="1500" spans="1:15" x14ac:dyDescent="0.25">
      <c r="A1500">
        <v>1499</v>
      </c>
      <c r="B1500" s="1" t="s">
        <v>24</v>
      </c>
      <c r="C1500" s="1">
        <f>car_price_prediction_[[#This Row],[Year2]]</f>
        <v>2023</v>
      </c>
      <c r="D1500">
        <v>2023</v>
      </c>
      <c r="E1500">
        <f>car_price_prediction_[[#This Row],[Engine Size]]/10</f>
        <v>2.2999999999999998</v>
      </c>
      <c r="F1500">
        <v>23</v>
      </c>
      <c r="G1500" s="1" t="s">
        <v>11</v>
      </c>
      <c r="H1500" s="1" t="s">
        <v>22</v>
      </c>
      <c r="I1500" s="12">
        <f>car_price_prediction_[[#This Row],[Mileage]]/1000</f>
        <v>162.553</v>
      </c>
      <c r="J1500" s="5">
        <v>162553</v>
      </c>
      <c r="K1500" s="1" t="s">
        <v>17</v>
      </c>
      <c r="L1500" s="5">
        <f>car_price_prediction_[[#This Row],[Price]]/100</f>
        <v>70936.28</v>
      </c>
      <c r="M1500">
        <v>7093628</v>
      </c>
      <c r="N1500" s="1" t="s">
        <v>34</v>
      </c>
      <c r="O1500" s="1">
        <f>IF(IFERROR(VLOOKUP(car_price_prediction_[[#This Row],[Car ID]],A1501:A4000,1,FALSE),0),1,0)</f>
        <v>0</v>
      </c>
    </row>
    <row r="1501" spans="1:15" x14ac:dyDescent="0.25">
      <c r="A1501">
        <v>1500</v>
      </c>
      <c r="B1501" s="1" t="s">
        <v>36</v>
      </c>
      <c r="C1501" s="1">
        <f>car_price_prediction_[[#This Row],[Year2]]</f>
        <v>2011</v>
      </c>
      <c r="D1501">
        <v>2011</v>
      </c>
      <c r="E1501">
        <f>car_price_prediction_[[#This Row],[Engine Size]]/10</f>
        <v>2.1</v>
      </c>
      <c r="F1501">
        <v>21</v>
      </c>
      <c r="G1501" s="1" t="s">
        <v>21</v>
      </c>
      <c r="H1501" s="1" t="s">
        <v>12</v>
      </c>
      <c r="I1501" s="12">
        <f>car_price_prediction_[[#This Row],[Mileage]]/1000</f>
        <v>0.94399999999999995</v>
      </c>
      <c r="J1501" s="5">
        <v>944</v>
      </c>
      <c r="K1501" s="1" t="s">
        <v>25</v>
      </c>
      <c r="L1501" s="5">
        <f>car_price_prediction_[[#This Row],[Price]]/100</f>
        <v>77932.45</v>
      </c>
      <c r="M1501">
        <v>7793245</v>
      </c>
      <c r="N1501" s="1" t="s">
        <v>40</v>
      </c>
      <c r="O1501" s="1">
        <f>IF(IFERROR(VLOOKUP(car_price_prediction_[[#This Row],[Car ID]],A1502:A4001,1,FALSE),0),1,0)</f>
        <v>0</v>
      </c>
    </row>
    <row r="1502" spans="1:15" x14ac:dyDescent="0.25">
      <c r="A1502">
        <v>1501</v>
      </c>
      <c r="B1502" s="1" t="s">
        <v>36</v>
      </c>
      <c r="C1502" s="1">
        <f>car_price_prediction_[[#This Row],[Year2]]</f>
        <v>2005</v>
      </c>
      <c r="D1502">
        <v>2005</v>
      </c>
      <c r="E1502">
        <f>car_price_prediction_[[#This Row],[Engine Size]]/10</f>
        <v>1.7</v>
      </c>
      <c r="F1502">
        <v>17</v>
      </c>
      <c r="G1502" s="1" t="s">
        <v>11</v>
      </c>
      <c r="H1502" s="1" t="s">
        <v>22</v>
      </c>
      <c r="I1502" s="12">
        <f>car_price_prediction_[[#This Row],[Mileage]]/1000</f>
        <v>93.992999999999995</v>
      </c>
      <c r="J1502" s="5">
        <v>93993</v>
      </c>
      <c r="K1502" s="1" t="s">
        <v>17</v>
      </c>
      <c r="L1502" s="5">
        <f>car_price_prediction_[[#This Row],[Price]]/100</f>
        <v>90079.29</v>
      </c>
      <c r="M1502">
        <v>9007929</v>
      </c>
      <c r="N1502" s="1" t="s">
        <v>46</v>
      </c>
      <c r="O1502" s="1">
        <f>IF(IFERROR(VLOOKUP(car_price_prediction_[[#This Row],[Car ID]],A1503:A4002,1,FALSE),0),1,0)</f>
        <v>0</v>
      </c>
    </row>
    <row r="1503" spans="1:15" x14ac:dyDescent="0.25">
      <c r="A1503">
        <v>1502</v>
      </c>
      <c r="B1503" s="1" t="s">
        <v>19</v>
      </c>
      <c r="C1503" s="1">
        <f>car_price_prediction_[[#This Row],[Year2]]</f>
        <v>2000</v>
      </c>
      <c r="D1503">
        <v>2000</v>
      </c>
      <c r="E1503">
        <f>car_price_prediction_[[#This Row],[Engine Size]]/10</f>
        <v>5.3</v>
      </c>
      <c r="F1503">
        <v>53</v>
      </c>
      <c r="G1503" s="1" t="s">
        <v>11</v>
      </c>
      <c r="H1503" s="1" t="s">
        <v>22</v>
      </c>
      <c r="I1503" s="12">
        <f>car_price_prediction_[[#This Row],[Mileage]]/1000</f>
        <v>271.25799999999998</v>
      </c>
      <c r="J1503" s="5">
        <v>271258</v>
      </c>
      <c r="K1503" s="1" t="s">
        <v>25</v>
      </c>
      <c r="L1503" s="5">
        <f>car_price_prediction_[[#This Row],[Price]]/100</f>
        <v>3868.17</v>
      </c>
      <c r="M1503">
        <v>386817</v>
      </c>
      <c r="N1503" s="1" t="s">
        <v>38</v>
      </c>
      <c r="O1503" s="1">
        <f>IF(IFERROR(VLOOKUP(car_price_prediction_[[#This Row],[Car ID]],A1504:A4003,1,FALSE),0),1,0)</f>
        <v>0</v>
      </c>
    </row>
    <row r="1504" spans="1:15" x14ac:dyDescent="0.25">
      <c r="A1504">
        <v>1503</v>
      </c>
      <c r="B1504" s="1" t="s">
        <v>43</v>
      </c>
      <c r="C1504" s="1">
        <f>car_price_prediction_[[#This Row],[Year2]]</f>
        <v>2003</v>
      </c>
      <c r="D1504">
        <v>2003</v>
      </c>
      <c r="E1504">
        <f>car_price_prediction_[[#This Row],[Engine Size]]/10</f>
        <v>3.5</v>
      </c>
      <c r="F1504">
        <v>35</v>
      </c>
      <c r="G1504" s="1" t="s">
        <v>21</v>
      </c>
      <c r="H1504" s="1" t="s">
        <v>22</v>
      </c>
      <c r="I1504" s="12">
        <f>car_price_prediction_[[#This Row],[Mileage]]/1000</f>
        <v>214.738</v>
      </c>
      <c r="J1504" s="5">
        <v>214738</v>
      </c>
      <c r="K1504" s="1" t="s">
        <v>17</v>
      </c>
      <c r="L1504" s="5">
        <f>car_price_prediction_[[#This Row],[Price]]/100</f>
        <v>95390.34</v>
      </c>
      <c r="M1504">
        <v>9539034</v>
      </c>
      <c r="N1504" s="1" t="s">
        <v>44</v>
      </c>
      <c r="O1504" s="1">
        <f>IF(IFERROR(VLOOKUP(car_price_prediction_[[#This Row],[Car ID]],A1505:A4004,1,FALSE),0),1,0)</f>
        <v>0</v>
      </c>
    </row>
    <row r="1505" spans="1:15" x14ac:dyDescent="0.25">
      <c r="A1505">
        <v>1504</v>
      </c>
      <c r="B1505" s="1" t="s">
        <v>19</v>
      </c>
      <c r="C1505" s="1">
        <f>car_price_prediction_[[#This Row],[Year2]]</f>
        <v>2016</v>
      </c>
      <c r="D1505">
        <v>2016</v>
      </c>
      <c r="E1505">
        <f>car_price_prediction_[[#This Row],[Engine Size]]/10</f>
        <v>4.4000000000000004</v>
      </c>
      <c r="F1505">
        <v>44</v>
      </c>
      <c r="G1505" s="1" t="s">
        <v>21</v>
      </c>
      <c r="H1505" s="1" t="s">
        <v>22</v>
      </c>
      <c r="I1505" s="12">
        <f>car_price_prediction_[[#This Row],[Mileage]]/1000</f>
        <v>208.92</v>
      </c>
      <c r="J1505" s="5">
        <v>208920</v>
      </c>
      <c r="K1505" s="1" t="s">
        <v>13</v>
      </c>
      <c r="L1505" s="5">
        <f>car_price_prediction_[[#This Row],[Price]]/100</f>
        <v>65541.58</v>
      </c>
      <c r="M1505">
        <v>6554158</v>
      </c>
      <c r="N1505" s="1" t="s">
        <v>20</v>
      </c>
      <c r="O1505" s="1">
        <f>IF(IFERROR(VLOOKUP(car_price_prediction_[[#This Row],[Car ID]],A1506:A4005,1,FALSE),0),1,0)</f>
        <v>0</v>
      </c>
    </row>
    <row r="1506" spans="1:15" x14ac:dyDescent="0.25">
      <c r="A1506">
        <v>1505</v>
      </c>
      <c r="B1506" s="1" t="s">
        <v>19</v>
      </c>
      <c r="C1506" s="1">
        <f>car_price_prediction_[[#This Row],[Year2]]</f>
        <v>2012</v>
      </c>
      <c r="D1506">
        <v>2012</v>
      </c>
      <c r="E1506">
        <f>car_price_prediction_[[#This Row],[Engine Size]]/10</f>
        <v>2.2000000000000002</v>
      </c>
      <c r="F1506">
        <v>22</v>
      </c>
      <c r="G1506" s="1" t="s">
        <v>29</v>
      </c>
      <c r="H1506" s="1" t="s">
        <v>12</v>
      </c>
      <c r="I1506" s="12">
        <f>car_price_prediction_[[#This Row],[Mileage]]/1000</f>
        <v>256.80500000000001</v>
      </c>
      <c r="J1506" s="5">
        <v>256805</v>
      </c>
      <c r="K1506" s="1" t="s">
        <v>13</v>
      </c>
      <c r="L1506" s="5">
        <f>car_price_prediction_[[#This Row],[Price]]/100</f>
        <v>79831.679999999993</v>
      </c>
      <c r="M1506">
        <v>7983168</v>
      </c>
      <c r="N1506" s="1" t="s">
        <v>38</v>
      </c>
      <c r="O1506" s="1">
        <f>IF(IFERROR(VLOOKUP(car_price_prediction_[[#This Row],[Car ID]],A1507:A4006,1,FALSE),0),1,0)</f>
        <v>0</v>
      </c>
    </row>
    <row r="1507" spans="1:15" x14ac:dyDescent="0.25">
      <c r="A1507">
        <v>1506</v>
      </c>
      <c r="B1507" s="1" t="s">
        <v>36</v>
      </c>
      <c r="C1507" s="1">
        <f>car_price_prediction_[[#This Row],[Year2]]</f>
        <v>2017</v>
      </c>
      <c r="D1507">
        <v>2017</v>
      </c>
      <c r="E1507">
        <f>car_price_prediction_[[#This Row],[Engine Size]]/10</f>
        <v>4.8</v>
      </c>
      <c r="F1507">
        <v>48</v>
      </c>
      <c r="G1507" s="1" t="s">
        <v>16</v>
      </c>
      <c r="H1507" s="1" t="s">
        <v>22</v>
      </c>
      <c r="I1507" s="12">
        <f>car_price_prediction_[[#This Row],[Mileage]]/1000</f>
        <v>294.74</v>
      </c>
      <c r="J1507" s="5">
        <v>294740</v>
      </c>
      <c r="K1507" s="1" t="s">
        <v>25</v>
      </c>
      <c r="L1507" s="5">
        <f>car_price_prediction_[[#This Row],[Price]]/100</f>
        <v>71478.06</v>
      </c>
      <c r="M1507">
        <v>7147806</v>
      </c>
      <c r="N1507" s="1" t="s">
        <v>46</v>
      </c>
      <c r="O1507" s="1">
        <f>IF(IFERROR(VLOOKUP(car_price_prediction_[[#This Row],[Car ID]],A1508:A4007,1,FALSE),0),1,0)</f>
        <v>0</v>
      </c>
    </row>
    <row r="1508" spans="1:15" x14ac:dyDescent="0.25">
      <c r="A1508">
        <v>1507</v>
      </c>
      <c r="B1508" s="1" t="s">
        <v>24</v>
      </c>
      <c r="C1508" s="1">
        <f>car_price_prediction_[[#This Row],[Year2]]</f>
        <v>2004</v>
      </c>
      <c r="D1508">
        <v>2004</v>
      </c>
      <c r="E1508">
        <f>car_price_prediction_[[#This Row],[Engine Size]]/10</f>
        <v>4.8</v>
      </c>
      <c r="F1508">
        <v>48</v>
      </c>
      <c r="G1508" s="1" t="s">
        <v>11</v>
      </c>
      <c r="H1508" s="1" t="s">
        <v>22</v>
      </c>
      <c r="I1508" s="12">
        <f>car_price_prediction_[[#This Row],[Mileage]]/1000</f>
        <v>104.087</v>
      </c>
      <c r="J1508" s="5">
        <v>104087</v>
      </c>
      <c r="K1508" s="1" t="s">
        <v>25</v>
      </c>
      <c r="L1508" s="5">
        <f>car_price_prediction_[[#This Row],[Price]]/100</f>
        <v>24529.31</v>
      </c>
      <c r="M1508">
        <v>2452931</v>
      </c>
      <c r="N1508" s="1" t="s">
        <v>53</v>
      </c>
      <c r="O1508" s="1">
        <f>IF(IFERROR(VLOOKUP(car_price_prediction_[[#This Row],[Car ID]],A1509:A4008,1,FALSE),0),1,0)</f>
        <v>0</v>
      </c>
    </row>
    <row r="1509" spans="1:15" x14ac:dyDescent="0.25">
      <c r="A1509">
        <v>1508</v>
      </c>
      <c r="B1509" s="1" t="s">
        <v>30</v>
      </c>
      <c r="C1509" s="1">
        <f>car_price_prediction_[[#This Row],[Year2]]</f>
        <v>2023</v>
      </c>
      <c r="D1509">
        <v>2023</v>
      </c>
      <c r="E1509">
        <f>car_price_prediction_[[#This Row],[Engine Size]]/10</f>
        <v>2.6</v>
      </c>
      <c r="F1509">
        <v>26</v>
      </c>
      <c r="G1509" s="1" t="s">
        <v>11</v>
      </c>
      <c r="H1509" s="1" t="s">
        <v>22</v>
      </c>
      <c r="I1509" s="12">
        <f>car_price_prediction_[[#This Row],[Mileage]]/1000</f>
        <v>269.05099999999999</v>
      </c>
      <c r="J1509" s="5">
        <v>269051</v>
      </c>
      <c r="K1509" s="1" t="s">
        <v>13</v>
      </c>
      <c r="L1509" s="5">
        <f>car_price_prediction_[[#This Row],[Price]]/100</f>
        <v>11786.65</v>
      </c>
      <c r="M1509">
        <v>1178665</v>
      </c>
      <c r="N1509" s="1" t="s">
        <v>48</v>
      </c>
      <c r="O1509" s="1">
        <f>IF(IFERROR(VLOOKUP(car_price_prediction_[[#This Row],[Car ID]],A1510:A4009,1,FALSE),0),1,0)</f>
        <v>0</v>
      </c>
    </row>
    <row r="1510" spans="1:15" x14ac:dyDescent="0.25">
      <c r="A1510">
        <v>1509</v>
      </c>
      <c r="B1510" s="1" t="s">
        <v>43</v>
      </c>
      <c r="C1510" s="1">
        <f>car_price_prediction_[[#This Row],[Year2]]</f>
        <v>2023</v>
      </c>
      <c r="D1510">
        <v>2023</v>
      </c>
      <c r="E1510">
        <f>car_price_prediction_[[#This Row],[Engine Size]]/10</f>
        <v>3.1</v>
      </c>
      <c r="F1510">
        <v>31</v>
      </c>
      <c r="G1510" s="1" t="s">
        <v>11</v>
      </c>
      <c r="H1510" s="1" t="s">
        <v>22</v>
      </c>
      <c r="I1510" s="12">
        <f>car_price_prediction_[[#This Row],[Mileage]]/1000</f>
        <v>255.035</v>
      </c>
      <c r="J1510" s="5">
        <v>255035</v>
      </c>
      <c r="K1510" s="1" t="s">
        <v>13</v>
      </c>
      <c r="L1510" s="5">
        <f>car_price_prediction_[[#This Row],[Price]]/100</f>
        <v>73997.210000000006</v>
      </c>
      <c r="M1510">
        <v>7399721</v>
      </c>
      <c r="N1510" s="1" t="s">
        <v>47</v>
      </c>
      <c r="O1510" s="1">
        <f>IF(IFERROR(VLOOKUP(car_price_prediction_[[#This Row],[Car ID]],A1511:A4010,1,FALSE),0),1,0)</f>
        <v>0</v>
      </c>
    </row>
    <row r="1511" spans="1:15" x14ac:dyDescent="0.25">
      <c r="A1511">
        <v>1510</v>
      </c>
      <c r="B1511" s="1" t="s">
        <v>36</v>
      </c>
      <c r="C1511" s="1">
        <f>car_price_prediction_[[#This Row],[Year2]]</f>
        <v>2002</v>
      </c>
      <c r="D1511">
        <v>2002</v>
      </c>
      <c r="E1511">
        <f>car_price_prediction_[[#This Row],[Engine Size]]/10</f>
        <v>2</v>
      </c>
      <c r="F1511">
        <v>20</v>
      </c>
      <c r="G1511" s="1" t="s">
        <v>29</v>
      </c>
      <c r="H1511" s="1" t="s">
        <v>12</v>
      </c>
      <c r="I1511" s="12">
        <f>car_price_prediction_[[#This Row],[Mileage]]/1000</f>
        <v>159.18600000000001</v>
      </c>
      <c r="J1511" s="5">
        <v>159186</v>
      </c>
      <c r="K1511" s="1" t="s">
        <v>17</v>
      </c>
      <c r="L1511" s="5">
        <f>car_price_prediction_[[#This Row],[Price]]/100</f>
        <v>5355</v>
      </c>
      <c r="M1511">
        <v>535500</v>
      </c>
      <c r="N1511" s="1" t="s">
        <v>40</v>
      </c>
      <c r="O1511" s="1">
        <f>IF(IFERROR(VLOOKUP(car_price_prediction_[[#This Row],[Car ID]],A1512:A4011,1,FALSE),0),1,0)</f>
        <v>0</v>
      </c>
    </row>
    <row r="1512" spans="1:15" x14ac:dyDescent="0.25">
      <c r="A1512">
        <v>1511</v>
      </c>
      <c r="B1512" s="1" t="s">
        <v>24</v>
      </c>
      <c r="C1512" s="1">
        <f>car_price_prediction_[[#This Row],[Year2]]</f>
        <v>2010</v>
      </c>
      <c r="D1512">
        <v>2010</v>
      </c>
      <c r="E1512">
        <f>car_price_prediction_[[#This Row],[Engine Size]]/10</f>
        <v>5.9</v>
      </c>
      <c r="F1512">
        <v>59</v>
      </c>
      <c r="G1512" s="1" t="s">
        <v>11</v>
      </c>
      <c r="H1512" s="1" t="s">
        <v>22</v>
      </c>
      <c r="I1512" s="12">
        <f>car_price_prediction_[[#This Row],[Mileage]]/1000</f>
        <v>287.15300000000002</v>
      </c>
      <c r="J1512" s="5">
        <v>287153</v>
      </c>
      <c r="K1512" s="1" t="s">
        <v>25</v>
      </c>
      <c r="L1512" s="5">
        <f>car_price_prediction_[[#This Row],[Price]]/100</f>
        <v>71710.27</v>
      </c>
      <c r="M1512">
        <v>7171027</v>
      </c>
      <c r="N1512" s="1" t="s">
        <v>32</v>
      </c>
      <c r="O1512" s="1">
        <f>IF(IFERROR(VLOOKUP(car_price_prediction_[[#This Row],[Car ID]],A1513:A4012,1,FALSE),0),1,0)</f>
        <v>0</v>
      </c>
    </row>
    <row r="1513" spans="1:15" x14ac:dyDescent="0.25">
      <c r="A1513">
        <v>1512</v>
      </c>
      <c r="B1513" s="1" t="s">
        <v>10</v>
      </c>
      <c r="C1513" s="1">
        <f>car_price_prediction_[[#This Row],[Year2]]</f>
        <v>2012</v>
      </c>
      <c r="D1513">
        <v>2012</v>
      </c>
      <c r="E1513">
        <f>car_price_prediction_[[#This Row],[Engine Size]]/10</f>
        <v>4.2</v>
      </c>
      <c r="F1513">
        <v>42</v>
      </c>
      <c r="G1513" s="1" t="s">
        <v>16</v>
      </c>
      <c r="H1513" s="1" t="s">
        <v>22</v>
      </c>
      <c r="I1513" s="12">
        <f>car_price_prediction_[[#This Row],[Mileage]]/1000</f>
        <v>166.797</v>
      </c>
      <c r="J1513" s="5">
        <v>166797</v>
      </c>
      <c r="K1513" s="1" t="s">
        <v>13</v>
      </c>
      <c r="L1513" s="5">
        <f>car_price_prediction_[[#This Row],[Price]]/100</f>
        <v>50300.07</v>
      </c>
      <c r="M1513">
        <v>5030007</v>
      </c>
      <c r="N1513" s="1" t="s">
        <v>49</v>
      </c>
      <c r="O1513" s="1">
        <f>IF(IFERROR(VLOOKUP(car_price_prediction_[[#This Row],[Car ID]],A1514:A4013,1,FALSE),0),1,0)</f>
        <v>0</v>
      </c>
    </row>
    <row r="1514" spans="1:15" x14ac:dyDescent="0.25">
      <c r="A1514">
        <v>1513</v>
      </c>
      <c r="B1514" s="1" t="s">
        <v>30</v>
      </c>
      <c r="C1514" s="1">
        <f>car_price_prediction_[[#This Row],[Year2]]</f>
        <v>2003</v>
      </c>
      <c r="D1514">
        <v>2003</v>
      </c>
      <c r="E1514">
        <f>car_price_prediction_[[#This Row],[Engine Size]]/10</f>
        <v>5.7</v>
      </c>
      <c r="F1514">
        <v>57</v>
      </c>
      <c r="G1514" s="1" t="s">
        <v>21</v>
      </c>
      <c r="H1514" s="1" t="s">
        <v>22</v>
      </c>
      <c r="I1514" s="12">
        <f>car_price_prediction_[[#This Row],[Mileage]]/1000</f>
        <v>281.14</v>
      </c>
      <c r="J1514" s="5">
        <v>281140</v>
      </c>
      <c r="K1514" s="1" t="s">
        <v>13</v>
      </c>
      <c r="L1514" s="5">
        <f>car_price_prediction_[[#This Row],[Price]]/100</f>
        <v>34662.28</v>
      </c>
      <c r="M1514">
        <v>3466228</v>
      </c>
      <c r="N1514" s="1" t="s">
        <v>31</v>
      </c>
      <c r="O1514" s="1">
        <f>IF(IFERROR(VLOOKUP(car_price_prediction_[[#This Row],[Car ID]],A1515:A4014,1,FALSE),0),1,0)</f>
        <v>0</v>
      </c>
    </row>
    <row r="1515" spans="1:15" x14ac:dyDescent="0.25">
      <c r="A1515">
        <v>1514</v>
      </c>
      <c r="B1515" s="1" t="s">
        <v>30</v>
      </c>
      <c r="C1515" s="1">
        <f>car_price_prediction_[[#This Row],[Year2]]</f>
        <v>2013</v>
      </c>
      <c r="D1515">
        <v>2013</v>
      </c>
      <c r="E1515">
        <f>car_price_prediction_[[#This Row],[Engine Size]]/10</f>
        <v>2.5</v>
      </c>
      <c r="F1515">
        <v>25</v>
      </c>
      <c r="G1515" s="1" t="s">
        <v>29</v>
      </c>
      <c r="H1515" s="1" t="s">
        <v>22</v>
      </c>
      <c r="I1515" s="12">
        <f>car_price_prediction_[[#This Row],[Mileage]]/1000</f>
        <v>290.911</v>
      </c>
      <c r="J1515" s="5">
        <v>290911</v>
      </c>
      <c r="K1515" s="1" t="s">
        <v>25</v>
      </c>
      <c r="L1515" s="5">
        <f>car_price_prediction_[[#This Row],[Price]]/100</f>
        <v>3207.67</v>
      </c>
      <c r="M1515">
        <v>320767</v>
      </c>
      <c r="N1515" s="1" t="s">
        <v>45</v>
      </c>
      <c r="O1515" s="1">
        <f>IF(IFERROR(VLOOKUP(car_price_prediction_[[#This Row],[Car ID]],A1516:A4015,1,FALSE),0),1,0)</f>
        <v>0</v>
      </c>
    </row>
    <row r="1516" spans="1:15" x14ac:dyDescent="0.25">
      <c r="A1516">
        <v>1515</v>
      </c>
      <c r="B1516" s="1" t="s">
        <v>36</v>
      </c>
      <c r="C1516" s="1">
        <f>car_price_prediction_[[#This Row],[Year2]]</f>
        <v>2021</v>
      </c>
      <c r="D1516">
        <v>2021</v>
      </c>
      <c r="E1516">
        <f>car_price_prediction_[[#This Row],[Engine Size]]/10</f>
        <v>4.9000000000000004</v>
      </c>
      <c r="F1516">
        <v>49</v>
      </c>
      <c r="G1516" s="1" t="s">
        <v>21</v>
      </c>
      <c r="H1516" s="1" t="s">
        <v>22</v>
      </c>
      <c r="I1516" s="12">
        <f>car_price_prediction_[[#This Row],[Mileage]]/1000</f>
        <v>278.49099999999999</v>
      </c>
      <c r="J1516" s="5">
        <v>278491</v>
      </c>
      <c r="K1516" s="1" t="s">
        <v>17</v>
      </c>
      <c r="L1516" s="5">
        <f>car_price_prediction_[[#This Row],[Price]]/100</f>
        <v>74400.55</v>
      </c>
      <c r="M1516">
        <v>7440055</v>
      </c>
      <c r="N1516" s="1" t="s">
        <v>46</v>
      </c>
      <c r="O1516" s="1">
        <f>IF(IFERROR(VLOOKUP(car_price_prediction_[[#This Row],[Car ID]],A1517:A4016,1,FALSE),0),1,0)</f>
        <v>0</v>
      </c>
    </row>
    <row r="1517" spans="1:15" x14ac:dyDescent="0.25">
      <c r="A1517">
        <v>1516</v>
      </c>
      <c r="B1517" s="1" t="s">
        <v>15</v>
      </c>
      <c r="C1517" s="1">
        <f>car_price_prediction_[[#This Row],[Year2]]</f>
        <v>2010</v>
      </c>
      <c r="D1517">
        <v>2010</v>
      </c>
      <c r="E1517">
        <f>car_price_prediction_[[#This Row],[Engine Size]]/10</f>
        <v>4.8</v>
      </c>
      <c r="F1517">
        <v>48</v>
      </c>
      <c r="G1517" s="1" t="s">
        <v>11</v>
      </c>
      <c r="H1517" s="1" t="s">
        <v>22</v>
      </c>
      <c r="I1517" s="12">
        <f>car_price_prediction_[[#This Row],[Mileage]]/1000</f>
        <v>102.063</v>
      </c>
      <c r="J1517" s="5">
        <v>102063</v>
      </c>
      <c r="K1517" s="1" t="s">
        <v>17</v>
      </c>
      <c r="L1517" s="5">
        <f>car_price_prediction_[[#This Row],[Price]]/100</f>
        <v>31294.11</v>
      </c>
      <c r="M1517">
        <v>3129411</v>
      </c>
      <c r="N1517" s="1" t="s">
        <v>35</v>
      </c>
      <c r="O1517" s="1">
        <f>IF(IFERROR(VLOOKUP(car_price_prediction_[[#This Row],[Car ID]],A1518:A4017,1,FALSE),0),1,0)</f>
        <v>0</v>
      </c>
    </row>
    <row r="1518" spans="1:15" x14ac:dyDescent="0.25">
      <c r="A1518">
        <v>1517</v>
      </c>
      <c r="B1518" s="1" t="s">
        <v>43</v>
      </c>
      <c r="C1518" s="1">
        <f>car_price_prediction_[[#This Row],[Year2]]</f>
        <v>2009</v>
      </c>
      <c r="D1518">
        <v>2009</v>
      </c>
      <c r="E1518">
        <f>car_price_prediction_[[#This Row],[Engine Size]]/10</f>
        <v>4.5</v>
      </c>
      <c r="F1518">
        <v>45</v>
      </c>
      <c r="G1518" s="1" t="s">
        <v>11</v>
      </c>
      <c r="H1518" s="1" t="s">
        <v>12</v>
      </c>
      <c r="I1518" s="12">
        <f>car_price_prediction_[[#This Row],[Mileage]]/1000</f>
        <v>24.102</v>
      </c>
      <c r="J1518" s="5">
        <v>24102</v>
      </c>
      <c r="K1518" s="1" t="s">
        <v>17</v>
      </c>
      <c r="L1518" s="5">
        <f>car_price_prediction_[[#This Row],[Price]]/100</f>
        <v>7289.43</v>
      </c>
      <c r="M1518">
        <v>728943</v>
      </c>
      <c r="N1518" s="1" t="s">
        <v>50</v>
      </c>
      <c r="O1518" s="1">
        <f>IF(IFERROR(VLOOKUP(car_price_prediction_[[#This Row],[Car ID]],A1519:A4018,1,FALSE),0),1,0)</f>
        <v>0</v>
      </c>
    </row>
    <row r="1519" spans="1:15" x14ac:dyDescent="0.25">
      <c r="A1519">
        <v>1518</v>
      </c>
      <c r="B1519" s="1" t="s">
        <v>30</v>
      </c>
      <c r="C1519" s="1">
        <f>car_price_prediction_[[#This Row],[Year2]]</f>
        <v>2018</v>
      </c>
      <c r="D1519">
        <v>2018</v>
      </c>
      <c r="E1519">
        <f>car_price_prediction_[[#This Row],[Engine Size]]/10</f>
        <v>5.8</v>
      </c>
      <c r="F1519">
        <v>58</v>
      </c>
      <c r="G1519" s="1" t="s">
        <v>11</v>
      </c>
      <c r="H1519" s="1" t="s">
        <v>22</v>
      </c>
      <c r="I1519" s="12">
        <f>car_price_prediction_[[#This Row],[Mileage]]/1000</f>
        <v>4.2629999999999999</v>
      </c>
      <c r="J1519" s="5">
        <v>4263</v>
      </c>
      <c r="K1519" s="1" t="s">
        <v>17</v>
      </c>
      <c r="L1519" s="5">
        <f>car_price_prediction_[[#This Row],[Price]]/100</f>
        <v>41476.21</v>
      </c>
      <c r="M1519">
        <v>4147621</v>
      </c>
      <c r="N1519" s="1" t="s">
        <v>31</v>
      </c>
      <c r="O1519" s="1">
        <f>IF(IFERROR(VLOOKUP(car_price_prediction_[[#This Row],[Car ID]],A1520:A4019,1,FALSE),0),1,0)</f>
        <v>0</v>
      </c>
    </row>
    <row r="1520" spans="1:15" x14ac:dyDescent="0.25">
      <c r="A1520">
        <v>1519</v>
      </c>
      <c r="B1520" s="1" t="s">
        <v>36</v>
      </c>
      <c r="C1520" s="1">
        <f>car_price_prediction_[[#This Row],[Year2]]</f>
        <v>2017</v>
      </c>
      <c r="D1520">
        <v>2017</v>
      </c>
      <c r="E1520">
        <f>car_price_prediction_[[#This Row],[Engine Size]]/10</f>
        <v>3</v>
      </c>
      <c r="F1520">
        <v>30</v>
      </c>
      <c r="G1520" s="1" t="s">
        <v>16</v>
      </c>
      <c r="H1520" s="1" t="s">
        <v>12</v>
      </c>
      <c r="I1520" s="12">
        <f>car_price_prediction_[[#This Row],[Mileage]]/1000</f>
        <v>67.438000000000002</v>
      </c>
      <c r="J1520" s="5">
        <v>67438</v>
      </c>
      <c r="K1520" s="1" t="s">
        <v>13</v>
      </c>
      <c r="L1520" s="5">
        <f>car_price_prediction_[[#This Row],[Price]]/100</f>
        <v>78235.350000000006</v>
      </c>
      <c r="M1520">
        <v>7823535</v>
      </c>
      <c r="N1520" s="1" t="s">
        <v>46</v>
      </c>
      <c r="O1520" s="1">
        <f>IF(IFERROR(VLOOKUP(car_price_prediction_[[#This Row],[Car ID]],A1521:A4020,1,FALSE),0),1,0)</f>
        <v>0</v>
      </c>
    </row>
    <row r="1521" spans="1:15" x14ac:dyDescent="0.25">
      <c r="A1521">
        <v>1520</v>
      </c>
      <c r="B1521" s="1" t="s">
        <v>36</v>
      </c>
      <c r="C1521" s="1">
        <f>car_price_prediction_[[#This Row],[Year2]]</f>
        <v>2005</v>
      </c>
      <c r="D1521">
        <v>2005</v>
      </c>
      <c r="E1521">
        <f>car_price_prediction_[[#This Row],[Engine Size]]/10</f>
        <v>1.7</v>
      </c>
      <c r="F1521">
        <v>17</v>
      </c>
      <c r="G1521" s="1" t="s">
        <v>16</v>
      </c>
      <c r="H1521" s="1" t="s">
        <v>12</v>
      </c>
      <c r="I1521" s="12">
        <f>car_price_prediction_[[#This Row],[Mileage]]/1000</f>
        <v>96.358999999999995</v>
      </c>
      <c r="J1521" s="5">
        <v>96359</v>
      </c>
      <c r="K1521" s="1" t="s">
        <v>25</v>
      </c>
      <c r="L1521" s="5">
        <f>car_price_prediction_[[#This Row],[Price]]/100</f>
        <v>18566.939999999999</v>
      </c>
      <c r="M1521">
        <v>1856694</v>
      </c>
      <c r="N1521" s="1" t="s">
        <v>37</v>
      </c>
      <c r="O1521" s="1">
        <f>IF(IFERROR(VLOOKUP(car_price_prediction_[[#This Row],[Car ID]],A1522:A4021,1,FALSE),0),1,0)</f>
        <v>0</v>
      </c>
    </row>
    <row r="1522" spans="1:15" x14ac:dyDescent="0.25">
      <c r="A1522">
        <v>1521</v>
      </c>
      <c r="B1522" s="1" t="s">
        <v>24</v>
      </c>
      <c r="C1522" s="1">
        <f>car_price_prediction_[[#This Row],[Year2]]</f>
        <v>2014</v>
      </c>
      <c r="D1522">
        <v>2014</v>
      </c>
      <c r="E1522">
        <f>car_price_prediction_[[#This Row],[Engine Size]]/10</f>
        <v>4.4000000000000004</v>
      </c>
      <c r="F1522">
        <v>44</v>
      </c>
      <c r="G1522" s="1" t="s">
        <v>29</v>
      </c>
      <c r="H1522" s="1" t="s">
        <v>22</v>
      </c>
      <c r="I1522" s="12">
        <f>car_price_prediction_[[#This Row],[Mileage]]/1000</f>
        <v>130.251</v>
      </c>
      <c r="J1522" s="5">
        <v>130251</v>
      </c>
      <c r="K1522" s="1" t="s">
        <v>25</v>
      </c>
      <c r="L1522" s="5">
        <f>car_price_prediction_[[#This Row],[Price]]/100</f>
        <v>24473.09</v>
      </c>
      <c r="M1522">
        <v>2447309</v>
      </c>
      <c r="N1522" s="1" t="s">
        <v>26</v>
      </c>
      <c r="O1522" s="1">
        <f>IF(IFERROR(VLOOKUP(car_price_prediction_[[#This Row],[Car ID]],A1523:A4022,1,FALSE),0),1,0)</f>
        <v>0</v>
      </c>
    </row>
    <row r="1523" spans="1:15" x14ac:dyDescent="0.25">
      <c r="A1523">
        <v>1522</v>
      </c>
      <c r="B1523" s="1" t="s">
        <v>10</v>
      </c>
      <c r="C1523" s="1">
        <f>car_price_prediction_[[#This Row],[Year2]]</f>
        <v>2020</v>
      </c>
      <c r="D1523">
        <v>2020</v>
      </c>
      <c r="E1523">
        <f>car_price_prediction_[[#This Row],[Engine Size]]/10</f>
        <v>4.5999999999999996</v>
      </c>
      <c r="F1523">
        <v>46</v>
      </c>
      <c r="G1523" s="1" t="s">
        <v>21</v>
      </c>
      <c r="H1523" s="1" t="s">
        <v>12</v>
      </c>
      <c r="I1523" s="12">
        <f>car_price_prediction_[[#This Row],[Mileage]]/1000</f>
        <v>171.91499999999999</v>
      </c>
      <c r="J1523" s="5">
        <v>171915</v>
      </c>
      <c r="K1523" s="1" t="s">
        <v>13</v>
      </c>
      <c r="L1523" s="5">
        <f>car_price_prediction_[[#This Row],[Price]]/100</f>
        <v>7016.16</v>
      </c>
      <c r="M1523">
        <v>701616</v>
      </c>
      <c r="N1523" s="1" t="s">
        <v>49</v>
      </c>
      <c r="O1523" s="1">
        <f>IF(IFERROR(VLOOKUP(car_price_prediction_[[#This Row],[Car ID]],A1524:A4023,1,FALSE),0),1,0)</f>
        <v>0</v>
      </c>
    </row>
    <row r="1524" spans="1:15" x14ac:dyDescent="0.25">
      <c r="A1524">
        <v>1523</v>
      </c>
      <c r="B1524" s="1" t="s">
        <v>15</v>
      </c>
      <c r="C1524" s="1">
        <f>car_price_prediction_[[#This Row],[Year2]]</f>
        <v>2009</v>
      </c>
      <c r="D1524">
        <v>2009</v>
      </c>
      <c r="E1524">
        <f>car_price_prediction_[[#This Row],[Engine Size]]/10</f>
        <v>3.9</v>
      </c>
      <c r="F1524">
        <v>39</v>
      </c>
      <c r="G1524" s="1" t="s">
        <v>11</v>
      </c>
      <c r="H1524" s="1" t="s">
        <v>22</v>
      </c>
      <c r="I1524" s="12">
        <f>car_price_prediction_[[#This Row],[Mileage]]/1000</f>
        <v>27.69</v>
      </c>
      <c r="J1524" s="5">
        <v>27690</v>
      </c>
      <c r="K1524" s="1" t="s">
        <v>13</v>
      </c>
      <c r="L1524" s="5">
        <f>car_price_prediction_[[#This Row],[Price]]/100</f>
        <v>58221.96</v>
      </c>
      <c r="M1524">
        <v>5822196</v>
      </c>
      <c r="N1524" s="1" t="s">
        <v>35</v>
      </c>
      <c r="O1524" s="1">
        <f>IF(IFERROR(VLOOKUP(car_price_prediction_[[#This Row],[Car ID]],A1525:A4024,1,FALSE),0),1,0)</f>
        <v>0</v>
      </c>
    </row>
    <row r="1525" spans="1:15" x14ac:dyDescent="0.25">
      <c r="A1525">
        <v>1524</v>
      </c>
      <c r="B1525" s="1" t="s">
        <v>43</v>
      </c>
      <c r="C1525" s="1">
        <f>car_price_prediction_[[#This Row],[Year2]]</f>
        <v>2004</v>
      </c>
      <c r="D1525">
        <v>2004</v>
      </c>
      <c r="E1525">
        <f>car_price_prediction_[[#This Row],[Engine Size]]/10</f>
        <v>2</v>
      </c>
      <c r="F1525">
        <v>20</v>
      </c>
      <c r="G1525" s="1" t="s">
        <v>11</v>
      </c>
      <c r="H1525" s="1" t="s">
        <v>12</v>
      </c>
      <c r="I1525" s="12">
        <f>car_price_prediction_[[#This Row],[Mileage]]/1000</f>
        <v>2.9940000000000002</v>
      </c>
      <c r="J1525" s="5">
        <v>2994</v>
      </c>
      <c r="K1525" s="1" t="s">
        <v>13</v>
      </c>
      <c r="L1525" s="5">
        <f>car_price_prediction_[[#This Row],[Price]]/100</f>
        <v>24368.44</v>
      </c>
      <c r="M1525">
        <v>2436844</v>
      </c>
      <c r="N1525" s="1" t="s">
        <v>47</v>
      </c>
      <c r="O1525" s="1">
        <f>IF(IFERROR(VLOOKUP(car_price_prediction_[[#This Row],[Car ID]],A1526:A4025,1,FALSE),0),1,0)</f>
        <v>0</v>
      </c>
    </row>
    <row r="1526" spans="1:15" x14ac:dyDescent="0.25">
      <c r="A1526">
        <v>1525</v>
      </c>
      <c r="B1526" s="1" t="s">
        <v>19</v>
      </c>
      <c r="C1526" s="1">
        <f>car_price_prediction_[[#This Row],[Year2]]</f>
        <v>2004</v>
      </c>
      <c r="D1526">
        <v>2004</v>
      </c>
      <c r="E1526">
        <f>car_price_prediction_[[#This Row],[Engine Size]]/10</f>
        <v>3.5</v>
      </c>
      <c r="F1526">
        <v>35</v>
      </c>
      <c r="G1526" s="1" t="s">
        <v>11</v>
      </c>
      <c r="H1526" s="1" t="s">
        <v>22</v>
      </c>
      <c r="I1526" s="12">
        <f>car_price_prediction_[[#This Row],[Mileage]]/1000</f>
        <v>103.533</v>
      </c>
      <c r="J1526" s="5">
        <v>103533</v>
      </c>
      <c r="K1526" s="1" t="s">
        <v>25</v>
      </c>
      <c r="L1526" s="5">
        <f>car_price_prediction_[[#This Row],[Price]]/100</f>
        <v>90768.57</v>
      </c>
      <c r="M1526">
        <v>9076857</v>
      </c>
      <c r="N1526" s="1" t="s">
        <v>28</v>
      </c>
      <c r="O1526" s="1">
        <f>IF(IFERROR(VLOOKUP(car_price_prediction_[[#This Row],[Car ID]],A1527:A4026,1,FALSE),0),1,0)</f>
        <v>0</v>
      </c>
    </row>
    <row r="1527" spans="1:15" x14ac:dyDescent="0.25">
      <c r="A1527">
        <v>1526</v>
      </c>
      <c r="B1527" s="1" t="s">
        <v>10</v>
      </c>
      <c r="C1527" s="1">
        <f>car_price_prediction_[[#This Row],[Year2]]</f>
        <v>2009</v>
      </c>
      <c r="D1527">
        <v>2009</v>
      </c>
      <c r="E1527">
        <f>car_price_prediction_[[#This Row],[Engine Size]]/10</f>
        <v>2.6</v>
      </c>
      <c r="F1527">
        <v>26</v>
      </c>
      <c r="G1527" s="1" t="s">
        <v>11</v>
      </c>
      <c r="H1527" s="1" t="s">
        <v>12</v>
      </c>
      <c r="I1527" s="12">
        <f>car_price_prediction_[[#This Row],[Mileage]]/1000</f>
        <v>67.546000000000006</v>
      </c>
      <c r="J1527" s="5">
        <v>67546</v>
      </c>
      <c r="K1527" s="1" t="s">
        <v>25</v>
      </c>
      <c r="L1527" s="5">
        <f>car_price_prediction_[[#This Row],[Price]]/100</f>
        <v>31214.69</v>
      </c>
      <c r="M1527">
        <v>3121469</v>
      </c>
      <c r="N1527" s="1" t="s">
        <v>33</v>
      </c>
      <c r="O1527" s="1">
        <f>IF(IFERROR(VLOOKUP(car_price_prediction_[[#This Row],[Car ID]],A1528:A4027,1,FALSE),0),1,0)</f>
        <v>0</v>
      </c>
    </row>
    <row r="1528" spans="1:15" x14ac:dyDescent="0.25">
      <c r="A1528">
        <v>1527</v>
      </c>
      <c r="B1528" s="1" t="s">
        <v>10</v>
      </c>
      <c r="C1528" s="1">
        <f>car_price_prediction_[[#This Row],[Year2]]</f>
        <v>2004</v>
      </c>
      <c r="D1528">
        <v>2004</v>
      </c>
      <c r="E1528">
        <f>car_price_prediction_[[#This Row],[Engine Size]]/10</f>
        <v>3.1</v>
      </c>
      <c r="F1528">
        <v>31</v>
      </c>
      <c r="G1528" s="1" t="s">
        <v>16</v>
      </c>
      <c r="H1528" s="1" t="s">
        <v>12</v>
      </c>
      <c r="I1528" s="12">
        <f>car_price_prediction_[[#This Row],[Mileage]]/1000</f>
        <v>26.466999999999999</v>
      </c>
      <c r="J1528" s="5">
        <v>26467</v>
      </c>
      <c r="K1528" s="1" t="s">
        <v>25</v>
      </c>
      <c r="L1528" s="5">
        <f>car_price_prediction_[[#This Row],[Price]]/100</f>
        <v>45001.78</v>
      </c>
      <c r="M1528">
        <v>4500178</v>
      </c>
      <c r="N1528" s="1" t="s">
        <v>14</v>
      </c>
      <c r="O1528" s="1">
        <f>IF(IFERROR(VLOOKUP(car_price_prediction_[[#This Row],[Car ID]],A1529:A4028,1,FALSE),0),1,0)</f>
        <v>0</v>
      </c>
    </row>
    <row r="1529" spans="1:15" x14ac:dyDescent="0.25">
      <c r="A1529">
        <v>1528</v>
      </c>
      <c r="B1529" s="1" t="s">
        <v>24</v>
      </c>
      <c r="C1529" s="1">
        <f>car_price_prediction_[[#This Row],[Year2]]</f>
        <v>2002</v>
      </c>
      <c r="D1529">
        <v>2002</v>
      </c>
      <c r="E1529">
        <f>car_price_prediction_[[#This Row],[Engine Size]]/10</f>
        <v>4.2</v>
      </c>
      <c r="F1529">
        <v>42</v>
      </c>
      <c r="G1529" s="1" t="s">
        <v>21</v>
      </c>
      <c r="H1529" s="1" t="s">
        <v>22</v>
      </c>
      <c r="I1529" s="12">
        <f>car_price_prediction_[[#This Row],[Mileage]]/1000</f>
        <v>246.59</v>
      </c>
      <c r="J1529" s="5">
        <v>246590</v>
      </c>
      <c r="K1529" s="1" t="s">
        <v>17</v>
      </c>
      <c r="L1529" s="5">
        <f>car_price_prediction_[[#This Row],[Price]]/100</f>
        <v>24217.35</v>
      </c>
      <c r="M1529">
        <v>2421735</v>
      </c>
      <c r="N1529" s="1" t="s">
        <v>32</v>
      </c>
      <c r="O1529" s="1">
        <f>IF(IFERROR(VLOOKUP(car_price_prediction_[[#This Row],[Car ID]],A1530:A4029,1,FALSE),0),1,0)</f>
        <v>0</v>
      </c>
    </row>
    <row r="1530" spans="1:15" x14ac:dyDescent="0.25">
      <c r="A1530">
        <v>1529</v>
      </c>
      <c r="B1530" s="1" t="s">
        <v>30</v>
      </c>
      <c r="C1530" s="1">
        <f>car_price_prediction_[[#This Row],[Year2]]</f>
        <v>2022</v>
      </c>
      <c r="D1530">
        <v>2022</v>
      </c>
      <c r="E1530">
        <f>car_price_prediction_[[#This Row],[Engine Size]]/10</f>
        <v>4.7</v>
      </c>
      <c r="F1530">
        <v>47</v>
      </c>
      <c r="G1530" s="1" t="s">
        <v>21</v>
      </c>
      <c r="H1530" s="1" t="s">
        <v>12</v>
      </c>
      <c r="I1530" s="12">
        <f>car_price_prediction_[[#This Row],[Mileage]]/1000</f>
        <v>131.12</v>
      </c>
      <c r="J1530" s="5">
        <v>131120</v>
      </c>
      <c r="K1530" s="1" t="s">
        <v>13</v>
      </c>
      <c r="L1530" s="5">
        <f>car_price_prediction_[[#This Row],[Price]]/100</f>
        <v>41862.620000000003</v>
      </c>
      <c r="M1530">
        <v>4186262</v>
      </c>
      <c r="N1530" s="1" t="s">
        <v>48</v>
      </c>
      <c r="O1530" s="1">
        <f>IF(IFERROR(VLOOKUP(car_price_prediction_[[#This Row],[Car ID]],A1531:A4030,1,FALSE),0),1,0)</f>
        <v>0</v>
      </c>
    </row>
    <row r="1531" spans="1:15" x14ac:dyDescent="0.25">
      <c r="A1531">
        <v>1530</v>
      </c>
      <c r="B1531" s="1" t="s">
        <v>30</v>
      </c>
      <c r="C1531" s="1">
        <f>car_price_prediction_[[#This Row],[Year2]]</f>
        <v>2005</v>
      </c>
      <c r="D1531">
        <v>2005</v>
      </c>
      <c r="E1531">
        <f>car_price_prediction_[[#This Row],[Engine Size]]/10</f>
        <v>2.2000000000000002</v>
      </c>
      <c r="F1531">
        <v>22</v>
      </c>
      <c r="G1531" s="1" t="s">
        <v>29</v>
      </c>
      <c r="H1531" s="1" t="s">
        <v>12</v>
      </c>
      <c r="I1531" s="12">
        <f>car_price_prediction_[[#This Row],[Mileage]]/1000</f>
        <v>168.05</v>
      </c>
      <c r="J1531" s="5">
        <v>168050</v>
      </c>
      <c r="K1531" s="1" t="s">
        <v>13</v>
      </c>
      <c r="L1531" s="5">
        <f>car_price_prediction_[[#This Row],[Price]]/100</f>
        <v>51706.44</v>
      </c>
      <c r="M1531">
        <v>5170644</v>
      </c>
      <c r="N1531" s="1" t="s">
        <v>48</v>
      </c>
      <c r="O1531" s="1">
        <f>IF(IFERROR(VLOOKUP(car_price_prediction_[[#This Row],[Car ID]],A1532:A4031,1,FALSE),0),1,0)</f>
        <v>0</v>
      </c>
    </row>
    <row r="1532" spans="1:15" x14ac:dyDescent="0.25">
      <c r="A1532">
        <v>1531</v>
      </c>
      <c r="B1532" s="1" t="s">
        <v>24</v>
      </c>
      <c r="C1532" s="1">
        <f>car_price_prediction_[[#This Row],[Year2]]</f>
        <v>2003</v>
      </c>
      <c r="D1532">
        <v>2003</v>
      </c>
      <c r="E1532">
        <f>car_price_prediction_[[#This Row],[Engine Size]]/10</f>
        <v>3</v>
      </c>
      <c r="F1532">
        <v>30</v>
      </c>
      <c r="G1532" s="1" t="s">
        <v>16</v>
      </c>
      <c r="H1532" s="1" t="s">
        <v>12</v>
      </c>
      <c r="I1532" s="12">
        <f>car_price_prediction_[[#This Row],[Mileage]]/1000</f>
        <v>73.414000000000001</v>
      </c>
      <c r="J1532" s="5">
        <v>73414</v>
      </c>
      <c r="K1532" s="1" t="s">
        <v>13</v>
      </c>
      <c r="L1532" s="5">
        <f>car_price_prediction_[[#This Row],[Price]]/100</f>
        <v>33048.47</v>
      </c>
      <c r="M1532">
        <v>3304847</v>
      </c>
      <c r="N1532" s="1" t="s">
        <v>26</v>
      </c>
      <c r="O1532" s="1">
        <f>IF(IFERROR(VLOOKUP(car_price_prediction_[[#This Row],[Car ID]],A1533:A4032,1,FALSE),0),1,0)</f>
        <v>0</v>
      </c>
    </row>
    <row r="1533" spans="1:15" x14ac:dyDescent="0.25">
      <c r="A1533">
        <v>1532</v>
      </c>
      <c r="B1533" s="1" t="s">
        <v>36</v>
      </c>
      <c r="C1533" s="1">
        <f>car_price_prediction_[[#This Row],[Year2]]</f>
        <v>2017</v>
      </c>
      <c r="D1533">
        <v>2017</v>
      </c>
      <c r="E1533">
        <f>car_price_prediction_[[#This Row],[Engine Size]]/10</f>
        <v>2.2999999999999998</v>
      </c>
      <c r="F1533">
        <v>23</v>
      </c>
      <c r="G1533" s="1" t="s">
        <v>11</v>
      </c>
      <c r="H1533" s="1" t="s">
        <v>12</v>
      </c>
      <c r="I1533" s="12">
        <f>car_price_prediction_[[#This Row],[Mileage]]/1000</f>
        <v>180.29400000000001</v>
      </c>
      <c r="J1533" s="5">
        <v>180294</v>
      </c>
      <c r="K1533" s="1" t="s">
        <v>25</v>
      </c>
      <c r="L1533" s="5">
        <f>car_price_prediction_[[#This Row],[Price]]/100</f>
        <v>7806.39</v>
      </c>
      <c r="M1533">
        <v>780639</v>
      </c>
      <c r="N1533" s="1" t="s">
        <v>46</v>
      </c>
      <c r="O1533" s="1">
        <f>IF(IFERROR(VLOOKUP(car_price_prediction_[[#This Row],[Car ID]],A1534:A4033,1,FALSE),0),1,0)</f>
        <v>0</v>
      </c>
    </row>
    <row r="1534" spans="1:15" x14ac:dyDescent="0.25">
      <c r="A1534">
        <v>1533</v>
      </c>
      <c r="B1534" s="1" t="s">
        <v>30</v>
      </c>
      <c r="C1534" s="1">
        <f>car_price_prediction_[[#This Row],[Year2]]</f>
        <v>2008</v>
      </c>
      <c r="D1534">
        <v>2008</v>
      </c>
      <c r="E1534">
        <f>car_price_prediction_[[#This Row],[Engine Size]]/10</f>
        <v>2</v>
      </c>
      <c r="F1534">
        <v>20</v>
      </c>
      <c r="G1534" s="1" t="s">
        <v>21</v>
      </c>
      <c r="H1534" s="1" t="s">
        <v>12</v>
      </c>
      <c r="I1534" s="12">
        <f>car_price_prediction_[[#This Row],[Mileage]]/1000</f>
        <v>48.115000000000002</v>
      </c>
      <c r="J1534" s="5">
        <v>48115</v>
      </c>
      <c r="K1534" s="1" t="s">
        <v>13</v>
      </c>
      <c r="L1534" s="5">
        <f>car_price_prediction_[[#This Row],[Price]]/100</f>
        <v>42423.63</v>
      </c>
      <c r="M1534">
        <v>4242363</v>
      </c>
      <c r="N1534" s="1" t="s">
        <v>48</v>
      </c>
      <c r="O1534" s="1">
        <f>IF(IFERROR(VLOOKUP(car_price_prediction_[[#This Row],[Car ID]],A1535:A4034,1,FALSE),0),1,0)</f>
        <v>0</v>
      </c>
    </row>
    <row r="1535" spans="1:15" x14ac:dyDescent="0.25">
      <c r="A1535">
        <v>1534</v>
      </c>
      <c r="B1535" s="1" t="s">
        <v>15</v>
      </c>
      <c r="C1535" s="1">
        <f>car_price_prediction_[[#This Row],[Year2]]</f>
        <v>2016</v>
      </c>
      <c r="D1535">
        <v>2016</v>
      </c>
      <c r="E1535">
        <f>car_price_prediction_[[#This Row],[Engine Size]]/10</f>
        <v>4.9000000000000004</v>
      </c>
      <c r="F1535">
        <v>49</v>
      </c>
      <c r="G1535" s="1" t="s">
        <v>21</v>
      </c>
      <c r="H1535" s="1" t="s">
        <v>22</v>
      </c>
      <c r="I1535" s="12">
        <f>car_price_prediction_[[#This Row],[Mileage]]/1000</f>
        <v>40.646999999999998</v>
      </c>
      <c r="J1535" s="5">
        <v>40647</v>
      </c>
      <c r="K1535" s="1" t="s">
        <v>13</v>
      </c>
      <c r="L1535" s="5">
        <f>car_price_prediction_[[#This Row],[Price]]/100</f>
        <v>74303.45</v>
      </c>
      <c r="M1535">
        <v>7430345</v>
      </c>
      <c r="N1535" s="1" t="s">
        <v>51</v>
      </c>
      <c r="O1535" s="1">
        <f>IF(IFERROR(VLOOKUP(car_price_prediction_[[#This Row],[Car ID]],A1536:A4035,1,FALSE),0),1,0)</f>
        <v>0</v>
      </c>
    </row>
    <row r="1536" spans="1:15" x14ac:dyDescent="0.25">
      <c r="A1536">
        <v>1535</v>
      </c>
      <c r="B1536" s="1" t="s">
        <v>43</v>
      </c>
      <c r="C1536" s="1">
        <f>car_price_prediction_[[#This Row],[Year2]]</f>
        <v>2012</v>
      </c>
      <c r="D1536">
        <v>2012</v>
      </c>
      <c r="E1536">
        <f>car_price_prediction_[[#This Row],[Engine Size]]/10</f>
        <v>5.5</v>
      </c>
      <c r="F1536">
        <v>55</v>
      </c>
      <c r="G1536" s="1" t="s">
        <v>16</v>
      </c>
      <c r="H1536" s="1" t="s">
        <v>12</v>
      </c>
      <c r="I1536" s="12">
        <f>car_price_prediction_[[#This Row],[Mileage]]/1000</f>
        <v>54.606999999999999</v>
      </c>
      <c r="J1536" s="5">
        <v>54607</v>
      </c>
      <c r="K1536" s="1" t="s">
        <v>17</v>
      </c>
      <c r="L1536" s="5">
        <f>car_price_prediction_[[#This Row],[Price]]/100</f>
        <v>24671.86</v>
      </c>
      <c r="M1536">
        <v>2467186</v>
      </c>
      <c r="N1536" s="1" t="s">
        <v>47</v>
      </c>
      <c r="O1536" s="1">
        <f>IF(IFERROR(VLOOKUP(car_price_prediction_[[#This Row],[Car ID]],A1537:A4036,1,FALSE),0),1,0)</f>
        <v>0</v>
      </c>
    </row>
    <row r="1537" spans="1:15" x14ac:dyDescent="0.25">
      <c r="A1537">
        <v>1536</v>
      </c>
      <c r="B1537" s="1" t="s">
        <v>10</v>
      </c>
      <c r="C1537" s="1">
        <f>car_price_prediction_[[#This Row],[Year2]]</f>
        <v>2014</v>
      </c>
      <c r="D1537">
        <v>2014</v>
      </c>
      <c r="E1537">
        <f>car_price_prediction_[[#This Row],[Engine Size]]/10</f>
        <v>2.9</v>
      </c>
      <c r="F1537">
        <v>29</v>
      </c>
      <c r="G1537" s="1" t="s">
        <v>29</v>
      </c>
      <c r="H1537" s="1" t="s">
        <v>12</v>
      </c>
      <c r="I1537" s="12">
        <f>car_price_prediction_[[#This Row],[Mileage]]/1000</f>
        <v>21.995999999999999</v>
      </c>
      <c r="J1537" s="5">
        <v>21996</v>
      </c>
      <c r="K1537" s="1" t="s">
        <v>25</v>
      </c>
      <c r="L1537" s="5">
        <f>car_price_prediction_[[#This Row],[Price]]/100</f>
        <v>40818.370000000003</v>
      </c>
      <c r="M1537">
        <v>4081837</v>
      </c>
      <c r="N1537" s="1" t="s">
        <v>14</v>
      </c>
      <c r="O1537" s="1">
        <f>IF(IFERROR(VLOOKUP(car_price_prediction_[[#This Row],[Car ID]],A1538:A4037,1,FALSE),0),1,0)</f>
        <v>0</v>
      </c>
    </row>
    <row r="1538" spans="1:15" x14ac:dyDescent="0.25">
      <c r="A1538">
        <v>1537</v>
      </c>
      <c r="B1538" s="1" t="s">
        <v>10</v>
      </c>
      <c r="C1538" s="1">
        <f>car_price_prediction_[[#This Row],[Year2]]</f>
        <v>2019</v>
      </c>
      <c r="D1538">
        <v>2019</v>
      </c>
      <c r="E1538">
        <f>car_price_prediction_[[#This Row],[Engine Size]]/10</f>
        <v>4.8</v>
      </c>
      <c r="F1538">
        <v>48</v>
      </c>
      <c r="G1538" s="1" t="s">
        <v>29</v>
      </c>
      <c r="H1538" s="1" t="s">
        <v>22</v>
      </c>
      <c r="I1538" s="12">
        <f>car_price_prediction_[[#This Row],[Mileage]]/1000</f>
        <v>83.697000000000003</v>
      </c>
      <c r="J1538" s="5">
        <v>83697</v>
      </c>
      <c r="K1538" s="1" t="s">
        <v>13</v>
      </c>
      <c r="L1538" s="5">
        <f>car_price_prediction_[[#This Row],[Price]]/100</f>
        <v>5765.54</v>
      </c>
      <c r="M1538">
        <v>576554</v>
      </c>
      <c r="N1538" s="1" t="s">
        <v>49</v>
      </c>
      <c r="O1538" s="1">
        <f>IF(IFERROR(VLOOKUP(car_price_prediction_[[#This Row],[Car ID]],A1539:A4038,1,FALSE),0),1,0)</f>
        <v>0</v>
      </c>
    </row>
    <row r="1539" spans="1:15" x14ac:dyDescent="0.25">
      <c r="A1539">
        <v>1538</v>
      </c>
      <c r="B1539" s="1" t="s">
        <v>15</v>
      </c>
      <c r="C1539" s="1">
        <f>car_price_prediction_[[#This Row],[Year2]]</f>
        <v>2016</v>
      </c>
      <c r="D1539">
        <v>2016</v>
      </c>
      <c r="E1539">
        <f>car_price_prediction_[[#This Row],[Engine Size]]/10</f>
        <v>5.5</v>
      </c>
      <c r="F1539">
        <v>55</v>
      </c>
      <c r="G1539" s="1" t="s">
        <v>11</v>
      </c>
      <c r="H1539" s="1" t="s">
        <v>22</v>
      </c>
      <c r="I1539" s="12">
        <f>car_price_prediction_[[#This Row],[Mileage]]/1000</f>
        <v>67.763999999999996</v>
      </c>
      <c r="J1539" s="5">
        <v>67764</v>
      </c>
      <c r="K1539" s="1" t="s">
        <v>25</v>
      </c>
      <c r="L1539" s="5">
        <f>car_price_prediction_[[#This Row],[Price]]/100</f>
        <v>77070.570000000007</v>
      </c>
      <c r="M1539">
        <v>7707057</v>
      </c>
      <c r="N1539" s="1" t="s">
        <v>18</v>
      </c>
      <c r="O1539" s="1">
        <f>IF(IFERROR(VLOOKUP(car_price_prediction_[[#This Row],[Car ID]],A1540:A4039,1,FALSE),0),1,0)</f>
        <v>0</v>
      </c>
    </row>
    <row r="1540" spans="1:15" x14ac:dyDescent="0.25">
      <c r="A1540">
        <v>1539</v>
      </c>
      <c r="B1540" s="1" t="s">
        <v>30</v>
      </c>
      <c r="C1540" s="1">
        <f>car_price_prediction_[[#This Row],[Year2]]</f>
        <v>2012</v>
      </c>
      <c r="D1540">
        <v>2012</v>
      </c>
      <c r="E1540">
        <f>car_price_prediction_[[#This Row],[Engine Size]]/10</f>
        <v>5.2</v>
      </c>
      <c r="F1540">
        <v>52</v>
      </c>
      <c r="G1540" s="1" t="s">
        <v>29</v>
      </c>
      <c r="H1540" s="1" t="s">
        <v>22</v>
      </c>
      <c r="I1540" s="12">
        <f>car_price_prediction_[[#This Row],[Mileage]]/1000</f>
        <v>239.19</v>
      </c>
      <c r="J1540" s="5">
        <v>239190</v>
      </c>
      <c r="K1540" s="1" t="s">
        <v>25</v>
      </c>
      <c r="L1540" s="5">
        <f>car_price_prediction_[[#This Row],[Price]]/100</f>
        <v>64459.23</v>
      </c>
      <c r="M1540">
        <v>6445923</v>
      </c>
      <c r="N1540" s="1" t="s">
        <v>42</v>
      </c>
      <c r="O1540" s="1">
        <f>IF(IFERROR(VLOOKUP(car_price_prediction_[[#This Row],[Car ID]],A1541:A4040,1,FALSE),0),1,0)</f>
        <v>0</v>
      </c>
    </row>
    <row r="1541" spans="1:15" x14ac:dyDescent="0.25">
      <c r="A1541">
        <v>1540</v>
      </c>
      <c r="B1541" s="1" t="s">
        <v>10</v>
      </c>
      <c r="C1541" s="1">
        <f>car_price_prediction_[[#This Row],[Year2]]</f>
        <v>2015</v>
      </c>
      <c r="D1541">
        <v>2015</v>
      </c>
      <c r="E1541">
        <f>car_price_prediction_[[#This Row],[Engine Size]]/10</f>
        <v>1.9</v>
      </c>
      <c r="F1541">
        <v>19</v>
      </c>
      <c r="G1541" s="1" t="s">
        <v>21</v>
      </c>
      <c r="H1541" s="1" t="s">
        <v>12</v>
      </c>
      <c r="I1541" s="12">
        <f>car_price_prediction_[[#This Row],[Mileage]]/1000</f>
        <v>8.8879999999999999</v>
      </c>
      <c r="J1541" s="5">
        <v>8888</v>
      </c>
      <c r="K1541" s="1" t="s">
        <v>25</v>
      </c>
      <c r="L1541" s="5">
        <f>car_price_prediction_[[#This Row],[Price]]/100</f>
        <v>82693.22</v>
      </c>
      <c r="M1541">
        <v>8269322</v>
      </c>
      <c r="N1541" s="1" t="s">
        <v>23</v>
      </c>
      <c r="O1541" s="1">
        <f>IF(IFERROR(VLOOKUP(car_price_prediction_[[#This Row],[Car ID]],A1542:A4041,1,FALSE),0),1,0)</f>
        <v>0</v>
      </c>
    </row>
    <row r="1542" spans="1:15" x14ac:dyDescent="0.25">
      <c r="A1542">
        <v>1541</v>
      </c>
      <c r="B1542" s="1" t="s">
        <v>19</v>
      </c>
      <c r="C1542" s="1">
        <f>car_price_prediction_[[#This Row],[Year2]]</f>
        <v>2021</v>
      </c>
      <c r="D1542">
        <v>2021</v>
      </c>
      <c r="E1542">
        <f>car_price_prediction_[[#This Row],[Engine Size]]/10</f>
        <v>5.8</v>
      </c>
      <c r="F1542">
        <v>58</v>
      </c>
      <c r="G1542" s="1" t="s">
        <v>29</v>
      </c>
      <c r="H1542" s="1" t="s">
        <v>12</v>
      </c>
      <c r="I1542" s="12">
        <f>car_price_prediction_[[#This Row],[Mileage]]/1000</f>
        <v>219.738</v>
      </c>
      <c r="J1542" s="5">
        <v>219738</v>
      </c>
      <c r="K1542" s="1" t="s">
        <v>17</v>
      </c>
      <c r="L1542" s="5">
        <f>car_price_prediction_[[#This Row],[Price]]/100</f>
        <v>48283.02</v>
      </c>
      <c r="M1542">
        <v>4828302</v>
      </c>
      <c r="N1542" s="1" t="s">
        <v>38</v>
      </c>
      <c r="O1542" s="1">
        <f>IF(IFERROR(VLOOKUP(car_price_prediction_[[#This Row],[Car ID]],A1543:A4042,1,FALSE),0),1,0)</f>
        <v>0</v>
      </c>
    </row>
    <row r="1543" spans="1:15" x14ac:dyDescent="0.25">
      <c r="A1543">
        <v>1542</v>
      </c>
      <c r="B1543" s="1" t="s">
        <v>43</v>
      </c>
      <c r="C1543" s="1">
        <f>car_price_prediction_[[#This Row],[Year2]]</f>
        <v>2003</v>
      </c>
      <c r="D1543">
        <v>2003</v>
      </c>
      <c r="E1543">
        <f>car_price_prediction_[[#This Row],[Engine Size]]/10</f>
        <v>2.9</v>
      </c>
      <c r="F1543">
        <v>29</v>
      </c>
      <c r="G1543" s="1" t="s">
        <v>11</v>
      </c>
      <c r="H1543" s="1" t="s">
        <v>12</v>
      </c>
      <c r="I1543" s="12">
        <f>car_price_prediction_[[#This Row],[Mileage]]/1000</f>
        <v>221.43199999999999</v>
      </c>
      <c r="J1543" s="5">
        <v>221432</v>
      </c>
      <c r="K1543" s="1" t="s">
        <v>25</v>
      </c>
      <c r="L1543" s="5">
        <f>car_price_prediction_[[#This Row],[Price]]/100</f>
        <v>80975.360000000001</v>
      </c>
      <c r="M1543">
        <v>8097536</v>
      </c>
      <c r="N1543" s="1" t="s">
        <v>50</v>
      </c>
      <c r="O1543" s="1">
        <f>IF(IFERROR(VLOOKUP(car_price_prediction_[[#This Row],[Car ID]],A1544:A4043,1,FALSE),0),1,0)</f>
        <v>0</v>
      </c>
    </row>
    <row r="1544" spans="1:15" x14ac:dyDescent="0.25">
      <c r="A1544">
        <v>1543</v>
      </c>
      <c r="B1544" s="1" t="s">
        <v>43</v>
      </c>
      <c r="C1544" s="1">
        <f>car_price_prediction_[[#This Row],[Year2]]</f>
        <v>2004</v>
      </c>
      <c r="D1544">
        <v>2004</v>
      </c>
      <c r="E1544">
        <f>car_price_prediction_[[#This Row],[Engine Size]]/10</f>
        <v>2.7</v>
      </c>
      <c r="F1544">
        <v>27</v>
      </c>
      <c r="G1544" s="1" t="s">
        <v>21</v>
      </c>
      <c r="H1544" s="1" t="s">
        <v>12</v>
      </c>
      <c r="I1544" s="12">
        <f>car_price_prediction_[[#This Row],[Mileage]]/1000</f>
        <v>279.47699999999998</v>
      </c>
      <c r="J1544" s="5">
        <v>279477</v>
      </c>
      <c r="K1544" s="1" t="s">
        <v>25</v>
      </c>
      <c r="L1544" s="5">
        <f>car_price_prediction_[[#This Row],[Price]]/100</f>
        <v>66520.34</v>
      </c>
      <c r="M1544">
        <v>6652034</v>
      </c>
      <c r="N1544" s="1" t="s">
        <v>50</v>
      </c>
      <c r="O1544" s="1">
        <f>IF(IFERROR(VLOOKUP(car_price_prediction_[[#This Row],[Car ID]],A1545:A4044,1,FALSE),0),1,0)</f>
        <v>0</v>
      </c>
    </row>
    <row r="1545" spans="1:15" x14ac:dyDescent="0.25">
      <c r="A1545">
        <v>1544</v>
      </c>
      <c r="B1545" s="1" t="s">
        <v>10</v>
      </c>
      <c r="C1545" s="1">
        <f>car_price_prediction_[[#This Row],[Year2]]</f>
        <v>2004</v>
      </c>
      <c r="D1545">
        <v>2004</v>
      </c>
      <c r="E1545">
        <f>car_price_prediction_[[#This Row],[Engine Size]]/10</f>
        <v>1.3</v>
      </c>
      <c r="F1545">
        <v>13</v>
      </c>
      <c r="G1545" s="1" t="s">
        <v>29</v>
      </c>
      <c r="H1545" s="1" t="s">
        <v>22</v>
      </c>
      <c r="I1545" s="12">
        <f>car_price_prediction_[[#This Row],[Mileage]]/1000</f>
        <v>36.354999999999997</v>
      </c>
      <c r="J1545" s="5">
        <v>36355</v>
      </c>
      <c r="K1545" s="1" t="s">
        <v>25</v>
      </c>
      <c r="L1545" s="5">
        <f>car_price_prediction_[[#This Row],[Price]]/100</f>
        <v>5343.23</v>
      </c>
      <c r="M1545">
        <v>534323</v>
      </c>
      <c r="N1545" s="1" t="s">
        <v>23</v>
      </c>
      <c r="O1545" s="1">
        <f>IF(IFERROR(VLOOKUP(car_price_prediction_[[#This Row],[Car ID]],A1546:A4045,1,FALSE),0),1,0)</f>
        <v>0</v>
      </c>
    </row>
    <row r="1546" spans="1:15" x14ac:dyDescent="0.25">
      <c r="A1546">
        <v>1545</v>
      </c>
      <c r="B1546" s="1" t="s">
        <v>24</v>
      </c>
      <c r="C1546" s="1">
        <f>car_price_prediction_[[#This Row],[Year2]]</f>
        <v>2008</v>
      </c>
      <c r="D1546">
        <v>2008</v>
      </c>
      <c r="E1546">
        <f>car_price_prediction_[[#This Row],[Engine Size]]/10</f>
        <v>3.4</v>
      </c>
      <c r="F1546">
        <v>34</v>
      </c>
      <c r="G1546" s="1" t="s">
        <v>29</v>
      </c>
      <c r="H1546" s="1" t="s">
        <v>22</v>
      </c>
      <c r="I1546" s="12">
        <f>car_price_prediction_[[#This Row],[Mileage]]/1000</f>
        <v>230.48699999999999</v>
      </c>
      <c r="J1546" s="5">
        <v>230487</v>
      </c>
      <c r="K1546" s="1" t="s">
        <v>13</v>
      </c>
      <c r="L1546" s="5">
        <f>car_price_prediction_[[#This Row],[Price]]/100</f>
        <v>29100.959999999999</v>
      </c>
      <c r="M1546">
        <v>2910096</v>
      </c>
      <c r="N1546" s="1" t="s">
        <v>32</v>
      </c>
      <c r="O1546" s="1">
        <f>IF(IFERROR(VLOOKUP(car_price_prediction_[[#This Row],[Car ID]],A1547:A4046,1,FALSE),0),1,0)</f>
        <v>0</v>
      </c>
    </row>
    <row r="1547" spans="1:15" x14ac:dyDescent="0.25">
      <c r="A1547">
        <v>1546</v>
      </c>
      <c r="B1547" s="1" t="s">
        <v>10</v>
      </c>
      <c r="C1547" s="1">
        <f>car_price_prediction_[[#This Row],[Year2]]</f>
        <v>2016</v>
      </c>
      <c r="D1547">
        <v>2016</v>
      </c>
      <c r="E1547">
        <f>car_price_prediction_[[#This Row],[Engine Size]]/10</f>
        <v>1.5</v>
      </c>
      <c r="F1547">
        <v>15</v>
      </c>
      <c r="G1547" s="1" t="s">
        <v>16</v>
      </c>
      <c r="H1547" s="1" t="s">
        <v>12</v>
      </c>
      <c r="I1547" s="12">
        <f>car_price_prediction_[[#This Row],[Mileage]]/1000</f>
        <v>129.68600000000001</v>
      </c>
      <c r="J1547" s="5">
        <v>129686</v>
      </c>
      <c r="K1547" s="1" t="s">
        <v>17</v>
      </c>
      <c r="L1547" s="5">
        <f>car_price_prediction_[[#This Row],[Price]]/100</f>
        <v>51919.68</v>
      </c>
      <c r="M1547">
        <v>5191968</v>
      </c>
      <c r="N1547" s="1" t="s">
        <v>23</v>
      </c>
      <c r="O1547" s="1">
        <f>IF(IFERROR(VLOOKUP(car_price_prediction_[[#This Row],[Car ID]],A1548:A4047,1,FALSE),0),1,0)</f>
        <v>0</v>
      </c>
    </row>
    <row r="1548" spans="1:15" x14ac:dyDescent="0.25">
      <c r="A1548">
        <v>1547</v>
      </c>
      <c r="B1548" s="1" t="s">
        <v>24</v>
      </c>
      <c r="C1548" s="1">
        <f>car_price_prediction_[[#This Row],[Year2]]</f>
        <v>2012</v>
      </c>
      <c r="D1548">
        <v>2012</v>
      </c>
      <c r="E1548">
        <f>car_price_prediction_[[#This Row],[Engine Size]]/10</f>
        <v>2.2000000000000002</v>
      </c>
      <c r="F1548">
        <v>22</v>
      </c>
      <c r="G1548" s="1" t="s">
        <v>11</v>
      </c>
      <c r="H1548" s="1" t="s">
        <v>12</v>
      </c>
      <c r="I1548" s="12">
        <f>car_price_prediction_[[#This Row],[Mileage]]/1000</f>
        <v>162.21700000000001</v>
      </c>
      <c r="J1548" s="5">
        <v>162217</v>
      </c>
      <c r="K1548" s="1" t="s">
        <v>13</v>
      </c>
      <c r="L1548" s="5">
        <f>car_price_prediction_[[#This Row],[Price]]/100</f>
        <v>6377.53</v>
      </c>
      <c r="M1548">
        <v>637753</v>
      </c>
      <c r="N1548" s="1" t="s">
        <v>34</v>
      </c>
      <c r="O1548" s="1">
        <f>IF(IFERROR(VLOOKUP(car_price_prediction_[[#This Row],[Car ID]],A1549:A4048,1,FALSE),0),1,0)</f>
        <v>0</v>
      </c>
    </row>
    <row r="1549" spans="1:15" x14ac:dyDescent="0.25">
      <c r="A1549">
        <v>1548</v>
      </c>
      <c r="B1549" s="1" t="s">
        <v>10</v>
      </c>
      <c r="C1549" s="1">
        <f>car_price_prediction_[[#This Row],[Year2]]</f>
        <v>2001</v>
      </c>
      <c r="D1549">
        <v>2001</v>
      </c>
      <c r="E1549">
        <f>car_price_prediction_[[#This Row],[Engine Size]]/10</f>
        <v>2.6</v>
      </c>
      <c r="F1549">
        <v>26</v>
      </c>
      <c r="G1549" s="1" t="s">
        <v>29</v>
      </c>
      <c r="H1549" s="1" t="s">
        <v>12</v>
      </c>
      <c r="I1549" s="12">
        <f>car_price_prediction_[[#This Row],[Mileage]]/1000</f>
        <v>249.602</v>
      </c>
      <c r="J1549" s="5">
        <v>249602</v>
      </c>
      <c r="K1549" s="1" t="s">
        <v>17</v>
      </c>
      <c r="L1549" s="5">
        <f>car_price_prediction_[[#This Row],[Price]]/100</f>
        <v>11231.13</v>
      </c>
      <c r="M1549">
        <v>1123113</v>
      </c>
      <c r="N1549" s="1" t="s">
        <v>33</v>
      </c>
      <c r="O1549" s="1">
        <f>IF(IFERROR(VLOOKUP(car_price_prediction_[[#This Row],[Car ID]],A1550:A4049,1,FALSE),0),1,0)</f>
        <v>0</v>
      </c>
    </row>
    <row r="1550" spans="1:15" x14ac:dyDescent="0.25">
      <c r="A1550">
        <v>1549</v>
      </c>
      <c r="B1550" s="1" t="s">
        <v>19</v>
      </c>
      <c r="C1550" s="1">
        <f>car_price_prediction_[[#This Row],[Year2]]</f>
        <v>2012</v>
      </c>
      <c r="D1550">
        <v>2012</v>
      </c>
      <c r="E1550">
        <f>car_price_prediction_[[#This Row],[Engine Size]]/10</f>
        <v>5</v>
      </c>
      <c r="F1550">
        <v>50</v>
      </c>
      <c r="G1550" s="1" t="s">
        <v>16</v>
      </c>
      <c r="H1550" s="1" t="s">
        <v>12</v>
      </c>
      <c r="I1550" s="12">
        <f>car_price_prediction_[[#This Row],[Mileage]]/1000</f>
        <v>249.434</v>
      </c>
      <c r="J1550" s="5">
        <v>249434</v>
      </c>
      <c r="K1550" s="1" t="s">
        <v>17</v>
      </c>
      <c r="L1550" s="5">
        <f>car_price_prediction_[[#This Row],[Price]]/100</f>
        <v>71982.59</v>
      </c>
      <c r="M1550">
        <v>7198259</v>
      </c>
      <c r="N1550" s="1" t="s">
        <v>27</v>
      </c>
      <c r="O1550" s="1">
        <f>IF(IFERROR(VLOOKUP(car_price_prediction_[[#This Row],[Car ID]],A1551:A4050,1,FALSE),0),1,0)</f>
        <v>0</v>
      </c>
    </row>
    <row r="1551" spans="1:15" x14ac:dyDescent="0.25">
      <c r="A1551">
        <v>1550</v>
      </c>
      <c r="B1551" s="1" t="s">
        <v>36</v>
      </c>
      <c r="C1551" s="1">
        <f>car_price_prediction_[[#This Row],[Year2]]</f>
        <v>2021</v>
      </c>
      <c r="D1551">
        <v>2021</v>
      </c>
      <c r="E1551">
        <f>car_price_prediction_[[#This Row],[Engine Size]]/10</f>
        <v>5.4</v>
      </c>
      <c r="F1551">
        <v>54</v>
      </c>
      <c r="G1551" s="1" t="s">
        <v>21</v>
      </c>
      <c r="H1551" s="1" t="s">
        <v>22</v>
      </c>
      <c r="I1551" s="12">
        <f>car_price_prediction_[[#This Row],[Mileage]]/1000</f>
        <v>180.92599999999999</v>
      </c>
      <c r="J1551" s="5">
        <v>180926</v>
      </c>
      <c r="K1551" s="1" t="s">
        <v>25</v>
      </c>
      <c r="L1551" s="5">
        <f>car_price_prediction_[[#This Row],[Price]]/100</f>
        <v>56635.93</v>
      </c>
      <c r="M1551">
        <v>5663593</v>
      </c>
      <c r="N1551" s="1" t="s">
        <v>46</v>
      </c>
      <c r="O1551" s="1">
        <f>IF(IFERROR(VLOOKUP(car_price_prediction_[[#This Row],[Car ID]],A1552:A4051,1,FALSE),0),1,0)</f>
        <v>0</v>
      </c>
    </row>
    <row r="1552" spans="1:15" x14ac:dyDescent="0.25">
      <c r="A1552">
        <v>1551</v>
      </c>
      <c r="B1552" s="1" t="s">
        <v>43</v>
      </c>
      <c r="C1552" s="1">
        <f>car_price_prediction_[[#This Row],[Year2]]</f>
        <v>2020</v>
      </c>
      <c r="D1552">
        <v>2020</v>
      </c>
      <c r="E1552">
        <f>car_price_prediction_[[#This Row],[Engine Size]]/10</f>
        <v>2.5</v>
      </c>
      <c r="F1552">
        <v>25</v>
      </c>
      <c r="G1552" s="1" t="s">
        <v>16</v>
      </c>
      <c r="H1552" s="1" t="s">
        <v>22</v>
      </c>
      <c r="I1552" s="12">
        <f>car_price_prediction_[[#This Row],[Mileage]]/1000</f>
        <v>67.664000000000001</v>
      </c>
      <c r="J1552" s="5">
        <v>67664</v>
      </c>
      <c r="K1552" s="1" t="s">
        <v>25</v>
      </c>
      <c r="L1552" s="5">
        <f>car_price_prediction_[[#This Row],[Price]]/100</f>
        <v>54949.03</v>
      </c>
      <c r="M1552">
        <v>5494903</v>
      </c>
      <c r="N1552" s="1" t="s">
        <v>50</v>
      </c>
      <c r="O1552" s="1">
        <f>IF(IFERROR(VLOOKUP(car_price_prediction_[[#This Row],[Car ID]],A1553:A4052,1,FALSE),0),1,0)</f>
        <v>0</v>
      </c>
    </row>
    <row r="1553" spans="1:15" x14ac:dyDescent="0.25">
      <c r="A1553">
        <v>1552</v>
      </c>
      <c r="B1553" s="1" t="s">
        <v>10</v>
      </c>
      <c r="C1553" s="1">
        <f>car_price_prediction_[[#This Row],[Year2]]</f>
        <v>2022</v>
      </c>
      <c r="D1553">
        <v>2022</v>
      </c>
      <c r="E1553">
        <f>car_price_prediction_[[#This Row],[Engine Size]]/10</f>
        <v>5.3</v>
      </c>
      <c r="F1553">
        <v>53</v>
      </c>
      <c r="G1553" s="1" t="s">
        <v>16</v>
      </c>
      <c r="H1553" s="1" t="s">
        <v>12</v>
      </c>
      <c r="I1553" s="12">
        <f>car_price_prediction_[[#This Row],[Mileage]]/1000</f>
        <v>86.153000000000006</v>
      </c>
      <c r="J1553" s="5">
        <v>86153</v>
      </c>
      <c r="K1553" s="1" t="s">
        <v>13</v>
      </c>
      <c r="L1553" s="5">
        <f>car_price_prediction_[[#This Row],[Price]]/100</f>
        <v>32744.33</v>
      </c>
      <c r="M1553">
        <v>3274433</v>
      </c>
      <c r="N1553" s="1" t="s">
        <v>23</v>
      </c>
      <c r="O1553" s="1">
        <f>IF(IFERROR(VLOOKUP(car_price_prediction_[[#This Row],[Car ID]],A1554:A4053,1,FALSE),0),1,0)</f>
        <v>0</v>
      </c>
    </row>
    <row r="1554" spans="1:15" x14ac:dyDescent="0.25">
      <c r="A1554">
        <v>1553</v>
      </c>
      <c r="B1554" s="1" t="s">
        <v>19</v>
      </c>
      <c r="C1554" s="1">
        <f>car_price_prediction_[[#This Row],[Year2]]</f>
        <v>2018</v>
      </c>
      <c r="D1554">
        <v>2018</v>
      </c>
      <c r="E1554">
        <f>car_price_prediction_[[#This Row],[Engine Size]]/10</f>
        <v>5.3</v>
      </c>
      <c r="F1554">
        <v>53</v>
      </c>
      <c r="G1554" s="1" t="s">
        <v>29</v>
      </c>
      <c r="H1554" s="1" t="s">
        <v>22</v>
      </c>
      <c r="I1554" s="12">
        <f>car_price_prediction_[[#This Row],[Mileage]]/1000</f>
        <v>93.616</v>
      </c>
      <c r="J1554" s="5">
        <v>93616</v>
      </c>
      <c r="K1554" s="1" t="s">
        <v>17</v>
      </c>
      <c r="L1554" s="5">
        <f>car_price_prediction_[[#This Row],[Price]]/100</f>
        <v>61508.19</v>
      </c>
      <c r="M1554">
        <v>6150819</v>
      </c>
      <c r="N1554" s="1" t="s">
        <v>20</v>
      </c>
      <c r="O1554" s="1">
        <f>IF(IFERROR(VLOOKUP(car_price_prediction_[[#This Row],[Car ID]],A1555:A4054,1,FALSE),0),1,0)</f>
        <v>0</v>
      </c>
    </row>
    <row r="1555" spans="1:15" x14ac:dyDescent="0.25">
      <c r="A1555">
        <v>1554</v>
      </c>
      <c r="B1555" s="1" t="s">
        <v>24</v>
      </c>
      <c r="C1555" s="1">
        <f>car_price_prediction_[[#This Row],[Year2]]</f>
        <v>2002</v>
      </c>
      <c r="D1555">
        <v>2002</v>
      </c>
      <c r="E1555">
        <f>car_price_prediction_[[#This Row],[Engine Size]]/10</f>
        <v>4.8</v>
      </c>
      <c r="F1555">
        <v>48</v>
      </c>
      <c r="G1555" s="1" t="s">
        <v>29</v>
      </c>
      <c r="H1555" s="1" t="s">
        <v>12</v>
      </c>
      <c r="I1555" s="12">
        <f>car_price_prediction_[[#This Row],[Mileage]]/1000</f>
        <v>297.42899999999997</v>
      </c>
      <c r="J1555" s="5">
        <v>297429</v>
      </c>
      <c r="K1555" s="1" t="s">
        <v>25</v>
      </c>
      <c r="L1555" s="5">
        <f>car_price_prediction_[[#This Row],[Price]]/100</f>
        <v>7611.82</v>
      </c>
      <c r="M1555">
        <v>761182</v>
      </c>
      <c r="N1555" s="1" t="s">
        <v>34</v>
      </c>
      <c r="O1555" s="1">
        <f>IF(IFERROR(VLOOKUP(car_price_prediction_[[#This Row],[Car ID]],A1556:A4055,1,FALSE),0),1,0)</f>
        <v>0</v>
      </c>
    </row>
    <row r="1556" spans="1:15" x14ac:dyDescent="0.25">
      <c r="A1556">
        <v>1555</v>
      </c>
      <c r="B1556" s="1" t="s">
        <v>24</v>
      </c>
      <c r="C1556" s="1">
        <f>car_price_prediction_[[#This Row],[Year2]]</f>
        <v>2009</v>
      </c>
      <c r="D1556">
        <v>2009</v>
      </c>
      <c r="E1556">
        <f>car_price_prediction_[[#This Row],[Engine Size]]/10</f>
        <v>1.7</v>
      </c>
      <c r="F1556">
        <v>17</v>
      </c>
      <c r="G1556" s="1" t="s">
        <v>29</v>
      </c>
      <c r="H1556" s="1" t="s">
        <v>12</v>
      </c>
      <c r="I1556" s="12">
        <f>car_price_prediction_[[#This Row],[Mileage]]/1000</f>
        <v>256.34899999999999</v>
      </c>
      <c r="J1556" s="5">
        <v>256349</v>
      </c>
      <c r="K1556" s="1" t="s">
        <v>25</v>
      </c>
      <c r="L1556" s="5">
        <f>car_price_prediction_[[#This Row],[Price]]/100</f>
        <v>11146.53</v>
      </c>
      <c r="M1556">
        <v>1114653</v>
      </c>
      <c r="N1556" s="1" t="s">
        <v>34</v>
      </c>
      <c r="O1556" s="1">
        <f>IF(IFERROR(VLOOKUP(car_price_prediction_[[#This Row],[Car ID]],A1557:A4056,1,FALSE),0),1,0)</f>
        <v>0</v>
      </c>
    </row>
    <row r="1557" spans="1:15" x14ac:dyDescent="0.25">
      <c r="A1557">
        <v>1556</v>
      </c>
      <c r="B1557" s="1" t="s">
        <v>43</v>
      </c>
      <c r="C1557" s="1">
        <f>car_price_prediction_[[#This Row],[Year2]]</f>
        <v>2001</v>
      </c>
      <c r="D1557">
        <v>2001</v>
      </c>
      <c r="E1557">
        <f>car_price_prediction_[[#This Row],[Engine Size]]/10</f>
        <v>4.5</v>
      </c>
      <c r="F1557">
        <v>45</v>
      </c>
      <c r="G1557" s="1" t="s">
        <v>16</v>
      </c>
      <c r="H1557" s="1" t="s">
        <v>22</v>
      </c>
      <c r="I1557" s="12">
        <f>car_price_prediction_[[#This Row],[Mileage]]/1000</f>
        <v>46.996000000000002</v>
      </c>
      <c r="J1557" s="5">
        <v>46996</v>
      </c>
      <c r="K1557" s="1" t="s">
        <v>25</v>
      </c>
      <c r="L1557" s="5">
        <f>car_price_prediction_[[#This Row],[Price]]/100</f>
        <v>74717.66</v>
      </c>
      <c r="M1557">
        <v>7471766</v>
      </c>
      <c r="N1557" s="1" t="s">
        <v>47</v>
      </c>
      <c r="O1557" s="1">
        <f>IF(IFERROR(VLOOKUP(car_price_prediction_[[#This Row],[Car ID]],A1558:A4057,1,FALSE),0),1,0)</f>
        <v>0</v>
      </c>
    </row>
    <row r="1558" spans="1:15" x14ac:dyDescent="0.25">
      <c r="A1558">
        <v>1557</v>
      </c>
      <c r="B1558" s="1" t="s">
        <v>15</v>
      </c>
      <c r="C1558" s="1">
        <f>car_price_prediction_[[#This Row],[Year2]]</f>
        <v>2012</v>
      </c>
      <c r="D1558">
        <v>2012</v>
      </c>
      <c r="E1558">
        <f>car_price_prediction_[[#This Row],[Engine Size]]/10</f>
        <v>5.7</v>
      </c>
      <c r="F1558">
        <v>57</v>
      </c>
      <c r="G1558" s="1" t="s">
        <v>21</v>
      </c>
      <c r="H1558" s="1" t="s">
        <v>12</v>
      </c>
      <c r="I1558" s="12">
        <f>car_price_prediction_[[#This Row],[Mileage]]/1000</f>
        <v>128.34399999999999</v>
      </c>
      <c r="J1558" s="5">
        <v>128344</v>
      </c>
      <c r="K1558" s="1" t="s">
        <v>25</v>
      </c>
      <c r="L1558" s="5">
        <f>car_price_prediction_[[#This Row],[Price]]/100</f>
        <v>35579.68</v>
      </c>
      <c r="M1558">
        <v>3557968</v>
      </c>
      <c r="N1558" s="1" t="s">
        <v>18</v>
      </c>
      <c r="O1558" s="1">
        <f>IF(IFERROR(VLOOKUP(car_price_prediction_[[#This Row],[Car ID]],A1559:A4058,1,FALSE),0),1,0)</f>
        <v>0</v>
      </c>
    </row>
    <row r="1559" spans="1:15" x14ac:dyDescent="0.25">
      <c r="A1559">
        <v>1558</v>
      </c>
      <c r="B1559" s="1" t="s">
        <v>10</v>
      </c>
      <c r="C1559" s="1">
        <f>car_price_prediction_[[#This Row],[Year2]]</f>
        <v>2018</v>
      </c>
      <c r="D1559">
        <v>2018</v>
      </c>
      <c r="E1559">
        <f>car_price_prediction_[[#This Row],[Engine Size]]/10</f>
        <v>4.4000000000000004</v>
      </c>
      <c r="F1559">
        <v>44</v>
      </c>
      <c r="G1559" s="1" t="s">
        <v>11</v>
      </c>
      <c r="H1559" s="1" t="s">
        <v>22</v>
      </c>
      <c r="I1559" s="12">
        <f>car_price_prediction_[[#This Row],[Mileage]]/1000</f>
        <v>229.685</v>
      </c>
      <c r="J1559" s="5">
        <v>229685</v>
      </c>
      <c r="K1559" s="1" t="s">
        <v>13</v>
      </c>
      <c r="L1559" s="5">
        <f>car_price_prediction_[[#This Row],[Price]]/100</f>
        <v>37961.870000000003</v>
      </c>
      <c r="M1559">
        <v>3796187</v>
      </c>
      <c r="N1559" s="1" t="s">
        <v>14</v>
      </c>
      <c r="O1559" s="1">
        <f>IF(IFERROR(VLOOKUP(car_price_prediction_[[#This Row],[Car ID]],A1560:A4059,1,FALSE),0),1,0)</f>
        <v>0</v>
      </c>
    </row>
    <row r="1560" spans="1:15" x14ac:dyDescent="0.25">
      <c r="A1560">
        <v>1559</v>
      </c>
      <c r="B1560" s="1" t="s">
        <v>30</v>
      </c>
      <c r="C1560" s="1">
        <f>car_price_prediction_[[#This Row],[Year2]]</f>
        <v>2016</v>
      </c>
      <c r="D1560">
        <v>2016</v>
      </c>
      <c r="E1560">
        <f>car_price_prediction_[[#This Row],[Engine Size]]/10</f>
        <v>2.7</v>
      </c>
      <c r="F1560">
        <v>27</v>
      </c>
      <c r="G1560" s="1" t="s">
        <v>16</v>
      </c>
      <c r="H1560" s="1" t="s">
        <v>12</v>
      </c>
      <c r="I1560" s="12">
        <f>car_price_prediction_[[#This Row],[Mileage]]/1000</f>
        <v>128.01900000000001</v>
      </c>
      <c r="J1560" s="5">
        <v>128019</v>
      </c>
      <c r="K1560" s="1" t="s">
        <v>13</v>
      </c>
      <c r="L1560" s="5">
        <f>car_price_prediction_[[#This Row],[Price]]/100</f>
        <v>24796.59</v>
      </c>
      <c r="M1560">
        <v>2479659</v>
      </c>
      <c r="N1560" s="1" t="s">
        <v>42</v>
      </c>
      <c r="O1560" s="1">
        <f>IF(IFERROR(VLOOKUP(car_price_prediction_[[#This Row],[Car ID]],A1561:A4060,1,FALSE),0),1,0)</f>
        <v>0</v>
      </c>
    </row>
    <row r="1561" spans="1:15" x14ac:dyDescent="0.25">
      <c r="A1561">
        <v>1560</v>
      </c>
      <c r="B1561" s="1" t="s">
        <v>24</v>
      </c>
      <c r="C1561" s="1">
        <f>car_price_prediction_[[#This Row],[Year2]]</f>
        <v>2020</v>
      </c>
      <c r="D1561">
        <v>2020</v>
      </c>
      <c r="E1561">
        <f>car_price_prediction_[[#This Row],[Engine Size]]/10</f>
        <v>3.5</v>
      </c>
      <c r="F1561">
        <v>35</v>
      </c>
      <c r="G1561" s="1" t="s">
        <v>29</v>
      </c>
      <c r="H1561" s="1" t="s">
        <v>22</v>
      </c>
      <c r="I1561" s="12">
        <f>car_price_prediction_[[#This Row],[Mileage]]/1000</f>
        <v>135.024</v>
      </c>
      <c r="J1561" s="5">
        <v>135024</v>
      </c>
      <c r="K1561" s="1" t="s">
        <v>25</v>
      </c>
      <c r="L1561" s="5">
        <f>car_price_prediction_[[#This Row],[Price]]/100</f>
        <v>47333.97</v>
      </c>
      <c r="M1561">
        <v>4733397</v>
      </c>
      <c r="N1561" s="1" t="s">
        <v>34</v>
      </c>
      <c r="O1561" s="1">
        <f>IF(IFERROR(VLOOKUP(car_price_prediction_[[#This Row],[Car ID]],A1562:A4061,1,FALSE),0),1,0)</f>
        <v>0</v>
      </c>
    </row>
    <row r="1562" spans="1:15" x14ac:dyDescent="0.25">
      <c r="A1562">
        <v>1561</v>
      </c>
      <c r="B1562" s="1" t="s">
        <v>36</v>
      </c>
      <c r="C1562" s="1">
        <f>car_price_prediction_[[#This Row],[Year2]]</f>
        <v>2013</v>
      </c>
      <c r="D1562">
        <v>2013</v>
      </c>
      <c r="E1562">
        <f>car_price_prediction_[[#This Row],[Engine Size]]/10</f>
        <v>4.2</v>
      </c>
      <c r="F1562">
        <v>42</v>
      </c>
      <c r="G1562" s="1" t="s">
        <v>11</v>
      </c>
      <c r="H1562" s="1" t="s">
        <v>12</v>
      </c>
      <c r="I1562" s="12">
        <f>car_price_prediction_[[#This Row],[Mileage]]/1000</f>
        <v>183.273</v>
      </c>
      <c r="J1562" s="5">
        <v>183273</v>
      </c>
      <c r="K1562" s="1" t="s">
        <v>25</v>
      </c>
      <c r="L1562" s="5">
        <f>car_price_prediction_[[#This Row],[Price]]/100</f>
        <v>9939.3799999999992</v>
      </c>
      <c r="M1562">
        <v>993938</v>
      </c>
      <c r="N1562" s="1" t="s">
        <v>41</v>
      </c>
      <c r="O1562" s="1">
        <f>IF(IFERROR(VLOOKUP(car_price_prediction_[[#This Row],[Car ID]],A1563:A4062,1,FALSE),0),1,0)</f>
        <v>0</v>
      </c>
    </row>
    <row r="1563" spans="1:15" x14ac:dyDescent="0.25">
      <c r="A1563">
        <v>1562</v>
      </c>
      <c r="B1563" s="1" t="s">
        <v>36</v>
      </c>
      <c r="C1563" s="1">
        <f>car_price_prediction_[[#This Row],[Year2]]</f>
        <v>2011</v>
      </c>
      <c r="D1563">
        <v>2011</v>
      </c>
      <c r="E1563">
        <f>car_price_prediction_[[#This Row],[Engine Size]]/10</f>
        <v>3.6</v>
      </c>
      <c r="F1563">
        <v>36</v>
      </c>
      <c r="G1563" s="1" t="s">
        <v>21</v>
      </c>
      <c r="H1563" s="1" t="s">
        <v>22</v>
      </c>
      <c r="I1563" s="12">
        <f>car_price_prediction_[[#This Row],[Mileage]]/1000</f>
        <v>120.45399999999999</v>
      </c>
      <c r="J1563" s="5">
        <v>120454</v>
      </c>
      <c r="K1563" s="1" t="s">
        <v>25</v>
      </c>
      <c r="L1563" s="5">
        <f>car_price_prediction_[[#This Row],[Price]]/100</f>
        <v>33534.51</v>
      </c>
      <c r="M1563">
        <v>3353451</v>
      </c>
      <c r="N1563" s="1" t="s">
        <v>46</v>
      </c>
      <c r="O1563" s="1">
        <f>IF(IFERROR(VLOOKUP(car_price_prediction_[[#This Row],[Car ID]],A1564:A4063,1,FALSE),0),1,0)</f>
        <v>0</v>
      </c>
    </row>
    <row r="1564" spans="1:15" x14ac:dyDescent="0.25">
      <c r="A1564">
        <v>1563</v>
      </c>
      <c r="B1564" s="1" t="s">
        <v>24</v>
      </c>
      <c r="C1564" s="1">
        <f>car_price_prediction_[[#This Row],[Year2]]</f>
        <v>2020</v>
      </c>
      <c r="D1564">
        <v>2020</v>
      </c>
      <c r="E1564">
        <f>car_price_prediction_[[#This Row],[Engine Size]]/10</f>
        <v>1.6</v>
      </c>
      <c r="F1564">
        <v>16</v>
      </c>
      <c r="G1564" s="1" t="s">
        <v>11</v>
      </c>
      <c r="H1564" s="1" t="s">
        <v>12</v>
      </c>
      <c r="I1564" s="12">
        <f>car_price_prediction_[[#This Row],[Mileage]]/1000</f>
        <v>124.444</v>
      </c>
      <c r="J1564" s="5">
        <v>124444</v>
      </c>
      <c r="K1564" s="1" t="s">
        <v>25</v>
      </c>
      <c r="L1564" s="5">
        <f>car_price_prediction_[[#This Row],[Price]]/100</f>
        <v>55076.77</v>
      </c>
      <c r="M1564">
        <v>5507677</v>
      </c>
      <c r="N1564" s="1" t="s">
        <v>34</v>
      </c>
      <c r="O1564" s="1">
        <f>IF(IFERROR(VLOOKUP(car_price_prediction_[[#This Row],[Car ID]],A1565:A4064,1,FALSE),0),1,0)</f>
        <v>0</v>
      </c>
    </row>
    <row r="1565" spans="1:15" x14ac:dyDescent="0.25">
      <c r="A1565">
        <v>1564</v>
      </c>
      <c r="B1565" s="1" t="s">
        <v>15</v>
      </c>
      <c r="C1565" s="1">
        <f>car_price_prediction_[[#This Row],[Year2]]</f>
        <v>2011</v>
      </c>
      <c r="D1565">
        <v>2011</v>
      </c>
      <c r="E1565">
        <f>car_price_prediction_[[#This Row],[Engine Size]]/10</f>
        <v>2.6</v>
      </c>
      <c r="F1565">
        <v>26</v>
      </c>
      <c r="G1565" s="1" t="s">
        <v>29</v>
      </c>
      <c r="H1565" s="1" t="s">
        <v>12</v>
      </c>
      <c r="I1565" s="12">
        <f>car_price_prediction_[[#This Row],[Mileage]]/1000</f>
        <v>153.86799999999999</v>
      </c>
      <c r="J1565" s="5">
        <v>153868</v>
      </c>
      <c r="K1565" s="1" t="s">
        <v>25</v>
      </c>
      <c r="L1565" s="5">
        <f>car_price_prediction_[[#This Row],[Price]]/100</f>
        <v>49235.03</v>
      </c>
      <c r="M1565">
        <v>4923503</v>
      </c>
      <c r="N1565" s="1" t="s">
        <v>51</v>
      </c>
      <c r="O1565" s="1">
        <f>IF(IFERROR(VLOOKUP(car_price_prediction_[[#This Row],[Car ID]],A1566:A4065,1,FALSE),0),1,0)</f>
        <v>0</v>
      </c>
    </row>
    <row r="1566" spans="1:15" x14ac:dyDescent="0.25">
      <c r="A1566">
        <v>1565</v>
      </c>
      <c r="B1566" s="1" t="s">
        <v>15</v>
      </c>
      <c r="C1566" s="1">
        <f>car_price_prediction_[[#This Row],[Year2]]</f>
        <v>2010</v>
      </c>
      <c r="D1566">
        <v>2010</v>
      </c>
      <c r="E1566">
        <f>car_price_prediction_[[#This Row],[Engine Size]]/10</f>
        <v>5</v>
      </c>
      <c r="F1566">
        <v>50</v>
      </c>
      <c r="G1566" s="1" t="s">
        <v>16</v>
      </c>
      <c r="H1566" s="1" t="s">
        <v>22</v>
      </c>
      <c r="I1566" s="12">
        <f>car_price_prediction_[[#This Row],[Mileage]]/1000</f>
        <v>162.81800000000001</v>
      </c>
      <c r="J1566" s="5">
        <v>162818</v>
      </c>
      <c r="K1566" s="1" t="s">
        <v>17</v>
      </c>
      <c r="L1566" s="5">
        <f>car_price_prediction_[[#This Row],[Price]]/100</f>
        <v>99968.62</v>
      </c>
      <c r="M1566">
        <v>9996862</v>
      </c>
      <c r="N1566" s="1" t="s">
        <v>51</v>
      </c>
      <c r="O1566" s="1">
        <f>IF(IFERROR(VLOOKUP(car_price_prediction_[[#This Row],[Car ID]],A1567:A4066,1,FALSE),0),1,0)</f>
        <v>0</v>
      </c>
    </row>
    <row r="1567" spans="1:15" x14ac:dyDescent="0.25">
      <c r="A1567">
        <v>1566</v>
      </c>
      <c r="B1567" s="1" t="s">
        <v>19</v>
      </c>
      <c r="C1567" s="1">
        <f>car_price_prediction_[[#This Row],[Year2]]</f>
        <v>2006</v>
      </c>
      <c r="D1567">
        <v>2006</v>
      </c>
      <c r="E1567">
        <f>car_price_prediction_[[#This Row],[Engine Size]]/10</f>
        <v>5.3</v>
      </c>
      <c r="F1567">
        <v>53</v>
      </c>
      <c r="G1567" s="1" t="s">
        <v>16</v>
      </c>
      <c r="H1567" s="1" t="s">
        <v>12</v>
      </c>
      <c r="I1567" s="12">
        <f>car_price_prediction_[[#This Row],[Mileage]]/1000</f>
        <v>1.4999999999999999E-2</v>
      </c>
      <c r="J1567" s="5">
        <v>15</v>
      </c>
      <c r="K1567" s="1" t="s">
        <v>17</v>
      </c>
      <c r="L1567" s="5">
        <f>car_price_prediction_[[#This Row],[Price]]/100</f>
        <v>41932.639999999999</v>
      </c>
      <c r="M1567">
        <v>4193264</v>
      </c>
      <c r="N1567" s="1" t="s">
        <v>28</v>
      </c>
      <c r="O1567" s="1">
        <f>IF(IFERROR(VLOOKUP(car_price_prediction_[[#This Row],[Car ID]],A1568:A4067,1,FALSE),0),1,0)</f>
        <v>0</v>
      </c>
    </row>
    <row r="1568" spans="1:15" x14ac:dyDescent="0.25">
      <c r="A1568">
        <v>1567</v>
      </c>
      <c r="B1568" s="1" t="s">
        <v>36</v>
      </c>
      <c r="C1568" s="1">
        <f>car_price_prediction_[[#This Row],[Year2]]</f>
        <v>2003</v>
      </c>
      <c r="D1568">
        <v>2003</v>
      </c>
      <c r="E1568">
        <f>car_price_prediction_[[#This Row],[Engine Size]]/10</f>
        <v>1.7</v>
      </c>
      <c r="F1568">
        <v>17</v>
      </c>
      <c r="G1568" s="1" t="s">
        <v>29</v>
      </c>
      <c r="H1568" s="1" t="s">
        <v>22</v>
      </c>
      <c r="I1568" s="12">
        <f>car_price_prediction_[[#This Row],[Mileage]]/1000</f>
        <v>157.029</v>
      </c>
      <c r="J1568" s="5">
        <v>157029</v>
      </c>
      <c r="K1568" s="1" t="s">
        <v>17</v>
      </c>
      <c r="L1568" s="5">
        <f>car_price_prediction_[[#This Row],[Price]]/100</f>
        <v>41764.910000000003</v>
      </c>
      <c r="M1568">
        <v>4176491</v>
      </c>
      <c r="N1568" s="1" t="s">
        <v>40</v>
      </c>
      <c r="O1568" s="1">
        <f>IF(IFERROR(VLOOKUP(car_price_prediction_[[#This Row],[Car ID]],A1569:A4068,1,FALSE),0),1,0)</f>
        <v>0</v>
      </c>
    </row>
    <row r="1569" spans="1:15" x14ac:dyDescent="0.25">
      <c r="A1569">
        <v>1568</v>
      </c>
      <c r="B1569" s="1" t="s">
        <v>19</v>
      </c>
      <c r="C1569" s="1">
        <f>car_price_prediction_[[#This Row],[Year2]]</f>
        <v>2018</v>
      </c>
      <c r="D1569">
        <v>2018</v>
      </c>
      <c r="E1569">
        <f>car_price_prediction_[[#This Row],[Engine Size]]/10</f>
        <v>5.8</v>
      </c>
      <c r="F1569">
        <v>58</v>
      </c>
      <c r="G1569" s="1" t="s">
        <v>16</v>
      </c>
      <c r="H1569" s="1" t="s">
        <v>22</v>
      </c>
      <c r="I1569" s="12">
        <f>car_price_prediction_[[#This Row],[Mileage]]/1000</f>
        <v>81.540999999999997</v>
      </c>
      <c r="J1569" s="5">
        <v>81541</v>
      </c>
      <c r="K1569" s="1" t="s">
        <v>17</v>
      </c>
      <c r="L1569" s="5">
        <f>car_price_prediction_[[#This Row],[Price]]/100</f>
        <v>52840.27</v>
      </c>
      <c r="M1569">
        <v>5284027</v>
      </c>
      <c r="N1569" s="1" t="s">
        <v>20</v>
      </c>
      <c r="O1569" s="1">
        <f>IF(IFERROR(VLOOKUP(car_price_prediction_[[#This Row],[Car ID]],A1570:A4069,1,FALSE),0),1,0)</f>
        <v>0</v>
      </c>
    </row>
    <row r="1570" spans="1:15" x14ac:dyDescent="0.25">
      <c r="A1570">
        <v>1569</v>
      </c>
      <c r="B1570" s="1" t="s">
        <v>36</v>
      </c>
      <c r="C1570" s="1">
        <f>car_price_prediction_[[#This Row],[Year2]]</f>
        <v>2000</v>
      </c>
      <c r="D1570">
        <v>2000</v>
      </c>
      <c r="E1570">
        <f>car_price_prediction_[[#This Row],[Engine Size]]/10</f>
        <v>2.6</v>
      </c>
      <c r="F1570">
        <v>26</v>
      </c>
      <c r="G1570" s="1" t="s">
        <v>29</v>
      </c>
      <c r="H1570" s="1" t="s">
        <v>12</v>
      </c>
      <c r="I1570" s="12">
        <f>car_price_prediction_[[#This Row],[Mileage]]/1000</f>
        <v>21.292000000000002</v>
      </c>
      <c r="J1570" s="5">
        <v>21292</v>
      </c>
      <c r="K1570" s="1" t="s">
        <v>25</v>
      </c>
      <c r="L1570" s="5">
        <f>car_price_prediction_[[#This Row],[Price]]/100</f>
        <v>2307.88</v>
      </c>
      <c r="M1570">
        <v>230788</v>
      </c>
      <c r="N1570" s="1" t="s">
        <v>37</v>
      </c>
      <c r="O1570" s="1">
        <f>IF(IFERROR(VLOOKUP(car_price_prediction_[[#This Row],[Car ID]],A1571:A4070,1,FALSE),0),1,0)</f>
        <v>0</v>
      </c>
    </row>
    <row r="1571" spans="1:15" x14ac:dyDescent="0.25">
      <c r="A1571">
        <v>1570</v>
      </c>
      <c r="B1571" s="1" t="s">
        <v>10</v>
      </c>
      <c r="C1571" s="1">
        <f>car_price_prediction_[[#This Row],[Year2]]</f>
        <v>2023</v>
      </c>
      <c r="D1571">
        <v>2023</v>
      </c>
      <c r="E1571">
        <f>car_price_prediction_[[#This Row],[Engine Size]]/10</f>
        <v>4.3</v>
      </c>
      <c r="F1571">
        <v>43</v>
      </c>
      <c r="G1571" s="1" t="s">
        <v>16</v>
      </c>
      <c r="H1571" s="1" t="s">
        <v>12</v>
      </c>
      <c r="I1571" s="12">
        <f>car_price_prediction_[[#This Row],[Mileage]]/1000</f>
        <v>162.94800000000001</v>
      </c>
      <c r="J1571" s="5">
        <v>162948</v>
      </c>
      <c r="K1571" s="1" t="s">
        <v>17</v>
      </c>
      <c r="L1571" s="5">
        <f>car_price_prediction_[[#This Row],[Price]]/100</f>
        <v>88248.92</v>
      </c>
      <c r="M1571">
        <v>8824892</v>
      </c>
      <c r="N1571" s="1" t="s">
        <v>49</v>
      </c>
      <c r="O1571" s="1">
        <f>IF(IFERROR(VLOOKUP(car_price_prediction_[[#This Row],[Car ID]],A1572:A4071,1,FALSE),0),1,0)</f>
        <v>0</v>
      </c>
    </row>
    <row r="1572" spans="1:15" x14ac:dyDescent="0.25">
      <c r="A1572">
        <v>1571</v>
      </c>
      <c r="B1572" s="1" t="s">
        <v>10</v>
      </c>
      <c r="C1572" s="1">
        <f>car_price_prediction_[[#This Row],[Year2]]</f>
        <v>2002</v>
      </c>
      <c r="D1572">
        <v>2002</v>
      </c>
      <c r="E1572">
        <f>car_price_prediction_[[#This Row],[Engine Size]]/10</f>
        <v>4.8</v>
      </c>
      <c r="F1572">
        <v>48</v>
      </c>
      <c r="G1572" s="1" t="s">
        <v>16</v>
      </c>
      <c r="H1572" s="1" t="s">
        <v>12</v>
      </c>
      <c r="I1572" s="12">
        <f>car_price_prediction_[[#This Row],[Mileage]]/1000</f>
        <v>191.79900000000001</v>
      </c>
      <c r="J1572" s="5">
        <v>191799</v>
      </c>
      <c r="K1572" s="1" t="s">
        <v>17</v>
      </c>
      <c r="L1572" s="5">
        <f>car_price_prediction_[[#This Row],[Price]]/100</f>
        <v>59365.440000000002</v>
      </c>
      <c r="M1572">
        <v>5936544</v>
      </c>
      <c r="N1572" s="1" t="s">
        <v>14</v>
      </c>
      <c r="O1572" s="1">
        <f>IF(IFERROR(VLOOKUP(car_price_prediction_[[#This Row],[Car ID]],A1573:A4072,1,FALSE),0),1,0)</f>
        <v>0</v>
      </c>
    </row>
    <row r="1573" spans="1:15" x14ac:dyDescent="0.25">
      <c r="A1573">
        <v>1572</v>
      </c>
      <c r="B1573" s="1" t="s">
        <v>30</v>
      </c>
      <c r="C1573" s="1">
        <f>car_price_prediction_[[#This Row],[Year2]]</f>
        <v>2012</v>
      </c>
      <c r="D1573">
        <v>2012</v>
      </c>
      <c r="E1573">
        <f>car_price_prediction_[[#This Row],[Engine Size]]/10</f>
        <v>5.0999999999999996</v>
      </c>
      <c r="F1573">
        <v>51</v>
      </c>
      <c r="G1573" s="1" t="s">
        <v>16</v>
      </c>
      <c r="H1573" s="1" t="s">
        <v>12</v>
      </c>
      <c r="I1573" s="12">
        <f>car_price_prediction_[[#This Row],[Mileage]]/1000</f>
        <v>47.045999999999999</v>
      </c>
      <c r="J1573" s="5">
        <v>47046</v>
      </c>
      <c r="K1573" s="1" t="s">
        <v>13</v>
      </c>
      <c r="L1573" s="5">
        <f>car_price_prediction_[[#This Row],[Price]]/100</f>
        <v>23250.23</v>
      </c>
      <c r="M1573">
        <v>2325023</v>
      </c>
      <c r="N1573" s="1" t="s">
        <v>45</v>
      </c>
      <c r="O1573" s="1">
        <f>IF(IFERROR(VLOOKUP(car_price_prediction_[[#This Row],[Car ID]],A1574:A4073,1,FALSE),0),1,0)</f>
        <v>0</v>
      </c>
    </row>
    <row r="1574" spans="1:15" x14ac:dyDescent="0.25">
      <c r="A1574">
        <v>1573</v>
      </c>
      <c r="B1574" s="1" t="s">
        <v>10</v>
      </c>
      <c r="C1574" s="1">
        <f>car_price_prediction_[[#This Row],[Year2]]</f>
        <v>2014</v>
      </c>
      <c r="D1574">
        <v>2014</v>
      </c>
      <c r="E1574">
        <f>car_price_prediction_[[#This Row],[Engine Size]]/10</f>
        <v>5.7</v>
      </c>
      <c r="F1574">
        <v>57</v>
      </c>
      <c r="G1574" s="1" t="s">
        <v>21</v>
      </c>
      <c r="H1574" s="1" t="s">
        <v>22</v>
      </c>
      <c r="I1574" s="12">
        <f>car_price_prediction_[[#This Row],[Mileage]]/1000</f>
        <v>14.817</v>
      </c>
      <c r="J1574" s="5">
        <v>14817</v>
      </c>
      <c r="K1574" s="1" t="s">
        <v>17</v>
      </c>
      <c r="L1574" s="5">
        <f>car_price_prediction_[[#This Row],[Price]]/100</f>
        <v>80376.95</v>
      </c>
      <c r="M1574">
        <v>8037695</v>
      </c>
      <c r="N1574" s="1" t="s">
        <v>14</v>
      </c>
      <c r="O1574" s="1">
        <f>IF(IFERROR(VLOOKUP(car_price_prediction_[[#This Row],[Car ID]],A1575:A4074,1,FALSE),0),1,0)</f>
        <v>0</v>
      </c>
    </row>
    <row r="1575" spans="1:15" x14ac:dyDescent="0.25">
      <c r="A1575">
        <v>1574</v>
      </c>
      <c r="B1575" s="1" t="s">
        <v>30</v>
      </c>
      <c r="C1575" s="1">
        <f>car_price_prediction_[[#This Row],[Year2]]</f>
        <v>2001</v>
      </c>
      <c r="D1575">
        <v>2001</v>
      </c>
      <c r="E1575">
        <f>car_price_prediction_[[#This Row],[Engine Size]]/10</f>
        <v>2.6</v>
      </c>
      <c r="F1575">
        <v>26</v>
      </c>
      <c r="G1575" s="1" t="s">
        <v>21</v>
      </c>
      <c r="H1575" s="1" t="s">
        <v>12</v>
      </c>
      <c r="I1575" s="12">
        <f>car_price_prediction_[[#This Row],[Mileage]]/1000</f>
        <v>9.7590000000000003</v>
      </c>
      <c r="J1575" s="5">
        <v>9759</v>
      </c>
      <c r="K1575" s="1" t="s">
        <v>17</v>
      </c>
      <c r="L1575" s="5">
        <f>car_price_prediction_[[#This Row],[Price]]/100</f>
        <v>8261.56</v>
      </c>
      <c r="M1575">
        <v>826156</v>
      </c>
      <c r="N1575" s="1" t="s">
        <v>31</v>
      </c>
      <c r="O1575" s="1">
        <f>IF(IFERROR(VLOOKUP(car_price_prediction_[[#This Row],[Car ID]],A1576:A4075,1,FALSE),0),1,0)</f>
        <v>0</v>
      </c>
    </row>
    <row r="1576" spans="1:15" x14ac:dyDescent="0.25">
      <c r="A1576">
        <v>1575</v>
      </c>
      <c r="B1576" s="1" t="s">
        <v>10</v>
      </c>
      <c r="C1576" s="1">
        <f>car_price_prediction_[[#This Row],[Year2]]</f>
        <v>2010</v>
      </c>
      <c r="D1576">
        <v>2010</v>
      </c>
      <c r="E1576">
        <f>car_price_prediction_[[#This Row],[Engine Size]]/10</f>
        <v>5.3</v>
      </c>
      <c r="F1576">
        <v>53</v>
      </c>
      <c r="G1576" s="1" t="s">
        <v>29</v>
      </c>
      <c r="H1576" s="1" t="s">
        <v>12</v>
      </c>
      <c r="I1576" s="12">
        <f>car_price_prediction_[[#This Row],[Mileage]]/1000</f>
        <v>179.50399999999999</v>
      </c>
      <c r="J1576" s="5">
        <v>179504</v>
      </c>
      <c r="K1576" s="1" t="s">
        <v>25</v>
      </c>
      <c r="L1576" s="5">
        <f>car_price_prediction_[[#This Row],[Price]]/100</f>
        <v>9834.36</v>
      </c>
      <c r="M1576">
        <v>983436</v>
      </c>
      <c r="N1576" s="1" t="s">
        <v>33</v>
      </c>
      <c r="O1576" s="1">
        <f>IF(IFERROR(VLOOKUP(car_price_prediction_[[#This Row],[Car ID]],A1577:A4076,1,FALSE),0),1,0)</f>
        <v>0</v>
      </c>
    </row>
    <row r="1577" spans="1:15" x14ac:dyDescent="0.25">
      <c r="A1577">
        <v>1576</v>
      </c>
      <c r="B1577" s="1" t="s">
        <v>43</v>
      </c>
      <c r="C1577" s="1">
        <f>car_price_prediction_[[#This Row],[Year2]]</f>
        <v>2003</v>
      </c>
      <c r="D1577">
        <v>2003</v>
      </c>
      <c r="E1577">
        <f>car_price_prediction_[[#This Row],[Engine Size]]/10</f>
        <v>1.7</v>
      </c>
      <c r="F1577">
        <v>17</v>
      </c>
      <c r="G1577" s="1" t="s">
        <v>21</v>
      </c>
      <c r="H1577" s="1" t="s">
        <v>12</v>
      </c>
      <c r="I1577" s="12">
        <f>car_price_prediction_[[#This Row],[Mileage]]/1000</f>
        <v>268.55599999999998</v>
      </c>
      <c r="J1577" s="5">
        <v>268556</v>
      </c>
      <c r="K1577" s="1" t="s">
        <v>17</v>
      </c>
      <c r="L1577" s="5">
        <f>car_price_prediction_[[#This Row],[Price]]/100</f>
        <v>87189.19</v>
      </c>
      <c r="M1577">
        <v>8718919</v>
      </c>
      <c r="N1577" s="1" t="s">
        <v>44</v>
      </c>
      <c r="O1577" s="1">
        <f>IF(IFERROR(VLOOKUP(car_price_prediction_[[#This Row],[Car ID]],A1578:A4077,1,FALSE),0),1,0)</f>
        <v>0</v>
      </c>
    </row>
    <row r="1578" spans="1:15" x14ac:dyDescent="0.25">
      <c r="A1578">
        <v>1577</v>
      </c>
      <c r="B1578" s="1" t="s">
        <v>10</v>
      </c>
      <c r="C1578" s="1">
        <f>car_price_prediction_[[#This Row],[Year2]]</f>
        <v>2018</v>
      </c>
      <c r="D1578">
        <v>2018</v>
      </c>
      <c r="E1578">
        <f>car_price_prediction_[[#This Row],[Engine Size]]/10</f>
        <v>4.5</v>
      </c>
      <c r="F1578">
        <v>45</v>
      </c>
      <c r="G1578" s="1" t="s">
        <v>29</v>
      </c>
      <c r="H1578" s="1" t="s">
        <v>22</v>
      </c>
      <c r="I1578" s="12">
        <f>car_price_prediction_[[#This Row],[Mileage]]/1000</f>
        <v>282.64800000000002</v>
      </c>
      <c r="J1578" s="5">
        <v>282648</v>
      </c>
      <c r="K1578" s="1" t="s">
        <v>17</v>
      </c>
      <c r="L1578" s="5">
        <f>car_price_prediction_[[#This Row],[Price]]/100</f>
        <v>60065.75</v>
      </c>
      <c r="M1578">
        <v>6006575</v>
      </c>
      <c r="N1578" s="1" t="s">
        <v>14</v>
      </c>
      <c r="O1578" s="1">
        <f>IF(IFERROR(VLOOKUP(car_price_prediction_[[#This Row],[Car ID]],A1579:A4078,1,FALSE),0),1,0)</f>
        <v>0</v>
      </c>
    </row>
    <row r="1579" spans="1:15" x14ac:dyDescent="0.25">
      <c r="A1579">
        <v>1578</v>
      </c>
      <c r="B1579" s="1" t="s">
        <v>19</v>
      </c>
      <c r="C1579" s="1">
        <f>car_price_prediction_[[#This Row],[Year2]]</f>
        <v>2016</v>
      </c>
      <c r="D1579">
        <v>2016</v>
      </c>
      <c r="E1579">
        <f>car_price_prediction_[[#This Row],[Engine Size]]/10</f>
        <v>4.7</v>
      </c>
      <c r="F1579">
        <v>47</v>
      </c>
      <c r="G1579" s="1" t="s">
        <v>11</v>
      </c>
      <c r="H1579" s="1" t="s">
        <v>12</v>
      </c>
      <c r="I1579" s="12">
        <f>car_price_prediction_[[#This Row],[Mileage]]/1000</f>
        <v>270.65100000000001</v>
      </c>
      <c r="J1579" s="5">
        <v>270651</v>
      </c>
      <c r="K1579" s="1" t="s">
        <v>25</v>
      </c>
      <c r="L1579" s="5">
        <f>car_price_prediction_[[#This Row],[Price]]/100</f>
        <v>15573.09</v>
      </c>
      <c r="M1579">
        <v>1557309</v>
      </c>
      <c r="N1579" s="1" t="s">
        <v>20</v>
      </c>
      <c r="O1579" s="1">
        <f>IF(IFERROR(VLOOKUP(car_price_prediction_[[#This Row],[Car ID]],A1580:A4079,1,FALSE),0),1,0)</f>
        <v>0</v>
      </c>
    </row>
    <row r="1580" spans="1:15" x14ac:dyDescent="0.25">
      <c r="A1580">
        <v>1579</v>
      </c>
      <c r="B1580" s="1" t="s">
        <v>24</v>
      </c>
      <c r="C1580" s="1">
        <f>car_price_prediction_[[#This Row],[Year2]]</f>
        <v>2002</v>
      </c>
      <c r="D1580">
        <v>2002</v>
      </c>
      <c r="E1580">
        <f>car_price_prediction_[[#This Row],[Engine Size]]/10</f>
        <v>4.4000000000000004</v>
      </c>
      <c r="F1580">
        <v>44</v>
      </c>
      <c r="G1580" s="1" t="s">
        <v>11</v>
      </c>
      <c r="H1580" s="1" t="s">
        <v>22</v>
      </c>
      <c r="I1580" s="12">
        <f>car_price_prediction_[[#This Row],[Mileage]]/1000</f>
        <v>21.05</v>
      </c>
      <c r="J1580" s="5">
        <v>21050</v>
      </c>
      <c r="K1580" s="1" t="s">
        <v>17</v>
      </c>
      <c r="L1580" s="5">
        <f>car_price_prediction_[[#This Row],[Price]]/100</f>
        <v>25450.91</v>
      </c>
      <c r="M1580">
        <v>2545091</v>
      </c>
      <c r="N1580" s="1" t="s">
        <v>32</v>
      </c>
      <c r="O1580" s="1">
        <f>IF(IFERROR(VLOOKUP(car_price_prediction_[[#This Row],[Car ID]],A1581:A4080,1,FALSE),0),1,0)</f>
        <v>0</v>
      </c>
    </row>
    <row r="1581" spans="1:15" x14ac:dyDescent="0.25">
      <c r="A1581">
        <v>1580</v>
      </c>
      <c r="B1581" s="1" t="s">
        <v>19</v>
      </c>
      <c r="C1581" s="1">
        <f>car_price_prediction_[[#This Row],[Year2]]</f>
        <v>2017</v>
      </c>
      <c r="D1581">
        <v>2017</v>
      </c>
      <c r="E1581">
        <f>car_price_prediction_[[#This Row],[Engine Size]]/10</f>
        <v>2.2999999999999998</v>
      </c>
      <c r="F1581">
        <v>23</v>
      </c>
      <c r="G1581" s="1" t="s">
        <v>21</v>
      </c>
      <c r="H1581" s="1" t="s">
        <v>12</v>
      </c>
      <c r="I1581" s="12">
        <f>car_price_prediction_[[#This Row],[Mileage]]/1000</f>
        <v>100.15300000000001</v>
      </c>
      <c r="J1581" s="5">
        <v>100153</v>
      </c>
      <c r="K1581" s="1" t="s">
        <v>25</v>
      </c>
      <c r="L1581" s="5">
        <f>car_price_prediction_[[#This Row],[Price]]/100</f>
        <v>31546.34</v>
      </c>
      <c r="M1581">
        <v>3154634</v>
      </c>
      <c r="N1581" s="1" t="s">
        <v>27</v>
      </c>
      <c r="O1581" s="1">
        <f>IF(IFERROR(VLOOKUP(car_price_prediction_[[#This Row],[Car ID]],A1582:A4081,1,FALSE),0),1,0)</f>
        <v>0</v>
      </c>
    </row>
    <row r="1582" spans="1:15" x14ac:dyDescent="0.25">
      <c r="A1582">
        <v>1581</v>
      </c>
      <c r="B1582" s="1" t="s">
        <v>24</v>
      </c>
      <c r="C1582" s="1">
        <f>car_price_prediction_[[#This Row],[Year2]]</f>
        <v>2007</v>
      </c>
      <c r="D1582">
        <v>2007</v>
      </c>
      <c r="E1582">
        <f>car_price_prediction_[[#This Row],[Engine Size]]/10</f>
        <v>5.4</v>
      </c>
      <c r="F1582">
        <v>54</v>
      </c>
      <c r="G1582" s="1" t="s">
        <v>11</v>
      </c>
      <c r="H1582" s="1" t="s">
        <v>22</v>
      </c>
      <c r="I1582" s="12">
        <f>car_price_prediction_[[#This Row],[Mileage]]/1000</f>
        <v>275.73099999999999</v>
      </c>
      <c r="J1582" s="5">
        <v>275731</v>
      </c>
      <c r="K1582" s="1" t="s">
        <v>17</v>
      </c>
      <c r="L1582" s="5">
        <f>car_price_prediction_[[#This Row],[Price]]/100</f>
        <v>27898.02</v>
      </c>
      <c r="M1582">
        <v>2789802</v>
      </c>
      <c r="N1582" s="1" t="s">
        <v>34</v>
      </c>
      <c r="O1582" s="1">
        <f>IF(IFERROR(VLOOKUP(car_price_prediction_[[#This Row],[Car ID]],A1583:A4082,1,FALSE),0),1,0)</f>
        <v>0</v>
      </c>
    </row>
    <row r="1583" spans="1:15" x14ac:dyDescent="0.25">
      <c r="A1583">
        <v>1582</v>
      </c>
      <c r="B1583" s="1" t="s">
        <v>15</v>
      </c>
      <c r="C1583" s="1">
        <f>car_price_prediction_[[#This Row],[Year2]]</f>
        <v>2021</v>
      </c>
      <c r="D1583">
        <v>2021</v>
      </c>
      <c r="E1583">
        <f>car_price_prediction_[[#This Row],[Engine Size]]/10</f>
        <v>1.8</v>
      </c>
      <c r="F1583">
        <v>18</v>
      </c>
      <c r="G1583" s="1" t="s">
        <v>11</v>
      </c>
      <c r="H1583" s="1" t="s">
        <v>12</v>
      </c>
      <c r="I1583" s="12">
        <f>car_price_prediction_[[#This Row],[Mileage]]/1000</f>
        <v>231.32900000000001</v>
      </c>
      <c r="J1583" s="5">
        <v>231329</v>
      </c>
      <c r="K1583" s="1" t="s">
        <v>13</v>
      </c>
      <c r="L1583" s="5">
        <f>car_price_prediction_[[#This Row],[Price]]/100</f>
        <v>5226.4399999999996</v>
      </c>
      <c r="M1583">
        <v>522644</v>
      </c>
      <c r="N1583" s="1" t="s">
        <v>18</v>
      </c>
      <c r="O1583" s="1">
        <f>IF(IFERROR(VLOOKUP(car_price_prediction_[[#This Row],[Car ID]],A1584:A4083,1,FALSE),0),1,0)</f>
        <v>0</v>
      </c>
    </row>
    <row r="1584" spans="1:15" x14ac:dyDescent="0.25">
      <c r="A1584">
        <v>1583</v>
      </c>
      <c r="B1584" s="1" t="s">
        <v>19</v>
      </c>
      <c r="C1584" s="1">
        <f>car_price_prediction_[[#This Row],[Year2]]</f>
        <v>2023</v>
      </c>
      <c r="D1584">
        <v>2023</v>
      </c>
      <c r="E1584">
        <f>car_price_prediction_[[#This Row],[Engine Size]]/10</f>
        <v>1.3</v>
      </c>
      <c r="F1584">
        <v>13</v>
      </c>
      <c r="G1584" s="1" t="s">
        <v>16</v>
      </c>
      <c r="H1584" s="1" t="s">
        <v>12</v>
      </c>
      <c r="I1584" s="12">
        <f>car_price_prediction_[[#This Row],[Mileage]]/1000</f>
        <v>57.731999999999999</v>
      </c>
      <c r="J1584" s="5">
        <v>57732</v>
      </c>
      <c r="K1584" s="1" t="s">
        <v>13</v>
      </c>
      <c r="L1584" s="5">
        <f>car_price_prediction_[[#This Row],[Price]]/100</f>
        <v>94733.24</v>
      </c>
      <c r="M1584">
        <v>9473324</v>
      </c>
      <c r="N1584" s="1" t="s">
        <v>28</v>
      </c>
      <c r="O1584" s="1">
        <f>IF(IFERROR(VLOOKUP(car_price_prediction_[[#This Row],[Car ID]],A1585:A4084,1,FALSE),0),1,0)</f>
        <v>0</v>
      </c>
    </row>
    <row r="1585" spans="1:15" x14ac:dyDescent="0.25">
      <c r="A1585">
        <v>1584</v>
      </c>
      <c r="B1585" s="1" t="s">
        <v>15</v>
      </c>
      <c r="C1585" s="1">
        <f>car_price_prediction_[[#This Row],[Year2]]</f>
        <v>2018</v>
      </c>
      <c r="D1585">
        <v>2018</v>
      </c>
      <c r="E1585">
        <f>car_price_prediction_[[#This Row],[Engine Size]]/10</f>
        <v>4.5999999999999996</v>
      </c>
      <c r="F1585">
        <v>46</v>
      </c>
      <c r="G1585" s="1" t="s">
        <v>16</v>
      </c>
      <c r="H1585" s="1" t="s">
        <v>22</v>
      </c>
      <c r="I1585" s="12">
        <f>car_price_prediction_[[#This Row],[Mileage]]/1000</f>
        <v>51.920999999999999</v>
      </c>
      <c r="J1585" s="5">
        <v>51921</v>
      </c>
      <c r="K1585" s="1" t="s">
        <v>17</v>
      </c>
      <c r="L1585" s="5">
        <f>car_price_prediction_[[#This Row],[Price]]/100</f>
        <v>4719.6400000000003</v>
      </c>
      <c r="M1585">
        <v>471964</v>
      </c>
      <c r="N1585" s="1" t="s">
        <v>39</v>
      </c>
      <c r="O1585" s="1">
        <f>IF(IFERROR(VLOOKUP(car_price_prediction_[[#This Row],[Car ID]],A1586:A4085,1,FALSE),0),1,0)</f>
        <v>0</v>
      </c>
    </row>
    <row r="1586" spans="1:15" x14ac:dyDescent="0.25">
      <c r="A1586">
        <v>1585</v>
      </c>
      <c r="B1586" s="1" t="s">
        <v>30</v>
      </c>
      <c r="C1586" s="1">
        <f>car_price_prediction_[[#This Row],[Year2]]</f>
        <v>2004</v>
      </c>
      <c r="D1586">
        <v>2004</v>
      </c>
      <c r="E1586">
        <f>car_price_prediction_[[#This Row],[Engine Size]]/10</f>
        <v>3.4</v>
      </c>
      <c r="F1586">
        <v>34</v>
      </c>
      <c r="G1586" s="1" t="s">
        <v>29</v>
      </c>
      <c r="H1586" s="1" t="s">
        <v>12</v>
      </c>
      <c r="I1586" s="12">
        <f>car_price_prediction_[[#This Row],[Mileage]]/1000</f>
        <v>117.73399999999999</v>
      </c>
      <c r="J1586" s="5">
        <v>117734</v>
      </c>
      <c r="K1586" s="1" t="s">
        <v>13</v>
      </c>
      <c r="L1586" s="5">
        <f>car_price_prediction_[[#This Row],[Price]]/100</f>
        <v>67848.63</v>
      </c>
      <c r="M1586">
        <v>6784863</v>
      </c>
      <c r="N1586" s="1" t="s">
        <v>48</v>
      </c>
      <c r="O1586" s="1">
        <f>IF(IFERROR(VLOOKUP(car_price_prediction_[[#This Row],[Car ID]],A1587:A4086,1,FALSE),0),1,0)</f>
        <v>0</v>
      </c>
    </row>
    <row r="1587" spans="1:15" x14ac:dyDescent="0.25">
      <c r="A1587">
        <v>1586</v>
      </c>
      <c r="B1587" s="1" t="s">
        <v>30</v>
      </c>
      <c r="C1587" s="1">
        <f>car_price_prediction_[[#This Row],[Year2]]</f>
        <v>2006</v>
      </c>
      <c r="D1587">
        <v>2006</v>
      </c>
      <c r="E1587">
        <f>car_price_prediction_[[#This Row],[Engine Size]]/10</f>
        <v>5.2</v>
      </c>
      <c r="F1587">
        <v>52</v>
      </c>
      <c r="G1587" s="1" t="s">
        <v>11</v>
      </c>
      <c r="H1587" s="1" t="s">
        <v>12</v>
      </c>
      <c r="I1587" s="12">
        <f>car_price_prediction_[[#This Row],[Mileage]]/1000</f>
        <v>137.91200000000001</v>
      </c>
      <c r="J1587" s="5">
        <v>137912</v>
      </c>
      <c r="K1587" s="1" t="s">
        <v>25</v>
      </c>
      <c r="L1587" s="5">
        <f>car_price_prediction_[[#This Row],[Price]]/100</f>
        <v>7041.54</v>
      </c>
      <c r="M1587">
        <v>704154</v>
      </c>
      <c r="N1587" s="1" t="s">
        <v>48</v>
      </c>
      <c r="O1587" s="1">
        <f>IF(IFERROR(VLOOKUP(car_price_prediction_[[#This Row],[Car ID]],A1588:A4087,1,FALSE),0),1,0)</f>
        <v>0</v>
      </c>
    </row>
    <row r="1588" spans="1:15" x14ac:dyDescent="0.25">
      <c r="A1588">
        <v>1587</v>
      </c>
      <c r="B1588" s="1" t="s">
        <v>43</v>
      </c>
      <c r="C1588" s="1">
        <f>car_price_prediction_[[#This Row],[Year2]]</f>
        <v>2020</v>
      </c>
      <c r="D1588">
        <v>2020</v>
      </c>
      <c r="E1588">
        <f>car_price_prediction_[[#This Row],[Engine Size]]/10</f>
        <v>2.9</v>
      </c>
      <c r="F1588">
        <v>29</v>
      </c>
      <c r="G1588" s="1" t="s">
        <v>29</v>
      </c>
      <c r="H1588" s="1" t="s">
        <v>12</v>
      </c>
      <c r="I1588" s="12">
        <f>car_price_prediction_[[#This Row],[Mileage]]/1000</f>
        <v>31.44</v>
      </c>
      <c r="J1588" s="5">
        <v>31440</v>
      </c>
      <c r="K1588" s="1" t="s">
        <v>17</v>
      </c>
      <c r="L1588" s="5">
        <f>car_price_prediction_[[#This Row],[Price]]/100</f>
        <v>87800.17</v>
      </c>
      <c r="M1588">
        <v>8780017</v>
      </c>
      <c r="N1588" s="1" t="s">
        <v>47</v>
      </c>
      <c r="O1588" s="1">
        <f>IF(IFERROR(VLOOKUP(car_price_prediction_[[#This Row],[Car ID]],A1589:A4088,1,FALSE),0),1,0)</f>
        <v>0</v>
      </c>
    </row>
    <row r="1589" spans="1:15" x14ac:dyDescent="0.25">
      <c r="A1589">
        <v>1588</v>
      </c>
      <c r="B1589" s="1" t="s">
        <v>10</v>
      </c>
      <c r="C1589" s="1">
        <f>car_price_prediction_[[#This Row],[Year2]]</f>
        <v>2007</v>
      </c>
      <c r="D1589">
        <v>2007</v>
      </c>
      <c r="E1589">
        <f>car_price_prediction_[[#This Row],[Engine Size]]/10</f>
        <v>1.8</v>
      </c>
      <c r="F1589">
        <v>18</v>
      </c>
      <c r="G1589" s="1" t="s">
        <v>29</v>
      </c>
      <c r="H1589" s="1" t="s">
        <v>22</v>
      </c>
      <c r="I1589" s="12">
        <f>car_price_prediction_[[#This Row],[Mileage]]/1000</f>
        <v>35.183</v>
      </c>
      <c r="J1589" s="5">
        <v>35183</v>
      </c>
      <c r="K1589" s="1" t="s">
        <v>25</v>
      </c>
      <c r="L1589" s="5">
        <f>car_price_prediction_[[#This Row],[Price]]/100</f>
        <v>8213.02</v>
      </c>
      <c r="M1589">
        <v>821302</v>
      </c>
      <c r="N1589" s="1" t="s">
        <v>23</v>
      </c>
      <c r="O1589" s="1">
        <f>IF(IFERROR(VLOOKUP(car_price_prediction_[[#This Row],[Car ID]],A1590:A4089,1,FALSE),0),1,0)</f>
        <v>0</v>
      </c>
    </row>
    <row r="1590" spans="1:15" x14ac:dyDescent="0.25">
      <c r="A1590">
        <v>1589</v>
      </c>
      <c r="B1590" s="1" t="s">
        <v>19</v>
      </c>
      <c r="C1590" s="1">
        <f>car_price_prediction_[[#This Row],[Year2]]</f>
        <v>2004</v>
      </c>
      <c r="D1590">
        <v>2004</v>
      </c>
      <c r="E1590">
        <f>car_price_prediction_[[#This Row],[Engine Size]]/10</f>
        <v>5.2</v>
      </c>
      <c r="F1590">
        <v>52</v>
      </c>
      <c r="G1590" s="1" t="s">
        <v>11</v>
      </c>
      <c r="H1590" s="1" t="s">
        <v>12</v>
      </c>
      <c r="I1590" s="12">
        <f>car_price_prediction_[[#This Row],[Mileage]]/1000</f>
        <v>133.46100000000001</v>
      </c>
      <c r="J1590" s="5">
        <v>133461</v>
      </c>
      <c r="K1590" s="1" t="s">
        <v>13</v>
      </c>
      <c r="L1590" s="5">
        <f>car_price_prediction_[[#This Row],[Price]]/100</f>
        <v>43411.360000000001</v>
      </c>
      <c r="M1590">
        <v>4341136</v>
      </c>
      <c r="N1590" s="1" t="s">
        <v>20</v>
      </c>
      <c r="O1590" s="1">
        <f>IF(IFERROR(VLOOKUP(car_price_prediction_[[#This Row],[Car ID]],A1591:A4090,1,FALSE),0),1,0)</f>
        <v>0</v>
      </c>
    </row>
    <row r="1591" spans="1:15" x14ac:dyDescent="0.25">
      <c r="A1591">
        <v>1590</v>
      </c>
      <c r="B1591" s="1" t="s">
        <v>15</v>
      </c>
      <c r="C1591" s="1">
        <f>car_price_prediction_[[#This Row],[Year2]]</f>
        <v>2016</v>
      </c>
      <c r="D1591">
        <v>2016</v>
      </c>
      <c r="E1591">
        <f>car_price_prediction_[[#This Row],[Engine Size]]/10</f>
        <v>3.7</v>
      </c>
      <c r="F1591">
        <v>37</v>
      </c>
      <c r="G1591" s="1" t="s">
        <v>21</v>
      </c>
      <c r="H1591" s="1" t="s">
        <v>22</v>
      </c>
      <c r="I1591" s="12">
        <f>car_price_prediction_[[#This Row],[Mileage]]/1000</f>
        <v>114.515</v>
      </c>
      <c r="J1591" s="5">
        <v>114515</v>
      </c>
      <c r="K1591" s="1" t="s">
        <v>25</v>
      </c>
      <c r="L1591" s="5">
        <f>car_price_prediction_[[#This Row],[Price]]/100</f>
        <v>79549.84</v>
      </c>
      <c r="M1591">
        <v>7954984</v>
      </c>
      <c r="N1591" s="1" t="s">
        <v>51</v>
      </c>
      <c r="O1591" s="1">
        <f>IF(IFERROR(VLOOKUP(car_price_prediction_[[#This Row],[Car ID]],A1592:A4091,1,FALSE),0),1,0)</f>
        <v>0</v>
      </c>
    </row>
    <row r="1592" spans="1:15" x14ac:dyDescent="0.25">
      <c r="A1592">
        <v>1591</v>
      </c>
      <c r="B1592" s="1" t="s">
        <v>24</v>
      </c>
      <c r="C1592" s="1">
        <f>car_price_prediction_[[#This Row],[Year2]]</f>
        <v>2004</v>
      </c>
      <c r="D1592">
        <v>2004</v>
      </c>
      <c r="E1592">
        <f>car_price_prediction_[[#This Row],[Engine Size]]/10</f>
        <v>1.9</v>
      </c>
      <c r="F1592">
        <v>19</v>
      </c>
      <c r="G1592" s="1" t="s">
        <v>11</v>
      </c>
      <c r="H1592" s="1" t="s">
        <v>22</v>
      </c>
      <c r="I1592" s="12">
        <f>car_price_prediction_[[#This Row],[Mileage]]/1000</f>
        <v>220.53299999999999</v>
      </c>
      <c r="J1592" s="5">
        <v>220533</v>
      </c>
      <c r="K1592" s="1" t="s">
        <v>13</v>
      </c>
      <c r="L1592" s="5">
        <f>car_price_prediction_[[#This Row],[Price]]/100</f>
        <v>82412.37</v>
      </c>
      <c r="M1592">
        <v>8241237</v>
      </c>
      <c r="N1592" s="1" t="s">
        <v>26</v>
      </c>
      <c r="O1592" s="1">
        <f>IF(IFERROR(VLOOKUP(car_price_prediction_[[#This Row],[Car ID]],A1593:A4092,1,FALSE),0),1,0)</f>
        <v>0</v>
      </c>
    </row>
    <row r="1593" spans="1:15" x14ac:dyDescent="0.25">
      <c r="A1593">
        <v>1592</v>
      </c>
      <c r="B1593" s="1" t="s">
        <v>30</v>
      </c>
      <c r="C1593" s="1">
        <f>car_price_prediction_[[#This Row],[Year2]]</f>
        <v>2003</v>
      </c>
      <c r="D1593">
        <v>2003</v>
      </c>
      <c r="E1593">
        <f>car_price_prediction_[[#This Row],[Engine Size]]/10</f>
        <v>4.5999999999999996</v>
      </c>
      <c r="F1593">
        <v>46</v>
      </c>
      <c r="G1593" s="1" t="s">
        <v>16</v>
      </c>
      <c r="H1593" s="1" t="s">
        <v>22</v>
      </c>
      <c r="I1593" s="12">
        <f>car_price_prediction_[[#This Row],[Mileage]]/1000</f>
        <v>115.503</v>
      </c>
      <c r="J1593" s="5">
        <v>115503</v>
      </c>
      <c r="K1593" s="1" t="s">
        <v>13</v>
      </c>
      <c r="L1593" s="5">
        <f>car_price_prediction_[[#This Row],[Price]]/100</f>
        <v>9309.66</v>
      </c>
      <c r="M1593">
        <v>930966</v>
      </c>
      <c r="N1593" s="1" t="s">
        <v>42</v>
      </c>
      <c r="O1593" s="1">
        <f>IF(IFERROR(VLOOKUP(car_price_prediction_[[#This Row],[Car ID]],A1594:A4093,1,FALSE),0),1,0)</f>
        <v>0</v>
      </c>
    </row>
    <row r="1594" spans="1:15" x14ac:dyDescent="0.25">
      <c r="A1594">
        <v>1593</v>
      </c>
      <c r="B1594" s="1" t="s">
        <v>10</v>
      </c>
      <c r="C1594" s="1">
        <f>car_price_prediction_[[#This Row],[Year2]]</f>
        <v>2021</v>
      </c>
      <c r="D1594">
        <v>2021</v>
      </c>
      <c r="E1594">
        <f>car_price_prediction_[[#This Row],[Engine Size]]/10</f>
        <v>3.6</v>
      </c>
      <c r="F1594">
        <v>36</v>
      </c>
      <c r="G1594" s="1" t="s">
        <v>11</v>
      </c>
      <c r="H1594" s="1" t="s">
        <v>12</v>
      </c>
      <c r="I1594" s="12">
        <f>car_price_prediction_[[#This Row],[Mileage]]/1000</f>
        <v>39.023000000000003</v>
      </c>
      <c r="J1594" s="5">
        <v>39023</v>
      </c>
      <c r="K1594" s="1" t="s">
        <v>13</v>
      </c>
      <c r="L1594" s="5">
        <f>car_price_prediction_[[#This Row],[Price]]/100</f>
        <v>71765.460000000006</v>
      </c>
      <c r="M1594">
        <v>7176546</v>
      </c>
      <c r="N1594" s="1" t="s">
        <v>33</v>
      </c>
      <c r="O1594" s="1">
        <f>IF(IFERROR(VLOOKUP(car_price_prediction_[[#This Row],[Car ID]],A1595:A4094,1,FALSE),0),1,0)</f>
        <v>0</v>
      </c>
    </row>
    <row r="1595" spans="1:15" x14ac:dyDescent="0.25">
      <c r="A1595">
        <v>1594</v>
      </c>
      <c r="B1595" s="1" t="s">
        <v>30</v>
      </c>
      <c r="C1595" s="1">
        <f>car_price_prediction_[[#This Row],[Year2]]</f>
        <v>2018</v>
      </c>
      <c r="D1595">
        <v>2018</v>
      </c>
      <c r="E1595">
        <f>car_price_prediction_[[#This Row],[Engine Size]]/10</f>
        <v>4</v>
      </c>
      <c r="F1595">
        <v>40</v>
      </c>
      <c r="G1595" s="1" t="s">
        <v>21</v>
      </c>
      <c r="H1595" s="1" t="s">
        <v>22</v>
      </c>
      <c r="I1595" s="12">
        <f>car_price_prediction_[[#This Row],[Mileage]]/1000</f>
        <v>181.101</v>
      </c>
      <c r="J1595" s="5">
        <v>181101</v>
      </c>
      <c r="K1595" s="1" t="s">
        <v>25</v>
      </c>
      <c r="L1595" s="5">
        <f>car_price_prediction_[[#This Row],[Price]]/100</f>
        <v>28289.62</v>
      </c>
      <c r="M1595">
        <v>2828962</v>
      </c>
      <c r="N1595" s="1" t="s">
        <v>42</v>
      </c>
      <c r="O1595" s="1">
        <f>IF(IFERROR(VLOOKUP(car_price_prediction_[[#This Row],[Car ID]],A1596:A4095,1,FALSE),0),1,0)</f>
        <v>0</v>
      </c>
    </row>
    <row r="1596" spans="1:15" x14ac:dyDescent="0.25">
      <c r="A1596">
        <v>1595</v>
      </c>
      <c r="B1596" s="1" t="s">
        <v>24</v>
      </c>
      <c r="C1596" s="1">
        <f>car_price_prediction_[[#This Row],[Year2]]</f>
        <v>2020</v>
      </c>
      <c r="D1596">
        <v>2020</v>
      </c>
      <c r="E1596">
        <f>car_price_prediction_[[#This Row],[Engine Size]]/10</f>
        <v>3.3</v>
      </c>
      <c r="F1596">
        <v>33</v>
      </c>
      <c r="G1596" s="1" t="s">
        <v>29</v>
      </c>
      <c r="H1596" s="1" t="s">
        <v>22</v>
      </c>
      <c r="I1596" s="12">
        <f>car_price_prediction_[[#This Row],[Mileage]]/1000</f>
        <v>218.03100000000001</v>
      </c>
      <c r="J1596" s="5">
        <v>218031</v>
      </c>
      <c r="K1596" s="1" t="s">
        <v>13</v>
      </c>
      <c r="L1596" s="5">
        <f>car_price_prediction_[[#This Row],[Price]]/100</f>
        <v>53038.25</v>
      </c>
      <c r="M1596">
        <v>5303825</v>
      </c>
      <c r="N1596" s="1" t="s">
        <v>32</v>
      </c>
      <c r="O1596" s="1">
        <f>IF(IFERROR(VLOOKUP(car_price_prediction_[[#This Row],[Car ID]],A1597:A4096,1,FALSE),0),1,0)</f>
        <v>0</v>
      </c>
    </row>
    <row r="1597" spans="1:15" x14ac:dyDescent="0.25">
      <c r="A1597">
        <v>1596</v>
      </c>
      <c r="B1597" s="1" t="s">
        <v>10</v>
      </c>
      <c r="C1597" s="1">
        <f>car_price_prediction_[[#This Row],[Year2]]</f>
        <v>2001</v>
      </c>
      <c r="D1597">
        <v>2001</v>
      </c>
      <c r="E1597">
        <f>car_price_prediction_[[#This Row],[Engine Size]]/10</f>
        <v>5.0999999999999996</v>
      </c>
      <c r="F1597">
        <v>51</v>
      </c>
      <c r="G1597" s="1" t="s">
        <v>29</v>
      </c>
      <c r="H1597" s="1" t="s">
        <v>12</v>
      </c>
      <c r="I1597" s="12">
        <f>car_price_prediction_[[#This Row],[Mileage]]/1000</f>
        <v>76.054000000000002</v>
      </c>
      <c r="J1597" s="5">
        <v>76054</v>
      </c>
      <c r="K1597" s="1" t="s">
        <v>17</v>
      </c>
      <c r="L1597" s="5">
        <f>car_price_prediction_[[#This Row],[Price]]/100</f>
        <v>807.28</v>
      </c>
      <c r="M1597">
        <v>80728</v>
      </c>
      <c r="N1597" s="1" t="s">
        <v>33</v>
      </c>
      <c r="O1597" s="1">
        <f>IF(IFERROR(VLOOKUP(car_price_prediction_[[#This Row],[Car ID]],A1598:A4097,1,FALSE),0),1,0)</f>
        <v>0</v>
      </c>
    </row>
    <row r="1598" spans="1:15" x14ac:dyDescent="0.25">
      <c r="A1598">
        <v>1597</v>
      </c>
      <c r="B1598" s="1" t="s">
        <v>10</v>
      </c>
      <c r="C1598" s="1">
        <f>car_price_prediction_[[#This Row],[Year2]]</f>
        <v>2010</v>
      </c>
      <c r="D1598">
        <v>2010</v>
      </c>
      <c r="E1598">
        <f>car_price_prediction_[[#This Row],[Engine Size]]/10</f>
        <v>5.0999999999999996</v>
      </c>
      <c r="F1598">
        <v>51</v>
      </c>
      <c r="G1598" s="1" t="s">
        <v>16</v>
      </c>
      <c r="H1598" s="1" t="s">
        <v>22</v>
      </c>
      <c r="I1598" s="12">
        <f>car_price_prediction_[[#This Row],[Mileage]]/1000</f>
        <v>61.741999999999997</v>
      </c>
      <c r="J1598" s="5">
        <v>61742</v>
      </c>
      <c r="K1598" s="1" t="s">
        <v>13</v>
      </c>
      <c r="L1598" s="5">
        <f>car_price_prediction_[[#This Row],[Price]]/100</f>
        <v>66458.19</v>
      </c>
      <c r="M1598">
        <v>6645819</v>
      </c>
      <c r="N1598" s="1" t="s">
        <v>33</v>
      </c>
      <c r="O1598" s="1">
        <f>IF(IFERROR(VLOOKUP(car_price_prediction_[[#This Row],[Car ID]],A1599:A4098,1,FALSE),0),1,0)</f>
        <v>0</v>
      </c>
    </row>
    <row r="1599" spans="1:15" x14ac:dyDescent="0.25">
      <c r="A1599">
        <v>1598</v>
      </c>
      <c r="B1599" s="1" t="s">
        <v>15</v>
      </c>
      <c r="C1599" s="1">
        <f>car_price_prediction_[[#This Row],[Year2]]</f>
        <v>2021</v>
      </c>
      <c r="D1599">
        <v>2021</v>
      </c>
      <c r="E1599">
        <f>car_price_prediction_[[#This Row],[Engine Size]]/10</f>
        <v>4.5</v>
      </c>
      <c r="F1599">
        <v>45</v>
      </c>
      <c r="G1599" s="1" t="s">
        <v>16</v>
      </c>
      <c r="H1599" s="1" t="s">
        <v>22</v>
      </c>
      <c r="I1599" s="12">
        <f>car_price_prediction_[[#This Row],[Mileage]]/1000</f>
        <v>45.215000000000003</v>
      </c>
      <c r="J1599" s="5">
        <v>45215</v>
      </c>
      <c r="K1599" s="1" t="s">
        <v>17</v>
      </c>
      <c r="L1599" s="5">
        <f>car_price_prediction_[[#This Row],[Price]]/100</f>
        <v>57658.05</v>
      </c>
      <c r="M1599">
        <v>5765805</v>
      </c>
      <c r="N1599" s="1" t="s">
        <v>35</v>
      </c>
      <c r="O1599" s="1">
        <f>IF(IFERROR(VLOOKUP(car_price_prediction_[[#This Row],[Car ID]],A1600:A4099,1,FALSE),0),1,0)</f>
        <v>0</v>
      </c>
    </row>
    <row r="1600" spans="1:15" x14ac:dyDescent="0.25">
      <c r="A1600">
        <v>1599</v>
      </c>
      <c r="B1600" s="1" t="s">
        <v>15</v>
      </c>
      <c r="C1600" s="1">
        <f>car_price_prediction_[[#This Row],[Year2]]</f>
        <v>2012</v>
      </c>
      <c r="D1600">
        <v>2012</v>
      </c>
      <c r="E1600">
        <f>car_price_prediction_[[#This Row],[Engine Size]]/10</f>
        <v>1.5</v>
      </c>
      <c r="F1600">
        <v>15</v>
      </c>
      <c r="G1600" s="1" t="s">
        <v>16</v>
      </c>
      <c r="H1600" s="1" t="s">
        <v>12</v>
      </c>
      <c r="I1600" s="12">
        <f>car_price_prediction_[[#This Row],[Mileage]]/1000</f>
        <v>159.245</v>
      </c>
      <c r="J1600" s="5">
        <v>159245</v>
      </c>
      <c r="K1600" s="1" t="s">
        <v>17</v>
      </c>
      <c r="L1600" s="5">
        <f>car_price_prediction_[[#This Row],[Price]]/100</f>
        <v>68349.45</v>
      </c>
      <c r="M1600">
        <v>6834945</v>
      </c>
      <c r="N1600" s="1" t="s">
        <v>51</v>
      </c>
      <c r="O1600" s="1">
        <f>IF(IFERROR(VLOOKUP(car_price_prediction_[[#This Row],[Car ID]],A1601:A4100,1,FALSE),0),1,0)</f>
        <v>0</v>
      </c>
    </row>
    <row r="1601" spans="1:15" x14ac:dyDescent="0.25">
      <c r="A1601">
        <v>1600</v>
      </c>
      <c r="B1601" s="1" t="s">
        <v>19</v>
      </c>
      <c r="C1601" s="1">
        <f>car_price_prediction_[[#This Row],[Year2]]</f>
        <v>2014</v>
      </c>
      <c r="D1601">
        <v>2014</v>
      </c>
      <c r="E1601">
        <f>car_price_prediction_[[#This Row],[Engine Size]]/10</f>
        <v>5.2</v>
      </c>
      <c r="F1601">
        <v>52</v>
      </c>
      <c r="G1601" s="1" t="s">
        <v>29</v>
      </c>
      <c r="H1601" s="1" t="s">
        <v>12</v>
      </c>
      <c r="I1601" s="12">
        <f>car_price_prediction_[[#This Row],[Mileage]]/1000</f>
        <v>241.44300000000001</v>
      </c>
      <c r="J1601" s="5">
        <v>241443</v>
      </c>
      <c r="K1601" s="1" t="s">
        <v>17</v>
      </c>
      <c r="L1601" s="5">
        <f>car_price_prediction_[[#This Row],[Price]]/100</f>
        <v>93363.35</v>
      </c>
      <c r="M1601">
        <v>9336335</v>
      </c>
      <c r="N1601" s="1" t="s">
        <v>38</v>
      </c>
      <c r="O1601" s="1">
        <f>IF(IFERROR(VLOOKUP(car_price_prediction_[[#This Row],[Car ID]],A1602:A4101,1,FALSE),0),1,0)</f>
        <v>0</v>
      </c>
    </row>
    <row r="1602" spans="1:15" x14ac:dyDescent="0.25">
      <c r="A1602">
        <v>1601</v>
      </c>
      <c r="B1602" s="1" t="s">
        <v>19</v>
      </c>
      <c r="C1602" s="1">
        <f>car_price_prediction_[[#This Row],[Year2]]</f>
        <v>2011</v>
      </c>
      <c r="D1602">
        <v>2011</v>
      </c>
      <c r="E1602">
        <f>car_price_prediction_[[#This Row],[Engine Size]]/10</f>
        <v>4.4000000000000004</v>
      </c>
      <c r="F1602">
        <v>44</v>
      </c>
      <c r="G1602" s="1" t="s">
        <v>16</v>
      </c>
      <c r="H1602" s="1" t="s">
        <v>22</v>
      </c>
      <c r="I1602" s="12">
        <f>car_price_prediction_[[#This Row],[Mileage]]/1000</f>
        <v>103.59099999999999</v>
      </c>
      <c r="J1602" s="5">
        <v>103591</v>
      </c>
      <c r="K1602" s="1" t="s">
        <v>17</v>
      </c>
      <c r="L1602" s="5">
        <f>car_price_prediction_[[#This Row],[Price]]/100</f>
        <v>70291.28</v>
      </c>
      <c r="M1602">
        <v>7029128</v>
      </c>
      <c r="N1602" s="1" t="s">
        <v>28</v>
      </c>
      <c r="O1602" s="1">
        <f>IF(IFERROR(VLOOKUP(car_price_prediction_[[#This Row],[Car ID]],A1603:A4102,1,FALSE),0),1,0)</f>
        <v>0</v>
      </c>
    </row>
    <row r="1603" spans="1:15" x14ac:dyDescent="0.25">
      <c r="A1603">
        <v>1602</v>
      </c>
      <c r="B1603" s="1" t="s">
        <v>36</v>
      </c>
      <c r="C1603" s="1">
        <f>car_price_prediction_[[#This Row],[Year2]]</f>
        <v>2021</v>
      </c>
      <c r="D1603">
        <v>2021</v>
      </c>
      <c r="E1603">
        <f>car_price_prediction_[[#This Row],[Engine Size]]/10</f>
        <v>4.5</v>
      </c>
      <c r="F1603">
        <v>45</v>
      </c>
      <c r="G1603" s="1" t="s">
        <v>11</v>
      </c>
      <c r="H1603" s="1" t="s">
        <v>12</v>
      </c>
      <c r="I1603" s="12">
        <f>car_price_prediction_[[#This Row],[Mileage]]/1000</f>
        <v>249.04499999999999</v>
      </c>
      <c r="J1603" s="5">
        <v>249045</v>
      </c>
      <c r="K1603" s="1" t="s">
        <v>25</v>
      </c>
      <c r="L1603" s="5">
        <f>car_price_prediction_[[#This Row],[Price]]/100</f>
        <v>35442.74</v>
      </c>
      <c r="M1603">
        <v>3544274</v>
      </c>
      <c r="N1603" s="1" t="s">
        <v>46</v>
      </c>
      <c r="O1603" s="1">
        <f>IF(IFERROR(VLOOKUP(car_price_prediction_[[#This Row],[Car ID]],A1604:A4103,1,FALSE),0),1,0)</f>
        <v>0</v>
      </c>
    </row>
    <row r="1604" spans="1:15" x14ac:dyDescent="0.25">
      <c r="A1604">
        <v>1603</v>
      </c>
      <c r="B1604" s="1" t="s">
        <v>36</v>
      </c>
      <c r="C1604" s="1">
        <f>car_price_prediction_[[#This Row],[Year2]]</f>
        <v>2020</v>
      </c>
      <c r="D1604">
        <v>2020</v>
      </c>
      <c r="E1604">
        <f>car_price_prediction_[[#This Row],[Engine Size]]/10</f>
        <v>2.8</v>
      </c>
      <c r="F1604">
        <v>28</v>
      </c>
      <c r="G1604" s="1" t="s">
        <v>29</v>
      </c>
      <c r="H1604" s="1" t="s">
        <v>12</v>
      </c>
      <c r="I1604" s="12">
        <f>car_price_prediction_[[#This Row],[Mileage]]/1000</f>
        <v>46.228999999999999</v>
      </c>
      <c r="J1604" s="5">
        <v>46229</v>
      </c>
      <c r="K1604" s="1" t="s">
        <v>17</v>
      </c>
      <c r="L1604" s="5">
        <f>car_price_prediction_[[#This Row],[Price]]/100</f>
        <v>23879.98</v>
      </c>
      <c r="M1604">
        <v>2387998</v>
      </c>
      <c r="N1604" s="1" t="s">
        <v>40</v>
      </c>
      <c r="O1604" s="1">
        <f>IF(IFERROR(VLOOKUP(car_price_prediction_[[#This Row],[Car ID]],A1605:A4104,1,FALSE),0),1,0)</f>
        <v>0</v>
      </c>
    </row>
    <row r="1605" spans="1:15" x14ac:dyDescent="0.25">
      <c r="A1605">
        <v>1604</v>
      </c>
      <c r="B1605" s="1" t="s">
        <v>43</v>
      </c>
      <c r="C1605" s="1">
        <f>car_price_prediction_[[#This Row],[Year2]]</f>
        <v>2021</v>
      </c>
      <c r="D1605">
        <v>2021</v>
      </c>
      <c r="E1605">
        <f>car_price_prediction_[[#This Row],[Engine Size]]/10</f>
        <v>5.4</v>
      </c>
      <c r="F1605">
        <v>54</v>
      </c>
      <c r="G1605" s="1" t="s">
        <v>21</v>
      </c>
      <c r="H1605" s="1" t="s">
        <v>12</v>
      </c>
      <c r="I1605" s="12">
        <f>car_price_prediction_[[#This Row],[Mileage]]/1000</f>
        <v>62.582999999999998</v>
      </c>
      <c r="J1605" s="5">
        <v>62583</v>
      </c>
      <c r="K1605" s="1" t="s">
        <v>13</v>
      </c>
      <c r="L1605" s="5">
        <f>car_price_prediction_[[#This Row],[Price]]/100</f>
        <v>86190.44</v>
      </c>
      <c r="M1605">
        <v>8619044</v>
      </c>
      <c r="N1605" s="1" t="s">
        <v>44</v>
      </c>
      <c r="O1605" s="1">
        <f>IF(IFERROR(VLOOKUP(car_price_prediction_[[#This Row],[Car ID]],A1606:A4105,1,FALSE),0),1,0)</f>
        <v>0</v>
      </c>
    </row>
    <row r="1606" spans="1:15" x14ac:dyDescent="0.25">
      <c r="A1606">
        <v>1605</v>
      </c>
      <c r="B1606" s="1" t="s">
        <v>30</v>
      </c>
      <c r="C1606" s="1">
        <f>car_price_prediction_[[#This Row],[Year2]]</f>
        <v>2010</v>
      </c>
      <c r="D1606">
        <v>2010</v>
      </c>
      <c r="E1606">
        <f>car_price_prediction_[[#This Row],[Engine Size]]/10</f>
        <v>4.5999999999999996</v>
      </c>
      <c r="F1606">
        <v>46</v>
      </c>
      <c r="G1606" s="1" t="s">
        <v>29</v>
      </c>
      <c r="H1606" s="1" t="s">
        <v>22</v>
      </c>
      <c r="I1606" s="12">
        <f>car_price_prediction_[[#This Row],[Mileage]]/1000</f>
        <v>255.93100000000001</v>
      </c>
      <c r="J1606" s="5">
        <v>255931</v>
      </c>
      <c r="K1606" s="1" t="s">
        <v>17</v>
      </c>
      <c r="L1606" s="5">
        <f>car_price_prediction_[[#This Row],[Price]]/100</f>
        <v>23461.55</v>
      </c>
      <c r="M1606">
        <v>2346155</v>
      </c>
      <c r="N1606" s="1" t="s">
        <v>48</v>
      </c>
      <c r="O1606" s="1">
        <f>IF(IFERROR(VLOOKUP(car_price_prediction_[[#This Row],[Car ID]],A1607:A4106,1,FALSE),0),1,0)</f>
        <v>0</v>
      </c>
    </row>
    <row r="1607" spans="1:15" x14ac:dyDescent="0.25">
      <c r="A1607">
        <v>1606</v>
      </c>
      <c r="B1607" s="1" t="s">
        <v>19</v>
      </c>
      <c r="C1607" s="1">
        <f>car_price_prediction_[[#This Row],[Year2]]</f>
        <v>2006</v>
      </c>
      <c r="D1607">
        <v>2006</v>
      </c>
      <c r="E1607">
        <f>car_price_prediction_[[#This Row],[Engine Size]]/10</f>
        <v>1.6</v>
      </c>
      <c r="F1607">
        <v>16</v>
      </c>
      <c r="G1607" s="1" t="s">
        <v>11</v>
      </c>
      <c r="H1607" s="1" t="s">
        <v>22</v>
      </c>
      <c r="I1607" s="12">
        <f>car_price_prediction_[[#This Row],[Mileage]]/1000</f>
        <v>159.99600000000001</v>
      </c>
      <c r="J1607" s="5">
        <v>159996</v>
      </c>
      <c r="K1607" s="1" t="s">
        <v>13</v>
      </c>
      <c r="L1607" s="5">
        <f>car_price_prediction_[[#This Row],[Price]]/100</f>
        <v>20352.91</v>
      </c>
      <c r="M1607">
        <v>2035291</v>
      </c>
      <c r="N1607" s="1" t="s">
        <v>38</v>
      </c>
      <c r="O1607" s="1">
        <f>IF(IFERROR(VLOOKUP(car_price_prediction_[[#This Row],[Car ID]],A1608:A4107,1,FALSE),0),1,0)</f>
        <v>0</v>
      </c>
    </row>
    <row r="1608" spans="1:15" x14ac:dyDescent="0.25">
      <c r="A1608">
        <v>1607</v>
      </c>
      <c r="B1608" s="1" t="s">
        <v>15</v>
      </c>
      <c r="C1608" s="1">
        <f>car_price_prediction_[[#This Row],[Year2]]</f>
        <v>2004</v>
      </c>
      <c r="D1608">
        <v>2004</v>
      </c>
      <c r="E1608">
        <f>car_price_prediction_[[#This Row],[Engine Size]]/10</f>
        <v>3</v>
      </c>
      <c r="F1608">
        <v>30</v>
      </c>
      <c r="G1608" s="1" t="s">
        <v>11</v>
      </c>
      <c r="H1608" s="1" t="s">
        <v>12</v>
      </c>
      <c r="I1608" s="12">
        <f>car_price_prediction_[[#This Row],[Mileage]]/1000</f>
        <v>126.011</v>
      </c>
      <c r="J1608" s="5">
        <v>126011</v>
      </c>
      <c r="K1608" s="1" t="s">
        <v>25</v>
      </c>
      <c r="L1608" s="5">
        <f>car_price_prediction_[[#This Row],[Price]]/100</f>
        <v>24628.15</v>
      </c>
      <c r="M1608">
        <v>2462815</v>
      </c>
      <c r="N1608" s="1" t="s">
        <v>51</v>
      </c>
      <c r="O1608" s="1">
        <f>IF(IFERROR(VLOOKUP(car_price_prediction_[[#This Row],[Car ID]],A1609:A4108,1,FALSE),0),1,0)</f>
        <v>0</v>
      </c>
    </row>
    <row r="1609" spans="1:15" x14ac:dyDescent="0.25">
      <c r="A1609">
        <v>1608</v>
      </c>
      <c r="B1609" s="1" t="s">
        <v>24</v>
      </c>
      <c r="C1609" s="1">
        <f>car_price_prediction_[[#This Row],[Year2]]</f>
        <v>2016</v>
      </c>
      <c r="D1609">
        <v>2016</v>
      </c>
      <c r="E1609">
        <f>car_price_prediction_[[#This Row],[Engine Size]]/10</f>
        <v>5.4</v>
      </c>
      <c r="F1609">
        <v>54</v>
      </c>
      <c r="G1609" s="1" t="s">
        <v>16</v>
      </c>
      <c r="H1609" s="1" t="s">
        <v>22</v>
      </c>
      <c r="I1609" s="12">
        <f>car_price_prediction_[[#This Row],[Mileage]]/1000</f>
        <v>292.24799999999999</v>
      </c>
      <c r="J1609" s="5">
        <v>292248</v>
      </c>
      <c r="K1609" s="1" t="s">
        <v>17</v>
      </c>
      <c r="L1609" s="5">
        <f>car_price_prediction_[[#This Row],[Price]]/100</f>
        <v>53339.88</v>
      </c>
      <c r="M1609">
        <v>5333988</v>
      </c>
      <c r="N1609" s="1" t="s">
        <v>32</v>
      </c>
      <c r="O1609" s="1">
        <f>IF(IFERROR(VLOOKUP(car_price_prediction_[[#This Row],[Car ID]],A1610:A4109,1,FALSE),0),1,0)</f>
        <v>0</v>
      </c>
    </row>
    <row r="1610" spans="1:15" x14ac:dyDescent="0.25">
      <c r="A1610">
        <v>1609</v>
      </c>
      <c r="B1610" s="1" t="s">
        <v>15</v>
      </c>
      <c r="C1610" s="1">
        <f>car_price_prediction_[[#This Row],[Year2]]</f>
        <v>2023</v>
      </c>
      <c r="D1610">
        <v>2023</v>
      </c>
      <c r="E1610">
        <f>car_price_prediction_[[#This Row],[Engine Size]]/10</f>
        <v>1.2</v>
      </c>
      <c r="F1610">
        <v>12</v>
      </c>
      <c r="G1610" s="1" t="s">
        <v>29</v>
      </c>
      <c r="H1610" s="1" t="s">
        <v>12</v>
      </c>
      <c r="I1610" s="12">
        <f>car_price_prediction_[[#This Row],[Mileage]]/1000</f>
        <v>240.66</v>
      </c>
      <c r="J1610" s="5">
        <v>240660</v>
      </c>
      <c r="K1610" s="1" t="s">
        <v>13</v>
      </c>
      <c r="L1610" s="5">
        <f>car_price_prediction_[[#This Row],[Price]]/100</f>
        <v>16797.810000000001</v>
      </c>
      <c r="M1610">
        <v>1679781</v>
      </c>
      <c r="N1610" s="1" t="s">
        <v>18</v>
      </c>
      <c r="O1610" s="1">
        <f>IF(IFERROR(VLOOKUP(car_price_prediction_[[#This Row],[Car ID]],A1611:A4110,1,FALSE),0),1,0)</f>
        <v>0</v>
      </c>
    </row>
    <row r="1611" spans="1:15" x14ac:dyDescent="0.25">
      <c r="A1611">
        <v>1610</v>
      </c>
      <c r="B1611" s="1" t="s">
        <v>30</v>
      </c>
      <c r="C1611" s="1">
        <f>car_price_prediction_[[#This Row],[Year2]]</f>
        <v>2019</v>
      </c>
      <c r="D1611">
        <v>2019</v>
      </c>
      <c r="E1611">
        <f>car_price_prediction_[[#This Row],[Engine Size]]/10</f>
        <v>5.8</v>
      </c>
      <c r="F1611">
        <v>58</v>
      </c>
      <c r="G1611" s="1" t="s">
        <v>29</v>
      </c>
      <c r="H1611" s="1" t="s">
        <v>12</v>
      </c>
      <c r="I1611" s="12">
        <f>car_price_prediction_[[#This Row],[Mileage]]/1000</f>
        <v>299.738</v>
      </c>
      <c r="J1611" s="5">
        <v>299738</v>
      </c>
      <c r="K1611" s="1" t="s">
        <v>25</v>
      </c>
      <c r="L1611" s="5">
        <f>car_price_prediction_[[#This Row],[Price]]/100</f>
        <v>94121.24</v>
      </c>
      <c r="M1611">
        <v>9412124</v>
      </c>
      <c r="N1611" s="1" t="s">
        <v>42</v>
      </c>
      <c r="O1611" s="1">
        <f>IF(IFERROR(VLOOKUP(car_price_prediction_[[#This Row],[Car ID]],A1612:A4111,1,FALSE),0),1,0)</f>
        <v>0</v>
      </c>
    </row>
    <row r="1612" spans="1:15" x14ac:dyDescent="0.25">
      <c r="A1612">
        <v>1611</v>
      </c>
      <c r="B1612" s="1" t="s">
        <v>36</v>
      </c>
      <c r="C1612" s="1">
        <f>car_price_prediction_[[#This Row],[Year2]]</f>
        <v>2008</v>
      </c>
      <c r="D1612">
        <v>2008</v>
      </c>
      <c r="E1612">
        <f>car_price_prediction_[[#This Row],[Engine Size]]/10</f>
        <v>4.4000000000000004</v>
      </c>
      <c r="F1612">
        <v>44</v>
      </c>
      <c r="G1612" s="1" t="s">
        <v>29</v>
      </c>
      <c r="H1612" s="1" t="s">
        <v>12</v>
      </c>
      <c r="I1612" s="12">
        <f>car_price_prediction_[[#This Row],[Mileage]]/1000</f>
        <v>265.80799999999999</v>
      </c>
      <c r="J1612" s="5">
        <v>265808</v>
      </c>
      <c r="K1612" s="1" t="s">
        <v>25</v>
      </c>
      <c r="L1612" s="5">
        <f>car_price_prediction_[[#This Row],[Price]]/100</f>
        <v>9679.41</v>
      </c>
      <c r="M1612">
        <v>967941</v>
      </c>
      <c r="N1612" s="1" t="s">
        <v>40</v>
      </c>
      <c r="O1612" s="1">
        <f>IF(IFERROR(VLOOKUP(car_price_prediction_[[#This Row],[Car ID]],A1613:A4112,1,FALSE),0),1,0)</f>
        <v>0</v>
      </c>
    </row>
    <row r="1613" spans="1:15" x14ac:dyDescent="0.25">
      <c r="A1613">
        <v>1612</v>
      </c>
      <c r="B1613" s="1" t="s">
        <v>15</v>
      </c>
      <c r="C1613" s="1">
        <f>car_price_prediction_[[#This Row],[Year2]]</f>
        <v>2013</v>
      </c>
      <c r="D1613">
        <v>2013</v>
      </c>
      <c r="E1613">
        <f>car_price_prediction_[[#This Row],[Engine Size]]/10</f>
        <v>4.2</v>
      </c>
      <c r="F1613">
        <v>42</v>
      </c>
      <c r="G1613" s="1" t="s">
        <v>21</v>
      </c>
      <c r="H1613" s="1" t="s">
        <v>12</v>
      </c>
      <c r="I1613" s="12">
        <f>car_price_prediction_[[#This Row],[Mileage]]/1000</f>
        <v>272.67200000000003</v>
      </c>
      <c r="J1613" s="5">
        <v>272672</v>
      </c>
      <c r="K1613" s="1" t="s">
        <v>13</v>
      </c>
      <c r="L1613" s="5">
        <f>car_price_prediction_[[#This Row],[Price]]/100</f>
        <v>97511.18</v>
      </c>
      <c r="M1613">
        <v>9751118</v>
      </c>
      <c r="N1613" s="1" t="s">
        <v>35</v>
      </c>
      <c r="O1613" s="1">
        <f>IF(IFERROR(VLOOKUP(car_price_prediction_[[#This Row],[Car ID]],A1614:A4113,1,FALSE),0),1,0)</f>
        <v>0</v>
      </c>
    </row>
    <row r="1614" spans="1:15" x14ac:dyDescent="0.25">
      <c r="A1614">
        <v>1613</v>
      </c>
      <c r="B1614" s="1" t="s">
        <v>43</v>
      </c>
      <c r="C1614" s="1">
        <f>car_price_prediction_[[#This Row],[Year2]]</f>
        <v>2011</v>
      </c>
      <c r="D1614">
        <v>2011</v>
      </c>
      <c r="E1614">
        <f>car_price_prediction_[[#This Row],[Engine Size]]/10</f>
        <v>2.4</v>
      </c>
      <c r="F1614">
        <v>24</v>
      </c>
      <c r="G1614" s="1" t="s">
        <v>16</v>
      </c>
      <c r="H1614" s="1" t="s">
        <v>12</v>
      </c>
      <c r="I1614" s="12">
        <f>car_price_prediction_[[#This Row],[Mileage]]/1000</f>
        <v>159.262</v>
      </c>
      <c r="J1614" s="5">
        <v>159262</v>
      </c>
      <c r="K1614" s="1" t="s">
        <v>17</v>
      </c>
      <c r="L1614" s="5">
        <f>car_price_prediction_[[#This Row],[Price]]/100</f>
        <v>8716.86</v>
      </c>
      <c r="M1614">
        <v>871686</v>
      </c>
      <c r="N1614" s="1" t="s">
        <v>47</v>
      </c>
      <c r="O1614" s="1">
        <f>IF(IFERROR(VLOOKUP(car_price_prediction_[[#This Row],[Car ID]],A1615:A4114,1,FALSE),0),1,0)</f>
        <v>0</v>
      </c>
    </row>
    <row r="1615" spans="1:15" x14ac:dyDescent="0.25">
      <c r="A1615">
        <v>1614</v>
      </c>
      <c r="B1615" s="1" t="s">
        <v>30</v>
      </c>
      <c r="C1615" s="1">
        <f>car_price_prediction_[[#This Row],[Year2]]</f>
        <v>2005</v>
      </c>
      <c r="D1615">
        <v>2005</v>
      </c>
      <c r="E1615">
        <f>car_price_prediction_[[#This Row],[Engine Size]]/10</f>
        <v>2.2000000000000002</v>
      </c>
      <c r="F1615">
        <v>22</v>
      </c>
      <c r="G1615" s="1" t="s">
        <v>11</v>
      </c>
      <c r="H1615" s="1" t="s">
        <v>22</v>
      </c>
      <c r="I1615" s="12">
        <f>car_price_prediction_[[#This Row],[Mileage]]/1000</f>
        <v>197.10499999999999</v>
      </c>
      <c r="J1615" s="5">
        <v>197105</v>
      </c>
      <c r="K1615" s="1" t="s">
        <v>25</v>
      </c>
      <c r="L1615" s="5">
        <f>car_price_prediction_[[#This Row],[Price]]/100</f>
        <v>94888.77</v>
      </c>
      <c r="M1615">
        <v>9488877</v>
      </c>
      <c r="N1615" s="1" t="s">
        <v>31</v>
      </c>
      <c r="O1615" s="1">
        <f>IF(IFERROR(VLOOKUP(car_price_prediction_[[#This Row],[Car ID]],A1616:A4115,1,FALSE),0),1,0)</f>
        <v>0</v>
      </c>
    </row>
    <row r="1616" spans="1:15" x14ac:dyDescent="0.25">
      <c r="A1616">
        <v>1615</v>
      </c>
      <c r="B1616" s="1" t="s">
        <v>36</v>
      </c>
      <c r="C1616" s="1">
        <f>car_price_prediction_[[#This Row],[Year2]]</f>
        <v>2016</v>
      </c>
      <c r="D1616">
        <v>2016</v>
      </c>
      <c r="E1616">
        <f>car_price_prediction_[[#This Row],[Engine Size]]/10</f>
        <v>5.7</v>
      </c>
      <c r="F1616">
        <v>57</v>
      </c>
      <c r="G1616" s="1" t="s">
        <v>11</v>
      </c>
      <c r="H1616" s="1" t="s">
        <v>22</v>
      </c>
      <c r="I1616" s="12">
        <f>car_price_prediction_[[#This Row],[Mileage]]/1000</f>
        <v>204.249</v>
      </c>
      <c r="J1616" s="5">
        <v>204249</v>
      </c>
      <c r="K1616" s="1" t="s">
        <v>13</v>
      </c>
      <c r="L1616" s="5">
        <f>car_price_prediction_[[#This Row],[Price]]/100</f>
        <v>99754.42</v>
      </c>
      <c r="M1616">
        <v>9975442</v>
      </c>
      <c r="N1616" s="1" t="s">
        <v>41</v>
      </c>
      <c r="O1616" s="1">
        <f>IF(IFERROR(VLOOKUP(car_price_prediction_[[#This Row],[Car ID]],A1617:A4116,1,FALSE),0),1,0)</f>
        <v>0</v>
      </c>
    </row>
    <row r="1617" spans="1:15" x14ac:dyDescent="0.25">
      <c r="A1617">
        <v>1616</v>
      </c>
      <c r="B1617" s="1" t="s">
        <v>24</v>
      </c>
      <c r="C1617" s="1">
        <f>car_price_prediction_[[#This Row],[Year2]]</f>
        <v>2018</v>
      </c>
      <c r="D1617">
        <v>2018</v>
      </c>
      <c r="E1617">
        <f>car_price_prediction_[[#This Row],[Engine Size]]/10</f>
        <v>2.5</v>
      </c>
      <c r="F1617">
        <v>25</v>
      </c>
      <c r="G1617" s="1" t="s">
        <v>16</v>
      </c>
      <c r="H1617" s="1" t="s">
        <v>22</v>
      </c>
      <c r="I1617" s="12">
        <f>car_price_prediction_[[#This Row],[Mileage]]/1000</f>
        <v>128.404</v>
      </c>
      <c r="J1617" s="5">
        <v>128404</v>
      </c>
      <c r="K1617" s="1" t="s">
        <v>17</v>
      </c>
      <c r="L1617" s="5">
        <f>car_price_prediction_[[#This Row],[Price]]/100</f>
        <v>94530.77</v>
      </c>
      <c r="M1617">
        <v>9453077</v>
      </c>
      <c r="N1617" s="1" t="s">
        <v>32</v>
      </c>
      <c r="O1617" s="1">
        <f>IF(IFERROR(VLOOKUP(car_price_prediction_[[#This Row],[Car ID]],A1618:A4117,1,FALSE),0),1,0)</f>
        <v>0</v>
      </c>
    </row>
    <row r="1618" spans="1:15" x14ac:dyDescent="0.25">
      <c r="A1618">
        <v>1617</v>
      </c>
      <c r="B1618" s="1" t="s">
        <v>36</v>
      </c>
      <c r="C1618" s="1">
        <f>car_price_prediction_[[#This Row],[Year2]]</f>
        <v>2018</v>
      </c>
      <c r="D1618">
        <v>2018</v>
      </c>
      <c r="E1618">
        <f>car_price_prediction_[[#This Row],[Engine Size]]/10</f>
        <v>4.9000000000000004</v>
      </c>
      <c r="F1618">
        <v>49</v>
      </c>
      <c r="G1618" s="1" t="s">
        <v>11</v>
      </c>
      <c r="H1618" s="1" t="s">
        <v>22</v>
      </c>
      <c r="I1618" s="12">
        <f>car_price_prediction_[[#This Row],[Mileage]]/1000</f>
        <v>201.66399999999999</v>
      </c>
      <c r="J1618" s="5">
        <v>201664</v>
      </c>
      <c r="K1618" s="1" t="s">
        <v>25</v>
      </c>
      <c r="L1618" s="5">
        <f>car_price_prediction_[[#This Row],[Price]]/100</f>
        <v>6873.92</v>
      </c>
      <c r="M1618">
        <v>687392</v>
      </c>
      <c r="N1618" s="1" t="s">
        <v>37</v>
      </c>
      <c r="O1618" s="1">
        <f>IF(IFERROR(VLOOKUP(car_price_prediction_[[#This Row],[Car ID]],A1619:A4118,1,FALSE),0),1,0)</f>
        <v>0</v>
      </c>
    </row>
    <row r="1619" spans="1:15" x14ac:dyDescent="0.25">
      <c r="A1619">
        <v>1618</v>
      </c>
      <c r="B1619" s="1" t="s">
        <v>10</v>
      </c>
      <c r="C1619" s="1">
        <f>car_price_prediction_[[#This Row],[Year2]]</f>
        <v>2015</v>
      </c>
      <c r="D1619">
        <v>2015</v>
      </c>
      <c r="E1619">
        <f>car_price_prediction_[[#This Row],[Engine Size]]/10</f>
        <v>3</v>
      </c>
      <c r="F1619">
        <v>30</v>
      </c>
      <c r="G1619" s="1" t="s">
        <v>11</v>
      </c>
      <c r="H1619" s="1" t="s">
        <v>12</v>
      </c>
      <c r="I1619" s="12">
        <f>car_price_prediction_[[#This Row],[Mileage]]/1000</f>
        <v>295.04300000000001</v>
      </c>
      <c r="J1619" s="5">
        <v>295043</v>
      </c>
      <c r="K1619" s="1" t="s">
        <v>13</v>
      </c>
      <c r="L1619" s="5">
        <f>car_price_prediction_[[#This Row],[Price]]/100</f>
        <v>71616.86</v>
      </c>
      <c r="M1619">
        <v>7161686</v>
      </c>
      <c r="N1619" s="1" t="s">
        <v>23</v>
      </c>
      <c r="O1619" s="1">
        <f>IF(IFERROR(VLOOKUP(car_price_prediction_[[#This Row],[Car ID]],A1620:A4119,1,FALSE),0),1,0)</f>
        <v>0</v>
      </c>
    </row>
    <row r="1620" spans="1:15" x14ac:dyDescent="0.25">
      <c r="A1620">
        <v>1619</v>
      </c>
      <c r="B1620" s="1" t="s">
        <v>43</v>
      </c>
      <c r="C1620" s="1">
        <f>car_price_prediction_[[#This Row],[Year2]]</f>
        <v>2011</v>
      </c>
      <c r="D1620">
        <v>2011</v>
      </c>
      <c r="E1620">
        <f>car_price_prediction_[[#This Row],[Engine Size]]/10</f>
        <v>1.7</v>
      </c>
      <c r="F1620">
        <v>17</v>
      </c>
      <c r="G1620" s="1" t="s">
        <v>16</v>
      </c>
      <c r="H1620" s="1" t="s">
        <v>12</v>
      </c>
      <c r="I1620" s="12">
        <f>car_price_prediction_[[#This Row],[Mileage]]/1000</f>
        <v>17.241</v>
      </c>
      <c r="J1620" s="5">
        <v>17241</v>
      </c>
      <c r="K1620" s="1" t="s">
        <v>25</v>
      </c>
      <c r="L1620" s="5">
        <f>car_price_prediction_[[#This Row],[Price]]/100</f>
        <v>16614.03</v>
      </c>
      <c r="M1620">
        <v>1661403</v>
      </c>
      <c r="N1620" s="1" t="s">
        <v>47</v>
      </c>
      <c r="O1620" s="1">
        <f>IF(IFERROR(VLOOKUP(car_price_prediction_[[#This Row],[Car ID]],A1621:A4120,1,FALSE),0),1,0)</f>
        <v>0</v>
      </c>
    </row>
    <row r="1621" spans="1:15" x14ac:dyDescent="0.25">
      <c r="A1621">
        <v>1620</v>
      </c>
      <c r="B1621" s="1" t="s">
        <v>30</v>
      </c>
      <c r="C1621" s="1">
        <f>car_price_prediction_[[#This Row],[Year2]]</f>
        <v>2011</v>
      </c>
      <c r="D1621">
        <v>2011</v>
      </c>
      <c r="E1621">
        <f>car_price_prediction_[[#This Row],[Engine Size]]/10</f>
        <v>1.1000000000000001</v>
      </c>
      <c r="F1621">
        <v>11</v>
      </c>
      <c r="G1621" s="1" t="s">
        <v>11</v>
      </c>
      <c r="H1621" s="1" t="s">
        <v>22</v>
      </c>
      <c r="I1621" s="12">
        <f>car_price_prediction_[[#This Row],[Mileage]]/1000</f>
        <v>63.472000000000001</v>
      </c>
      <c r="J1621" s="5">
        <v>63472</v>
      </c>
      <c r="K1621" s="1" t="s">
        <v>25</v>
      </c>
      <c r="L1621" s="5">
        <f>car_price_prediction_[[#This Row],[Price]]/100</f>
        <v>88058.22</v>
      </c>
      <c r="M1621">
        <v>8805822</v>
      </c>
      <c r="N1621" s="1" t="s">
        <v>42</v>
      </c>
      <c r="O1621" s="1">
        <f>IF(IFERROR(VLOOKUP(car_price_prediction_[[#This Row],[Car ID]],A1622:A4121,1,FALSE),0),1,0)</f>
        <v>0</v>
      </c>
    </row>
    <row r="1622" spans="1:15" x14ac:dyDescent="0.25">
      <c r="A1622">
        <v>1621</v>
      </c>
      <c r="B1622" s="1" t="s">
        <v>24</v>
      </c>
      <c r="C1622" s="1">
        <f>car_price_prediction_[[#This Row],[Year2]]</f>
        <v>2019</v>
      </c>
      <c r="D1622">
        <v>2019</v>
      </c>
      <c r="E1622">
        <f>car_price_prediction_[[#This Row],[Engine Size]]/10</f>
        <v>3.7</v>
      </c>
      <c r="F1622">
        <v>37</v>
      </c>
      <c r="G1622" s="1" t="s">
        <v>29</v>
      </c>
      <c r="H1622" s="1" t="s">
        <v>22</v>
      </c>
      <c r="I1622" s="12">
        <f>car_price_prediction_[[#This Row],[Mileage]]/1000</f>
        <v>205.32</v>
      </c>
      <c r="J1622" s="5">
        <v>205320</v>
      </c>
      <c r="K1622" s="1" t="s">
        <v>13</v>
      </c>
      <c r="L1622" s="5">
        <f>car_price_prediction_[[#This Row],[Price]]/100</f>
        <v>10665.76</v>
      </c>
      <c r="M1622">
        <v>1066576</v>
      </c>
      <c r="N1622" s="1" t="s">
        <v>26</v>
      </c>
      <c r="O1622" s="1">
        <f>IF(IFERROR(VLOOKUP(car_price_prediction_[[#This Row],[Car ID]],A1623:A4122,1,FALSE),0),1,0)</f>
        <v>0</v>
      </c>
    </row>
    <row r="1623" spans="1:15" x14ac:dyDescent="0.25">
      <c r="A1623">
        <v>1622</v>
      </c>
      <c r="B1623" s="1" t="s">
        <v>43</v>
      </c>
      <c r="C1623" s="1">
        <f>car_price_prediction_[[#This Row],[Year2]]</f>
        <v>2005</v>
      </c>
      <c r="D1623">
        <v>2005</v>
      </c>
      <c r="E1623">
        <f>car_price_prediction_[[#This Row],[Engine Size]]/10</f>
        <v>5.9</v>
      </c>
      <c r="F1623">
        <v>59</v>
      </c>
      <c r="G1623" s="1" t="s">
        <v>21</v>
      </c>
      <c r="H1623" s="1" t="s">
        <v>12</v>
      </c>
      <c r="I1623" s="12">
        <f>car_price_prediction_[[#This Row],[Mileage]]/1000</f>
        <v>31.346</v>
      </c>
      <c r="J1623" s="5">
        <v>31346</v>
      </c>
      <c r="K1623" s="1" t="s">
        <v>25</v>
      </c>
      <c r="L1623" s="5">
        <f>car_price_prediction_[[#This Row],[Price]]/100</f>
        <v>3518.44</v>
      </c>
      <c r="M1623">
        <v>351844</v>
      </c>
      <c r="N1623" s="1" t="s">
        <v>52</v>
      </c>
      <c r="O1623" s="1">
        <f>IF(IFERROR(VLOOKUP(car_price_prediction_[[#This Row],[Car ID]],A1624:A4123,1,FALSE),0),1,0)</f>
        <v>0</v>
      </c>
    </row>
    <row r="1624" spans="1:15" x14ac:dyDescent="0.25">
      <c r="A1624">
        <v>1623</v>
      </c>
      <c r="B1624" s="1" t="s">
        <v>36</v>
      </c>
      <c r="C1624" s="1">
        <f>car_price_prediction_[[#This Row],[Year2]]</f>
        <v>2022</v>
      </c>
      <c r="D1624">
        <v>2022</v>
      </c>
      <c r="E1624">
        <f>car_price_prediction_[[#This Row],[Engine Size]]/10</f>
        <v>2.8</v>
      </c>
      <c r="F1624">
        <v>28</v>
      </c>
      <c r="G1624" s="1" t="s">
        <v>16</v>
      </c>
      <c r="H1624" s="1" t="s">
        <v>12</v>
      </c>
      <c r="I1624" s="12">
        <f>car_price_prediction_[[#This Row],[Mileage]]/1000</f>
        <v>81.195999999999998</v>
      </c>
      <c r="J1624" s="5">
        <v>81196</v>
      </c>
      <c r="K1624" s="1" t="s">
        <v>13</v>
      </c>
      <c r="L1624" s="5">
        <f>car_price_prediction_[[#This Row],[Price]]/100</f>
        <v>99159.41</v>
      </c>
      <c r="M1624">
        <v>9915941</v>
      </c>
      <c r="N1624" s="1" t="s">
        <v>41</v>
      </c>
      <c r="O1624" s="1">
        <f>IF(IFERROR(VLOOKUP(car_price_prediction_[[#This Row],[Car ID]],A1625:A4124,1,FALSE),0),1,0)</f>
        <v>0</v>
      </c>
    </row>
    <row r="1625" spans="1:15" x14ac:dyDescent="0.25">
      <c r="A1625">
        <v>1624</v>
      </c>
      <c r="B1625" s="1" t="s">
        <v>43</v>
      </c>
      <c r="C1625" s="1">
        <f>car_price_prediction_[[#This Row],[Year2]]</f>
        <v>2003</v>
      </c>
      <c r="D1625">
        <v>2003</v>
      </c>
      <c r="E1625">
        <f>car_price_prediction_[[#This Row],[Engine Size]]/10</f>
        <v>2.8</v>
      </c>
      <c r="F1625">
        <v>28</v>
      </c>
      <c r="G1625" s="1" t="s">
        <v>21</v>
      </c>
      <c r="H1625" s="1" t="s">
        <v>12</v>
      </c>
      <c r="I1625" s="12">
        <f>car_price_prediction_[[#This Row],[Mileage]]/1000</f>
        <v>208.196</v>
      </c>
      <c r="J1625" s="5">
        <v>208196</v>
      </c>
      <c r="K1625" s="1" t="s">
        <v>17</v>
      </c>
      <c r="L1625" s="5">
        <f>car_price_prediction_[[#This Row],[Price]]/100</f>
        <v>45121.15</v>
      </c>
      <c r="M1625">
        <v>4512115</v>
      </c>
      <c r="N1625" s="1" t="s">
        <v>47</v>
      </c>
      <c r="O1625" s="1">
        <f>IF(IFERROR(VLOOKUP(car_price_prediction_[[#This Row],[Car ID]],A1626:A4125,1,FALSE),0),1,0)</f>
        <v>0</v>
      </c>
    </row>
    <row r="1626" spans="1:15" x14ac:dyDescent="0.25">
      <c r="A1626">
        <v>1625</v>
      </c>
      <c r="B1626" s="1" t="s">
        <v>30</v>
      </c>
      <c r="C1626" s="1">
        <f>car_price_prediction_[[#This Row],[Year2]]</f>
        <v>2005</v>
      </c>
      <c r="D1626">
        <v>2005</v>
      </c>
      <c r="E1626">
        <f>car_price_prediction_[[#This Row],[Engine Size]]/10</f>
        <v>2.7</v>
      </c>
      <c r="F1626">
        <v>27</v>
      </c>
      <c r="G1626" s="1" t="s">
        <v>11</v>
      </c>
      <c r="H1626" s="1" t="s">
        <v>22</v>
      </c>
      <c r="I1626" s="12">
        <f>car_price_prediction_[[#This Row],[Mileage]]/1000</f>
        <v>149.01400000000001</v>
      </c>
      <c r="J1626" s="5">
        <v>149014</v>
      </c>
      <c r="K1626" s="1" t="s">
        <v>13</v>
      </c>
      <c r="L1626" s="5">
        <f>car_price_prediction_[[#This Row],[Price]]/100</f>
        <v>17459.84</v>
      </c>
      <c r="M1626">
        <v>1745984</v>
      </c>
      <c r="N1626" s="1" t="s">
        <v>48</v>
      </c>
      <c r="O1626" s="1">
        <f>IF(IFERROR(VLOOKUP(car_price_prediction_[[#This Row],[Car ID]],A1627:A4126,1,FALSE),0),1,0)</f>
        <v>0</v>
      </c>
    </row>
    <row r="1627" spans="1:15" x14ac:dyDescent="0.25">
      <c r="A1627">
        <v>1626</v>
      </c>
      <c r="B1627" s="1" t="s">
        <v>19</v>
      </c>
      <c r="C1627" s="1">
        <f>car_price_prediction_[[#This Row],[Year2]]</f>
        <v>2010</v>
      </c>
      <c r="D1627">
        <v>2010</v>
      </c>
      <c r="E1627">
        <f>car_price_prediction_[[#This Row],[Engine Size]]/10</f>
        <v>3.6</v>
      </c>
      <c r="F1627">
        <v>36</v>
      </c>
      <c r="G1627" s="1" t="s">
        <v>11</v>
      </c>
      <c r="H1627" s="1" t="s">
        <v>12</v>
      </c>
      <c r="I1627" s="12">
        <f>car_price_prediction_[[#This Row],[Mileage]]/1000</f>
        <v>298.517</v>
      </c>
      <c r="J1627" s="5">
        <v>298517</v>
      </c>
      <c r="K1627" s="1" t="s">
        <v>17</v>
      </c>
      <c r="L1627" s="5">
        <f>car_price_prediction_[[#This Row],[Price]]/100</f>
        <v>97082.99</v>
      </c>
      <c r="M1627">
        <v>9708299</v>
      </c>
      <c r="N1627" s="1" t="s">
        <v>38</v>
      </c>
      <c r="O1627" s="1">
        <f>IF(IFERROR(VLOOKUP(car_price_prediction_[[#This Row],[Car ID]],A1628:A4127,1,FALSE),0),1,0)</f>
        <v>0</v>
      </c>
    </row>
    <row r="1628" spans="1:15" x14ac:dyDescent="0.25">
      <c r="A1628">
        <v>1627</v>
      </c>
      <c r="B1628" s="1" t="s">
        <v>43</v>
      </c>
      <c r="C1628" s="1">
        <f>car_price_prediction_[[#This Row],[Year2]]</f>
        <v>2000</v>
      </c>
      <c r="D1628">
        <v>2000</v>
      </c>
      <c r="E1628">
        <f>car_price_prediction_[[#This Row],[Engine Size]]/10</f>
        <v>3.2</v>
      </c>
      <c r="F1628">
        <v>32</v>
      </c>
      <c r="G1628" s="1" t="s">
        <v>29</v>
      </c>
      <c r="H1628" s="1" t="s">
        <v>12</v>
      </c>
      <c r="I1628" s="12">
        <f>car_price_prediction_[[#This Row],[Mileage]]/1000</f>
        <v>120.623</v>
      </c>
      <c r="J1628" s="5">
        <v>120623</v>
      </c>
      <c r="K1628" s="1" t="s">
        <v>25</v>
      </c>
      <c r="L1628" s="5">
        <f>car_price_prediction_[[#This Row],[Price]]/100</f>
        <v>98493.27</v>
      </c>
      <c r="M1628">
        <v>9849327</v>
      </c>
      <c r="N1628" s="1" t="s">
        <v>52</v>
      </c>
      <c r="O1628" s="1">
        <f>IF(IFERROR(VLOOKUP(car_price_prediction_[[#This Row],[Car ID]],A1629:A4128,1,FALSE),0),1,0)</f>
        <v>0</v>
      </c>
    </row>
    <row r="1629" spans="1:15" x14ac:dyDescent="0.25">
      <c r="A1629">
        <v>1628</v>
      </c>
      <c r="B1629" s="1" t="s">
        <v>10</v>
      </c>
      <c r="C1629" s="1">
        <f>car_price_prediction_[[#This Row],[Year2]]</f>
        <v>2023</v>
      </c>
      <c r="D1629">
        <v>2023</v>
      </c>
      <c r="E1629">
        <f>car_price_prediction_[[#This Row],[Engine Size]]/10</f>
        <v>5.4</v>
      </c>
      <c r="F1629">
        <v>54</v>
      </c>
      <c r="G1629" s="1" t="s">
        <v>16</v>
      </c>
      <c r="H1629" s="1" t="s">
        <v>22</v>
      </c>
      <c r="I1629" s="12">
        <f>car_price_prediction_[[#This Row],[Mileage]]/1000</f>
        <v>2.016</v>
      </c>
      <c r="J1629" s="5">
        <v>2016</v>
      </c>
      <c r="K1629" s="1" t="s">
        <v>13</v>
      </c>
      <c r="L1629" s="5">
        <f>car_price_prediction_[[#This Row],[Price]]/100</f>
        <v>22769.06</v>
      </c>
      <c r="M1629">
        <v>2276906</v>
      </c>
      <c r="N1629" s="1" t="s">
        <v>49</v>
      </c>
      <c r="O1629" s="1">
        <f>IF(IFERROR(VLOOKUP(car_price_prediction_[[#This Row],[Car ID]],A1630:A4129,1,FALSE),0),1,0)</f>
        <v>0</v>
      </c>
    </row>
    <row r="1630" spans="1:15" x14ac:dyDescent="0.25">
      <c r="A1630">
        <v>1629</v>
      </c>
      <c r="B1630" s="1" t="s">
        <v>43</v>
      </c>
      <c r="C1630" s="1">
        <f>car_price_prediction_[[#This Row],[Year2]]</f>
        <v>2022</v>
      </c>
      <c r="D1630">
        <v>2022</v>
      </c>
      <c r="E1630">
        <f>car_price_prediction_[[#This Row],[Engine Size]]/10</f>
        <v>3.5</v>
      </c>
      <c r="F1630">
        <v>35</v>
      </c>
      <c r="G1630" s="1" t="s">
        <v>11</v>
      </c>
      <c r="H1630" s="1" t="s">
        <v>22</v>
      </c>
      <c r="I1630" s="12">
        <f>car_price_prediction_[[#This Row],[Mileage]]/1000</f>
        <v>7.274</v>
      </c>
      <c r="J1630" s="5">
        <v>7274</v>
      </c>
      <c r="K1630" s="1" t="s">
        <v>13</v>
      </c>
      <c r="L1630" s="5">
        <f>car_price_prediction_[[#This Row],[Price]]/100</f>
        <v>87156.36</v>
      </c>
      <c r="M1630">
        <v>8715636</v>
      </c>
      <c r="N1630" s="1" t="s">
        <v>44</v>
      </c>
      <c r="O1630" s="1">
        <f>IF(IFERROR(VLOOKUP(car_price_prediction_[[#This Row],[Car ID]],A1631:A4130,1,FALSE),0),1,0)</f>
        <v>0</v>
      </c>
    </row>
    <row r="1631" spans="1:15" x14ac:dyDescent="0.25">
      <c r="A1631">
        <v>1630</v>
      </c>
      <c r="B1631" s="1" t="s">
        <v>36</v>
      </c>
      <c r="C1631" s="1">
        <f>car_price_prediction_[[#This Row],[Year2]]</f>
        <v>2014</v>
      </c>
      <c r="D1631">
        <v>2014</v>
      </c>
      <c r="E1631">
        <f>car_price_prediction_[[#This Row],[Engine Size]]/10</f>
        <v>3.5</v>
      </c>
      <c r="F1631">
        <v>35</v>
      </c>
      <c r="G1631" s="1" t="s">
        <v>16</v>
      </c>
      <c r="H1631" s="1" t="s">
        <v>22</v>
      </c>
      <c r="I1631" s="12">
        <f>car_price_prediction_[[#This Row],[Mileage]]/1000</f>
        <v>15.747999999999999</v>
      </c>
      <c r="J1631" s="5">
        <v>15748</v>
      </c>
      <c r="K1631" s="1" t="s">
        <v>13</v>
      </c>
      <c r="L1631" s="5">
        <f>car_price_prediction_[[#This Row],[Price]]/100</f>
        <v>42090.22</v>
      </c>
      <c r="M1631">
        <v>4209022</v>
      </c>
      <c r="N1631" s="1" t="s">
        <v>46</v>
      </c>
      <c r="O1631" s="1">
        <f>IF(IFERROR(VLOOKUP(car_price_prediction_[[#This Row],[Car ID]],A1632:A4131,1,FALSE),0),1,0)</f>
        <v>0</v>
      </c>
    </row>
    <row r="1632" spans="1:15" x14ac:dyDescent="0.25">
      <c r="A1632">
        <v>1631</v>
      </c>
      <c r="B1632" s="1" t="s">
        <v>36</v>
      </c>
      <c r="C1632" s="1">
        <f>car_price_prediction_[[#This Row],[Year2]]</f>
        <v>2010</v>
      </c>
      <c r="D1632">
        <v>2010</v>
      </c>
      <c r="E1632">
        <f>car_price_prediction_[[#This Row],[Engine Size]]/10</f>
        <v>1.7</v>
      </c>
      <c r="F1632">
        <v>17</v>
      </c>
      <c r="G1632" s="1" t="s">
        <v>16</v>
      </c>
      <c r="H1632" s="1" t="s">
        <v>12</v>
      </c>
      <c r="I1632" s="12">
        <f>car_price_prediction_[[#This Row],[Mileage]]/1000</f>
        <v>11.826000000000001</v>
      </c>
      <c r="J1632" s="5">
        <v>11826</v>
      </c>
      <c r="K1632" s="1" t="s">
        <v>13</v>
      </c>
      <c r="L1632" s="5">
        <f>car_price_prediction_[[#This Row],[Price]]/100</f>
        <v>4123</v>
      </c>
      <c r="M1632">
        <v>412300</v>
      </c>
      <c r="N1632" s="1" t="s">
        <v>40</v>
      </c>
      <c r="O1632" s="1">
        <f>IF(IFERROR(VLOOKUP(car_price_prediction_[[#This Row],[Car ID]],A1633:A4132,1,FALSE),0),1,0)</f>
        <v>0</v>
      </c>
    </row>
    <row r="1633" spans="1:15" x14ac:dyDescent="0.25">
      <c r="A1633">
        <v>1632</v>
      </c>
      <c r="B1633" s="1" t="s">
        <v>24</v>
      </c>
      <c r="C1633" s="1">
        <f>car_price_prediction_[[#This Row],[Year2]]</f>
        <v>2018</v>
      </c>
      <c r="D1633">
        <v>2018</v>
      </c>
      <c r="E1633">
        <f>car_price_prediction_[[#This Row],[Engine Size]]/10</f>
        <v>5.9</v>
      </c>
      <c r="F1633">
        <v>59</v>
      </c>
      <c r="G1633" s="1" t="s">
        <v>16</v>
      </c>
      <c r="H1633" s="1" t="s">
        <v>12</v>
      </c>
      <c r="I1633" s="12">
        <f>car_price_prediction_[[#This Row],[Mileage]]/1000</f>
        <v>129.28800000000001</v>
      </c>
      <c r="J1633" s="5">
        <v>129288</v>
      </c>
      <c r="K1633" s="1" t="s">
        <v>17</v>
      </c>
      <c r="L1633" s="5">
        <f>car_price_prediction_[[#This Row],[Price]]/100</f>
        <v>29956.28</v>
      </c>
      <c r="M1633">
        <v>2995628</v>
      </c>
      <c r="N1633" s="1" t="s">
        <v>26</v>
      </c>
      <c r="O1633" s="1">
        <f>IF(IFERROR(VLOOKUP(car_price_prediction_[[#This Row],[Car ID]],A1634:A4133,1,FALSE),0),1,0)</f>
        <v>0</v>
      </c>
    </row>
    <row r="1634" spans="1:15" x14ac:dyDescent="0.25">
      <c r="A1634">
        <v>1633</v>
      </c>
      <c r="B1634" s="1" t="s">
        <v>36</v>
      </c>
      <c r="C1634" s="1">
        <f>car_price_prediction_[[#This Row],[Year2]]</f>
        <v>2017</v>
      </c>
      <c r="D1634">
        <v>2017</v>
      </c>
      <c r="E1634">
        <f>car_price_prediction_[[#This Row],[Engine Size]]/10</f>
        <v>2.2000000000000002</v>
      </c>
      <c r="F1634">
        <v>22</v>
      </c>
      <c r="G1634" s="1" t="s">
        <v>16</v>
      </c>
      <c r="H1634" s="1" t="s">
        <v>22</v>
      </c>
      <c r="I1634" s="12">
        <f>car_price_prediction_[[#This Row],[Mileage]]/1000</f>
        <v>201.08099999999999</v>
      </c>
      <c r="J1634" s="5">
        <v>201081</v>
      </c>
      <c r="K1634" s="1" t="s">
        <v>17</v>
      </c>
      <c r="L1634" s="5">
        <f>car_price_prediction_[[#This Row],[Price]]/100</f>
        <v>9247.48</v>
      </c>
      <c r="M1634">
        <v>924748</v>
      </c>
      <c r="N1634" s="1" t="s">
        <v>41</v>
      </c>
      <c r="O1634" s="1">
        <f>IF(IFERROR(VLOOKUP(car_price_prediction_[[#This Row],[Car ID]],A1635:A4134,1,FALSE),0),1,0)</f>
        <v>0</v>
      </c>
    </row>
    <row r="1635" spans="1:15" x14ac:dyDescent="0.25">
      <c r="A1635">
        <v>1634</v>
      </c>
      <c r="B1635" s="1" t="s">
        <v>15</v>
      </c>
      <c r="C1635" s="1">
        <f>car_price_prediction_[[#This Row],[Year2]]</f>
        <v>2016</v>
      </c>
      <c r="D1635">
        <v>2016</v>
      </c>
      <c r="E1635">
        <f>car_price_prediction_[[#This Row],[Engine Size]]/10</f>
        <v>1.4</v>
      </c>
      <c r="F1635">
        <v>14</v>
      </c>
      <c r="G1635" s="1" t="s">
        <v>16</v>
      </c>
      <c r="H1635" s="1" t="s">
        <v>12</v>
      </c>
      <c r="I1635" s="12">
        <f>car_price_prediction_[[#This Row],[Mileage]]/1000</f>
        <v>251.054</v>
      </c>
      <c r="J1635" s="5">
        <v>251054</v>
      </c>
      <c r="K1635" s="1" t="s">
        <v>25</v>
      </c>
      <c r="L1635" s="5">
        <f>car_price_prediction_[[#This Row],[Price]]/100</f>
        <v>30460.85</v>
      </c>
      <c r="M1635">
        <v>3046085</v>
      </c>
      <c r="N1635" s="1" t="s">
        <v>18</v>
      </c>
      <c r="O1635" s="1">
        <f>IF(IFERROR(VLOOKUP(car_price_prediction_[[#This Row],[Car ID]],A1636:A4135,1,FALSE),0),1,0)</f>
        <v>0</v>
      </c>
    </row>
    <row r="1636" spans="1:15" x14ac:dyDescent="0.25">
      <c r="A1636">
        <v>1635</v>
      </c>
      <c r="B1636" s="1" t="s">
        <v>30</v>
      </c>
      <c r="C1636" s="1">
        <f>car_price_prediction_[[#This Row],[Year2]]</f>
        <v>2018</v>
      </c>
      <c r="D1636">
        <v>2018</v>
      </c>
      <c r="E1636">
        <f>car_price_prediction_[[#This Row],[Engine Size]]/10</f>
        <v>4.3</v>
      </c>
      <c r="F1636">
        <v>43</v>
      </c>
      <c r="G1636" s="1" t="s">
        <v>21</v>
      </c>
      <c r="H1636" s="1" t="s">
        <v>12</v>
      </c>
      <c r="I1636" s="12">
        <f>car_price_prediction_[[#This Row],[Mileage]]/1000</f>
        <v>172.50700000000001</v>
      </c>
      <c r="J1636" s="5">
        <v>172507</v>
      </c>
      <c r="K1636" s="1" t="s">
        <v>25</v>
      </c>
      <c r="L1636" s="5">
        <f>car_price_prediction_[[#This Row],[Price]]/100</f>
        <v>10108.81</v>
      </c>
      <c r="M1636">
        <v>1010881</v>
      </c>
      <c r="N1636" s="1" t="s">
        <v>48</v>
      </c>
      <c r="O1636" s="1">
        <f>IF(IFERROR(VLOOKUP(car_price_prediction_[[#This Row],[Car ID]],A1637:A4136,1,FALSE),0),1,0)</f>
        <v>0</v>
      </c>
    </row>
    <row r="1637" spans="1:15" x14ac:dyDescent="0.25">
      <c r="A1637">
        <v>1636</v>
      </c>
      <c r="B1637" s="1" t="s">
        <v>30</v>
      </c>
      <c r="C1637" s="1">
        <f>car_price_prediction_[[#This Row],[Year2]]</f>
        <v>2020</v>
      </c>
      <c r="D1637">
        <v>2020</v>
      </c>
      <c r="E1637">
        <f>car_price_prediction_[[#This Row],[Engine Size]]/10</f>
        <v>4</v>
      </c>
      <c r="F1637">
        <v>40</v>
      </c>
      <c r="G1637" s="1" t="s">
        <v>29</v>
      </c>
      <c r="H1637" s="1" t="s">
        <v>12</v>
      </c>
      <c r="I1637" s="12">
        <f>car_price_prediction_[[#This Row],[Mileage]]/1000</f>
        <v>206.089</v>
      </c>
      <c r="J1637" s="5">
        <v>206089</v>
      </c>
      <c r="K1637" s="1" t="s">
        <v>25</v>
      </c>
      <c r="L1637" s="5">
        <f>car_price_prediction_[[#This Row],[Price]]/100</f>
        <v>92815.34</v>
      </c>
      <c r="M1637">
        <v>9281534</v>
      </c>
      <c r="N1637" s="1" t="s">
        <v>48</v>
      </c>
      <c r="O1637" s="1">
        <f>IF(IFERROR(VLOOKUP(car_price_prediction_[[#This Row],[Car ID]],A1638:A4137,1,FALSE),0),1,0)</f>
        <v>0</v>
      </c>
    </row>
    <row r="1638" spans="1:15" x14ac:dyDescent="0.25">
      <c r="A1638">
        <v>1637</v>
      </c>
      <c r="B1638" s="1" t="s">
        <v>19</v>
      </c>
      <c r="C1638" s="1">
        <f>car_price_prediction_[[#This Row],[Year2]]</f>
        <v>2013</v>
      </c>
      <c r="D1638">
        <v>2013</v>
      </c>
      <c r="E1638">
        <f>car_price_prediction_[[#This Row],[Engine Size]]/10</f>
        <v>3.1</v>
      </c>
      <c r="F1638">
        <v>31</v>
      </c>
      <c r="G1638" s="1" t="s">
        <v>16</v>
      </c>
      <c r="H1638" s="1" t="s">
        <v>22</v>
      </c>
      <c r="I1638" s="12">
        <f>car_price_prediction_[[#This Row],[Mileage]]/1000</f>
        <v>223.023</v>
      </c>
      <c r="J1638" s="5">
        <v>223023</v>
      </c>
      <c r="K1638" s="1" t="s">
        <v>25</v>
      </c>
      <c r="L1638" s="5">
        <f>car_price_prediction_[[#This Row],[Price]]/100</f>
        <v>67863.460000000006</v>
      </c>
      <c r="M1638">
        <v>6786346</v>
      </c>
      <c r="N1638" s="1" t="s">
        <v>27</v>
      </c>
      <c r="O1638" s="1">
        <f>IF(IFERROR(VLOOKUP(car_price_prediction_[[#This Row],[Car ID]],A1639:A4138,1,FALSE),0),1,0)</f>
        <v>0</v>
      </c>
    </row>
    <row r="1639" spans="1:15" x14ac:dyDescent="0.25">
      <c r="A1639">
        <v>1638</v>
      </c>
      <c r="B1639" s="1" t="s">
        <v>19</v>
      </c>
      <c r="C1639" s="1">
        <f>car_price_prediction_[[#This Row],[Year2]]</f>
        <v>2017</v>
      </c>
      <c r="D1639">
        <v>2017</v>
      </c>
      <c r="E1639">
        <f>car_price_prediction_[[#This Row],[Engine Size]]/10</f>
        <v>3.1</v>
      </c>
      <c r="F1639">
        <v>31</v>
      </c>
      <c r="G1639" s="1" t="s">
        <v>21</v>
      </c>
      <c r="H1639" s="1" t="s">
        <v>22</v>
      </c>
      <c r="I1639" s="12">
        <f>car_price_prediction_[[#This Row],[Mileage]]/1000</f>
        <v>192.94900000000001</v>
      </c>
      <c r="J1639" s="5">
        <v>192949</v>
      </c>
      <c r="K1639" s="1" t="s">
        <v>13</v>
      </c>
      <c r="L1639" s="5">
        <f>car_price_prediction_[[#This Row],[Price]]/100</f>
        <v>89229.15</v>
      </c>
      <c r="M1639">
        <v>8922915</v>
      </c>
      <c r="N1639" s="1" t="s">
        <v>27</v>
      </c>
      <c r="O1639" s="1">
        <f>IF(IFERROR(VLOOKUP(car_price_prediction_[[#This Row],[Car ID]],A1640:A4139,1,FALSE),0),1,0)</f>
        <v>0</v>
      </c>
    </row>
    <row r="1640" spans="1:15" x14ac:dyDescent="0.25">
      <c r="A1640">
        <v>1639</v>
      </c>
      <c r="B1640" s="1" t="s">
        <v>30</v>
      </c>
      <c r="C1640" s="1">
        <f>car_price_prediction_[[#This Row],[Year2]]</f>
        <v>2018</v>
      </c>
      <c r="D1640">
        <v>2018</v>
      </c>
      <c r="E1640">
        <f>car_price_prediction_[[#This Row],[Engine Size]]/10</f>
        <v>4.9000000000000004</v>
      </c>
      <c r="F1640">
        <v>49</v>
      </c>
      <c r="G1640" s="1" t="s">
        <v>11</v>
      </c>
      <c r="H1640" s="1" t="s">
        <v>12</v>
      </c>
      <c r="I1640" s="12">
        <f>car_price_prediction_[[#This Row],[Mileage]]/1000</f>
        <v>69.072000000000003</v>
      </c>
      <c r="J1640" s="5">
        <v>69072</v>
      </c>
      <c r="K1640" s="1" t="s">
        <v>17</v>
      </c>
      <c r="L1640" s="5">
        <f>car_price_prediction_[[#This Row],[Price]]/100</f>
        <v>73142.61</v>
      </c>
      <c r="M1640">
        <v>7314261</v>
      </c>
      <c r="N1640" s="1" t="s">
        <v>45</v>
      </c>
      <c r="O1640" s="1">
        <f>IF(IFERROR(VLOOKUP(car_price_prediction_[[#This Row],[Car ID]],A1641:A4140,1,FALSE),0),1,0)</f>
        <v>0</v>
      </c>
    </row>
    <row r="1641" spans="1:15" x14ac:dyDescent="0.25">
      <c r="A1641">
        <v>1640</v>
      </c>
      <c r="B1641" s="1" t="s">
        <v>10</v>
      </c>
      <c r="C1641" s="1">
        <f>car_price_prediction_[[#This Row],[Year2]]</f>
        <v>2014</v>
      </c>
      <c r="D1641">
        <v>2014</v>
      </c>
      <c r="E1641">
        <f>car_price_prediction_[[#This Row],[Engine Size]]/10</f>
        <v>2</v>
      </c>
      <c r="F1641">
        <v>20</v>
      </c>
      <c r="G1641" s="1" t="s">
        <v>16</v>
      </c>
      <c r="H1641" s="1" t="s">
        <v>12</v>
      </c>
      <c r="I1641" s="12">
        <f>car_price_prediction_[[#This Row],[Mileage]]/1000</f>
        <v>67.308999999999997</v>
      </c>
      <c r="J1641" s="5">
        <v>67309</v>
      </c>
      <c r="K1641" s="1" t="s">
        <v>17</v>
      </c>
      <c r="L1641" s="5">
        <f>car_price_prediction_[[#This Row],[Price]]/100</f>
        <v>17472.25</v>
      </c>
      <c r="M1641">
        <v>1747225</v>
      </c>
      <c r="N1641" s="1" t="s">
        <v>49</v>
      </c>
      <c r="O1641" s="1">
        <f>IF(IFERROR(VLOOKUP(car_price_prediction_[[#This Row],[Car ID]],A1642:A4141,1,FALSE),0),1,0)</f>
        <v>0</v>
      </c>
    </row>
    <row r="1642" spans="1:15" x14ac:dyDescent="0.25">
      <c r="A1642">
        <v>1641</v>
      </c>
      <c r="B1642" s="1" t="s">
        <v>19</v>
      </c>
      <c r="C1642" s="1">
        <f>car_price_prediction_[[#This Row],[Year2]]</f>
        <v>2014</v>
      </c>
      <c r="D1642">
        <v>2014</v>
      </c>
      <c r="E1642">
        <f>car_price_prediction_[[#This Row],[Engine Size]]/10</f>
        <v>5.0999999999999996</v>
      </c>
      <c r="F1642">
        <v>51</v>
      </c>
      <c r="G1642" s="1" t="s">
        <v>11</v>
      </c>
      <c r="H1642" s="1" t="s">
        <v>12</v>
      </c>
      <c r="I1642" s="12">
        <f>car_price_prediction_[[#This Row],[Mileage]]/1000</f>
        <v>160.96600000000001</v>
      </c>
      <c r="J1642" s="5">
        <v>160966</v>
      </c>
      <c r="K1642" s="1" t="s">
        <v>17</v>
      </c>
      <c r="L1642" s="5">
        <f>car_price_prediction_[[#This Row],[Price]]/100</f>
        <v>94355.25</v>
      </c>
      <c r="M1642">
        <v>9435525</v>
      </c>
      <c r="N1642" s="1" t="s">
        <v>27</v>
      </c>
      <c r="O1642" s="1">
        <f>IF(IFERROR(VLOOKUP(car_price_prediction_[[#This Row],[Car ID]],A1643:A4142,1,FALSE),0),1,0)</f>
        <v>0</v>
      </c>
    </row>
    <row r="1643" spans="1:15" x14ac:dyDescent="0.25">
      <c r="A1643">
        <v>1642</v>
      </c>
      <c r="B1643" s="1" t="s">
        <v>24</v>
      </c>
      <c r="C1643" s="1">
        <f>car_price_prediction_[[#This Row],[Year2]]</f>
        <v>2003</v>
      </c>
      <c r="D1643">
        <v>2003</v>
      </c>
      <c r="E1643">
        <f>car_price_prediction_[[#This Row],[Engine Size]]/10</f>
        <v>4.2</v>
      </c>
      <c r="F1643">
        <v>42</v>
      </c>
      <c r="G1643" s="1" t="s">
        <v>16</v>
      </c>
      <c r="H1643" s="1" t="s">
        <v>12</v>
      </c>
      <c r="I1643" s="12">
        <f>car_price_prediction_[[#This Row],[Mileage]]/1000</f>
        <v>185.63900000000001</v>
      </c>
      <c r="J1643" s="5">
        <v>185639</v>
      </c>
      <c r="K1643" s="1" t="s">
        <v>17</v>
      </c>
      <c r="L1643" s="5">
        <f>car_price_prediction_[[#This Row],[Price]]/100</f>
        <v>90489.84</v>
      </c>
      <c r="M1643">
        <v>9048984</v>
      </c>
      <c r="N1643" s="1" t="s">
        <v>34</v>
      </c>
      <c r="O1643" s="1">
        <f>IF(IFERROR(VLOOKUP(car_price_prediction_[[#This Row],[Car ID]],A1644:A4143,1,FALSE),0),1,0)</f>
        <v>0</v>
      </c>
    </row>
    <row r="1644" spans="1:15" x14ac:dyDescent="0.25">
      <c r="A1644">
        <v>1643</v>
      </c>
      <c r="B1644" s="1" t="s">
        <v>36</v>
      </c>
      <c r="C1644" s="1">
        <f>car_price_prediction_[[#This Row],[Year2]]</f>
        <v>2006</v>
      </c>
      <c r="D1644">
        <v>2006</v>
      </c>
      <c r="E1644">
        <f>car_price_prediction_[[#This Row],[Engine Size]]/10</f>
        <v>3.1</v>
      </c>
      <c r="F1644">
        <v>31</v>
      </c>
      <c r="G1644" s="1" t="s">
        <v>21</v>
      </c>
      <c r="H1644" s="1" t="s">
        <v>22</v>
      </c>
      <c r="I1644" s="12">
        <f>car_price_prediction_[[#This Row],[Mileage]]/1000</f>
        <v>35.326000000000001</v>
      </c>
      <c r="J1644" s="5">
        <v>35326</v>
      </c>
      <c r="K1644" s="1" t="s">
        <v>25</v>
      </c>
      <c r="L1644" s="5">
        <f>car_price_prediction_[[#This Row],[Price]]/100</f>
        <v>38067.230000000003</v>
      </c>
      <c r="M1644">
        <v>3806723</v>
      </c>
      <c r="N1644" s="1" t="s">
        <v>37</v>
      </c>
      <c r="O1644" s="1">
        <f>IF(IFERROR(VLOOKUP(car_price_prediction_[[#This Row],[Car ID]],A1645:A4144,1,FALSE),0),1,0)</f>
        <v>0</v>
      </c>
    </row>
    <row r="1645" spans="1:15" x14ac:dyDescent="0.25">
      <c r="A1645">
        <v>1644</v>
      </c>
      <c r="B1645" s="1" t="s">
        <v>30</v>
      </c>
      <c r="C1645" s="1">
        <f>car_price_prediction_[[#This Row],[Year2]]</f>
        <v>2012</v>
      </c>
      <c r="D1645">
        <v>2012</v>
      </c>
      <c r="E1645">
        <f>car_price_prediction_[[#This Row],[Engine Size]]/10</f>
        <v>3.3</v>
      </c>
      <c r="F1645">
        <v>33</v>
      </c>
      <c r="G1645" s="1" t="s">
        <v>21</v>
      </c>
      <c r="H1645" s="1" t="s">
        <v>22</v>
      </c>
      <c r="I1645" s="12">
        <f>car_price_prediction_[[#This Row],[Mileage]]/1000</f>
        <v>186.131</v>
      </c>
      <c r="J1645" s="5">
        <v>186131</v>
      </c>
      <c r="K1645" s="1" t="s">
        <v>13</v>
      </c>
      <c r="L1645" s="5">
        <f>car_price_prediction_[[#This Row],[Price]]/100</f>
        <v>15595.67</v>
      </c>
      <c r="M1645">
        <v>1559567</v>
      </c>
      <c r="N1645" s="1" t="s">
        <v>42</v>
      </c>
      <c r="O1645" s="1">
        <f>IF(IFERROR(VLOOKUP(car_price_prediction_[[#This Row],[Car ID]],A1646:A4145,1,FALSE),0),1,0)</f>
        <v>0</v>
      </c>
    </row>
    <row r="1646" spans="1:15" x14ac:dyDescent="0.25">
      <c r="A1646">
        <v>1645</v>
      </c>
      <c r="B1646" s="1" t="s">
        <v>19</v>
      </c>
      <c r="C1646" s="1">
        <f>car_price_prediction_[[#This Row],[Year2]]</f>
        <v>2002</v>
      </c>
      <c r="D1646">
        <v>2002</v>
      </c>
      <c r="E1646">
        <f>car_price_prediction_[[#This Row],[Engine Size]]/10</f>
        <v>2.2999999999999998</v>
      </c>
      <c r="F1646">
        <v>23</v>
      </c>
      <c r="G1646" s="1" t="s">
        <v>21</v>
      </c>
      <c r="H1646" s="1" t="s">
        <v>12</v>
      </c>
      <c r="I1646" s="12">
        <f>car_price_prediction_[[#This Row],[Mileage]]/1000</f>
        <v>267.22300000000001</v>
      </c>
      <c r="J1646" s="5">
        <v>267223</v>
      </c>
      <c r="K1646" s="1" t="s">
        <v>17</v>
      </c>
      <c r="L1646" s="5">
        <f>car_price_prediction_[[#This Row],[Price]]/100</f>
        <v>7189.47</v>
      </c>
      <c r="M1646">
        <v>718947</v>
      </c>
      <c r="N1646" s="1" t="s">
        <v>28</v>
      </c>
      <c r="O1646" s="1">
        <f>IF(IFERROR(VLOOKUP(car_price_prediction_[[#This Row],[Car ID]],A1647:A4146,1,FALSE),0),1,0)</f>
        <v>0</v>
      </c>
    </row>
    <row r="1647" spans="1:15" x14ac:dyDescent="0.25">
      <c r="A1647">
        <v>1646</v>
      </c>
      <c r="B1647" s="1" t="s">
        <v>30</v>
      </c>
      <c r="C1647" s="1">
        <f>car_price_prediction_[[#This Row],[Year2]]</f>
        <v>2015</v>
      </c>
      <c r="D1647">
        <v>2015</v>
      </c>
      <c r="E1647">
        <f>car_price_prediction_[[#This Row],[Engine Size]]/10</f>
        <v>4.8</v>
      </c>
      <c r="F1647">
        <v>48</v>
      </c>
      <c r="G1647" s="1" t="s">
        <v>29</v>
      </c>
      <c r="H1647" s="1" t="s">
        <v>12</v>
      </c>
      <c r="I1647" s="12">
        <f>car_price_prediction_[[#This Row],[Mileage]]/1000</f>
        <v>87.34</v>
      </c>
      <c r="J1647" s="5">
        <v>87340</v>
      </c>
      <c r="K1647" s="1" t="s">
        <v>13</v>
      </c>
      <c r="L1647" s="5">
        <f>car_price_prediction_[[#This Row],[Price]]/100</f>
        <v>74194.320000000007</v>
      </c>
      <c r="M1647">
        <v>7419432</v>
      </c>
      <c r="N1647" s="1" t="s">
        <v>42</v>
      </c>
      <c r="O1647" s="1">
        <f>IF(IFERROR(VLOOKUP(car_price_prediction_[[#This Row],[Car ID]],A1648:A4147,1,FALSE),0),1,0)</f>
        <v>0</v>
      </c>
    </row>
    <row r="1648" spans="1:15" x14ac:dyDescent="0.25">
      <c r="A1648">
        <v>1647</v>
      </c>
      <c r="B1648" s="1" t="s">
        <v>15</v>
      </c>
      <c r="C1648" s="1">
        <f>car_price_prediction_[[#This Row],[Year2]]</f>
        <v>2008</v>
      </c>
      <c r="D1648">
        <v>2008</v>
      </c>
      <c r="E1648">
        <f>car_price_prediction_[[#This Row],[Engine Size]]/10</f>
        <v>3.6</v>
      </c>
      <c r="F1648">
        <v>36</v>
      </c>
      <c r="G1648" s="1" t="s">
        <v>11</v>
      </c>
      <c r="H1648" s="1" t="s">
        <v>22</v>
      </c>
      <c r="I1648" s="12">
        <f>car_price_prediction_[[#This Row],[Mileage]]/1000</f>
        <v>167.364</v>
      </c>
      <c r="J1648" s="5">
        <v>167364</v>
      </c>
      <c r="K1648" s="1" t="s">
        <v>13</v>
      </c>
      <c r="L1648" s="5">
        <f>car_price_prediction_[[#This Row],[Price]]/100</f>
        <v>90198.76</v>
      </c>
      <c r="M1648">
        <v>9019876</v>
      </c>
      <c r="N1648" s="1" t="s">
        <v>51</v>
      </c>
      <c r="O1648" s="1">
        <f>IF(IFERROR(VLOOKUP(car_price_prediction_[[#This Row],[Car ID]],A1649:A4148,1,FALSE),0),1,0)</f>
        <v>0</v>
      </c>
    </row>
    <row r="1649" spans="1:15" x14ac:dyDescent="0.25">
      <c r="A1649">
        <v>1648</v>
      </c>
      <c r="B1649" s="1" t="s">
        <v>43</v>
      </c>
      <c r="C1649" s="1">
        <f>car_price_prediction_[[#This Row],[Year2]]</f>
        <v>2007</v>
      </c>
      <c r="D1649">
        <v>2007</v>
      </c>
      <c r="E1649">
        <f>car_price_prediction_[[#This Row],[Engine Size]]/10</f>
        <v>2.6</v>
      </c>
      <c r="F1649">
        <v>26</v>
      </c>
      <c r="G1649" s="1" t="s">
        <v>29</v>
      </c>
      <c r="H1649" s="1" t="s">
        <v>12</v>
      </c>
      <c r="I1649" s="12">
        <f>car_price_prediction_[[#This Row],[Mileage]]/1000</f>
        <v>118.19199999999999</v>
      </c>
      <c r="J1649" s="5">
        <v>118192</v>
      </c>
      <c r="K1649" s="1" t="s">
        <v>13</v>
      </c>
      <c r="L1649" s="5">
        <f>car_price_prediction_[[#This Row],[Price]]/100</f>
        <v>1000.23</v>
      </c>
      <c r="M1649">
        <v>100023</v>
      </c>
      <c r="N1649" s="1" t="s">
        <v>52</v>
      </c>
      <c r="O1649" s="1">
        <f>IF(IFERROR(VLOOKUP(car_price_prediction_[[#This Row],[Car ID]],A1650:A4149,1,FALSE),0),1,0)</f>
        <v>0</v>
      </c>
    </row>
    <row r="1650" spans="1:15" x14ac:dyDescent="0.25">
      <c r="A1650">
        <v>1649</v>
      </c>
      <c r="B1650" s="1" t="s">
        <v>36</v>
      </c>
      <c r="C1650" s="1">
        <f>car_price_prediction_[[#This Row],[Year2]]</f>
        <v>2019</v>
      </c>
      <c r="D1650">
        <v>2019</v>
      </c>
      <c r="E1650">
        <f>car_price_prediction_[[#This Row],[Engine Size]]/10</f>
        <v>4</v>
      </c>
      <c r="F1650">
        <v>40</v>
      </c>
      <c r="G1650" s="1" t="s">
        <v>16</v>
      </c>
      <c r="H1650" s="1" t="s">
        <v>22</v>
      </c>
      <c r="I1650" s="12">
        <f>car_price_prediction_[[#This Row],[Mileage]]/1000</f>
        <v>251.749</v>
      </c>
      <c r="J1650" s="5">
        <v>251749</v>
      </c>
      <c r="K1650" s="1" t="s">
        <v>13</v>
      </c>
      <c r="L1650" s="5">
        <f>car_price_prediction_[[#This Row],[Price]]/100</f>
        <v>18461.86</v>
      </c>
      <c r="M1650">
        <v>1846186</v>
      </c>
      <c r="N1650" s="1" t="s">
        <v>46</v>
      </c>
      <c r="O1650" s="1">
        <f>IF(IFERROR(VLOOKUP(car_price_prediction_[[#This Row],[Car ID]],A1651:A4150,1,FALSE),0),1,0)</f>
        <v>0</v>
      </c>
    </row>
    <row r="1651" spans="1:15" x14ac:dyDescent="0.25">
      <c r="A1651">
        <v>1650</v>
      </c>
      <c r="B1651" s="1" t="s">
        <v>30</v>
      </c>
      <c r="C1651" s="1">
        <f>car_price_prediction_[[#This Row],[Year2]]</f>
        <v>2012</v>
      </c>
      <c r="D1651">
        <v>2012</v>
      </c>
      <c r="E1651">
        <f>car_price_prediction_[[#This Row],[Engine Size]]/10</f>
        <v>6</v>
      </c>
      <c r="F1651">
        <v>60</v>
      </c>
      <c r="G1651" s="1" t="s">
        <v>11</v>
      </c>
      <c r="H1651" s="1" t="s">
        <v>12</v>
      </c>
      <c r="I1651" s="12">
        <f>car_price_prediction_[[#This Row],[Mileage]]/1000</f>
        <v>51.817999999999998</v>
      </c>
      <c r="J1651" s="5">
        <v>51818</v>
      </c>
      <c r="K1651" s="1" t="s">
        <v>17</v>
      </c>
      <c r="L1651" s="5">
        <f>car_price_prediction_[[#This Row],[Price]]/100</f>
        <v>61833.64</v>
      </c>
      <c r="M1651">
        <v>6183364</v>
      </c>
      <c r="N1651" s="1" t="s">
        <v>31</v>
      </c>
      <c r="O1651" s="1">
        <f>IF(IFERROR(VLOOKUP(car_price_prediction_[[#This Row],[Car ID]],A1652:A4151,1,FALSE),0),1,0)</f>
        <v>0</v>
      </c>
    </row>
    <row r="1652" spans="1:15" x14ac:dyDescent="0.25">
      <c r="A1652">
        <v>1651</v>
      </c>
      <c r="B1652" s="1" t="s">
        <v>43</v>
      </c>
      <c r="C1652" s="1">
        <f>car_price_prediction_[[#This Row],[Year2]]</f>
        <v>2016</v>
      </c>
      <c r="D1652">
        <v>2016</v>
      </c>
      <c r="E1652">
        <f>car_price_prediction_[[#This Row],[Engine Size]]/10</f>
        <v>3.2</v>
      </c>
      <c r="F1652">
        <v>32</v>
      </c>
      <c r="G1652" s="1" t="s">
        <v>21</v>
      </c>
      <c r="H1652" s="1" t="s">
        <v>22</v>
      </c>
      <c r="I1652" s="12">
        <f>car_price_prediction_[[#This Row],[Mileage]]/1000</f>
        <v>13.429</v>
      </c>
      <c r="J1652" s="5">
        <v>13429</v>
      </c>
      <c r="K1652" s="1" t="s">
        <v>17</v>
      </c>
      <c r="L1652" s="5">
        <f>car_price_prediction_[[#This Row],[Price]]/100</f>
        <v>6381.75</v>
      </c>
      <c r="M1652">
        <v>638175</v>
      </c>
      <c r="N1652" s="1" t="s">
        <v>52</v>
      </c>
      <c r="O1652" s="1">
        <f>IF(IFERROR(VLOOKUP(car_price_prediction_[[#This Row],[Car ID]],A1653:A4152,1,FALSE),0),1,0)</f>
        <v>0</v>
      </c>
    </row>
    <row r="1653" spans="1:15" x14ac:dyDescent="0.25">
      <c r="A1653">
        <v>1652</v>
      </c>
      <c r="B1653" s="1" t="s">
        <v>19</v>
      </c>
      <c r="C1653" s="1">
        <f>car_price_prediction_[[#This Row],[Year2]]</f>
        <v>2016</v>
      </c>
      <c r="D1653">
        <v>2016</v>
      </c>
      <c r="E1653">
        <f>car_price_prediction_[[#This Row],[Engine Size]]/10</f>
        <v>5.6</v>
      </c>
      <c r="F1653">
        <v>56</v>
      </c>
      <c r="G1653" s="1" t="s">
        <v>11</v>
      </c>
      <c r="H1653" s="1" t="s">
        <v>12</v>
      </c>
      <c r="I1653" s="12">
        <f>car_price_prediction_[[#This Row],[Mileage]]/1000</f>
        <v>57.747999999999998</v>
      </c>
      <c r="J1653" s="5">
        <v>57748</v>
      </c>
      <c r="K1653" s="1" t="s">
        <v>17</v>
      </c>
      <c r="L1653" s="5">
        <f>car_price_prediction_[[#This Row],[Price]]/100</f>
        <v>8192.92</v>
      </c>
      <c r="M1653">
        <v>819292</v>
      </c>
      <c r="N1653" s="1" t="s">
        <v>28</v>
      </c>
      <c r="O1653" s="1">
        <f>IF(IFERROR(VLOOKUP(car_price_prediction_[[#This Row],[Car ID]],A1654:A4153,1,FALSE),0),1,0)</f>
        <v>0</v>
      </c>
    </row>
    <row r="1654" spans="1:15" x14ac:dyDescent="0.25">
      <c r="A1654">
        <v>1653</v>
      </c>
      <c r="B1654" s="1" t="s">
        <v>43</v>
      </c>
      <c r="C1654" s="1">
        <f>car_price_prediction_[[#This Row],[Year2]]</f>
        <v>2016</v>
      </c>
      <c r="D1654">
        <v>2016</v>
      </c>
      <c r="E1654">
        <f>car_price_prediction_[[#This Row],[Engine Size]]/10</f>
        <v>2.7</v>
      </c>
      <c r="F1654">
        <v>27</v>
      </c>
      <c r="G1654" s="1" t="s">
        <v>21</v>
      </c>
      <c r="H1654" s="1" t="s">
        <v>12</v>
      </c>
      <c r="I1654" s="12">
        <f>car_price_prediction_[[#This Row],[Mileage]]/1000</f>
        <v>48.807000000000002</v>
      </c>
      <c r="J1654" s="5">
        <v>48807</v>
      </c>
      <c r="K1654" s="1" t="s">
        <v>25</v>
      </c>
      <c r="L1654" s="5">
        <f>car_price_prediction_[[#This Row],[Price]]/100</f>
        <v>42708.54</v>
      </c>
      <c r="M1654">
        <v>4270854</v>
      </c>
      <c r="N1654" s="1" t="s">
        <v>52</v>
      </c>
      <c r="O1654" s="1">
        <f>IF(IFERROR(VLOOKUP(car_price_prediction_[[#This Row],[Car ID]],A1655:A4154,1,FALSE),0),1,0)</f>
        <v>0</v>
      </c>
    </row>
    <row r="1655" spans="1:15" x14ac:dyDescent="0.25">
      <c r="A1655">
        <v>1654</v>
      </c>
      <c r="B1655" s="1" t="s">
        <v>36</v>
      </c>
      <c r="C1655" s="1">
        <f>car_price_prediction_[[#This Row],[Year2]]</f>
        <v>2000</v>
      </c>
      <c r="D1655">
        <v>2000</v>
      </c>
      <c r="E1655">
        <f>car_price_prediction_[[#This Row],[Engine Size]]/10</f>
        <v>1.3</v>
      </c>
      <c r="F1655">
        <v>13</v>
      </c>
      <c r="G1655" s="1" t="s">
        <v>29</v>
      </c>
      <c r="H1655" s="1" t="s">
        <v>22</v>
      </c>
      <c r="I1655" s="12">
        <f>car_price_prediction_[[#This Row],[Mileage]]/1000</f>
        <v>269.28399999999999</v>
      </c>
      <c r="J1655" s="5">
        <v>269284</v>
      </c>
      <c r="K1655" s="1" t="s">
        <v>17</v>
      </c>
      <c r="L1655" s="5">
        <f>car_price_prediction_[[#This Row],[Price]]/100</f>
        <v>60495.360000000001</v>
      </c>
      <c r="M1655">
        <v>6049536</v>
      </c>
      <c r="N1655" s="1" t="s">
        <v>37</v>
      </c>
      <c r="O1655" s="1">
        <f>IF(IFERROR(VLOOKUP(car_price_prediction_[[#This Row],[Car ID]],A1656:A4155,1,FALSE),0),1,0)</f>
        <v>0</v>
      </c>
    </row>
    <row r="1656" spans="1:15" x14ac:dyDescent="0.25">
      <c r="A1656">
        <v>1655</v>
      </c>
      <c r="B1656" s="1" t="s">
        <v>30</v>
      </c>
      <c r="C1656" s="1">
        <f>car_price_prediction_[[#This Row],[Year2]]</f>
        <v>2007</v>
      </c>
      <c r="D1656">
        <v>2007</v>
      </c>
      <c r="E1656">
        <f>car_price_prediction_[[#This Row],[Engine Size]]/10</f>
        <v>2</v>
      </c>
      <c r="F1656">
        <v>20</v>
      </c>
      <c r="G1656" s="1" t="s">
        <v>29</v>
      </c>
      <c r="H1656" s="1" t="s">
        <v>22</v>
      </c>
      <c r="I1656" s="12">
        <f>car_price_prediction_[[#This Row],[Mileage]]/1000</f>
        <v>238.161</v>
      </c>
      <c r="J1656" s="5">
        <v>238161</v>
      </c>
      <c r="K1656" s="1" t="s">
        <v>25</v>
      </c>
      <c r="L1656" s="5">
        <f>car_price_prediction_[[#This Row],[Price]]/100</f>
        <v>75101.58</v>
      </c>
      <c r="M1656">
        <v>7510158</v>
      </c>
      <c r="N1656" s="1" t="s">
        <v>48</v>
      </c>
      <c r="O1656" s="1">
        <f>IF(IFERROR(VLOOKUP(car_price_prediction_[[#This Row],[Car ID]],A1657:A4156,1,FALSE),0),1,0)</f>
        <v>0</v>
      </c>
    </row>
    <row r="1657" spans="1:15" x14ac:dyDescent="0.25">
      <c r="A1657">
        <v>1656</v>
      </c>
      <c r="B1657" s="1" t="s">
        <v>15</v>
      </c>
      <c r="C1657" s="1">
        <f>car_price_prediction_[[#This Row],[Year2]]</f>
        <v>2018</v>
      </c>
      <c r="D1657">
        <v>2018</v>
      </c>
      <c r="E1657">
        <f>car_price_prediction_[[#This Row],[Engine Size]]/10</f>
        <v>3.1</v>
      </c>
      <c r="F1657">
        <v>31</v>
      </c>
      <c r="G1657" s="1" t="s">
        <v>21</v>
      </c>
      <c r="H1657" s="1" t="s">
        <v>12</v>
      </c>
      <c r="I1657" s="12">
        <f>car_price_prediction_[[#This Row],[Mileage]]/1000</f>
        <v>290.66899999999998</v>
      </c>
      <c r="J1657" s="5">
        <v>290669</v>
      </c>
      <c r="K1657" s="1" t="s">
        <v>25</v>
      </c>
      <c r="L1657" s="5">
        <f>car_price_prediction_[[#This Row],[Price]]/100</f>
        <v>35034.32</v>
      </c>
      <c r="M1657">
        <v>3503432</v>
      </c>
      <c r="N1657" s="1" t="s">
        <v>39</v>
      </c>
      <c r="O1657" s="1">
        <f>IF(IFERROR(VLOOKUP(car_price_prediction_[[#This Row],[Car ID]],A1658:A4157,1,FALSE),0),1,0)</f>
        <v>0</v>
      </c>
    </row>
    <row r="1658" spans="1:15" x14ac:dyDescent="0.25">
      <c r="A1658">
        <v>1657</v>
      </c>
      <c r="B1658" s="1" t="s">
        <v>10</v>
      </c>
      <c r="C1658" s="1">
        <f>car_price_prediction_[[#This Row],[Year2]]</f>
        <v>2005</v>
      </c>
      <c r="D1658">
        <v>2005</v>
      </c>
      <c r="E1658">
        <f>car_price_prediction_[[#This Row],[Engine Size]]/10</f>
        <v>2.1</v>
      </c>
      <c r="F1658">
        <v>21</v>
      </c>
      <c r="G1658" s="1" t="s">
        <v>21</v>
      </c>
      <c r="H1658" s="1" t="s">
        <v>12</v>
      </c>
      <c r="I1658" s="12">
        <f>car_price_prediction_[[#This Row],[Mileage]]/1000</f>
        <v>282.63499999999999</v>
      </c>
      <c r="J1658" s="5">
        <v>282635</v>
      </c>
      <c r="K1658" s="1" t="s">
        <v>25</v>
      </c>
      <c r="L1658" s="5">
        <f>car_price_prediction_[[#This Row],[Price]]/100</f>
        <v>50970.83</v>
      </c>
      <c r="M1658">
        <v>5097083</v>
      </c>
      <c r="N1658" s="1" t="s">
        <v>14</v>
      </c>
      <c r="O1658" s="1">
        <f>IF(IFERROR(VLOOKUP(car_price_prediction_[[#This Row],[Car ID]],A1659:A4158,1,FALSE),0),1,0)</f>
        <v>0</v>
      </c>
    </row>
    <row r="1659" spans="1:15" x14ac:dyDescent="0.25">
      <c r="A1659">
        <v>1658</v>
      </c>
      <c r="B1659" s="1" t="s">
        <v>19</v>
      </c>
      <c r="C1659" s="1">
        <f>car_price_prediction_[[#This Row],[Year2]]</f>
        <v>2002</v>
      </c>
      <c r="D1659">
        <v>2002</v>
      </c>
      <c r="E1659">
        <f>car_price_prediction_[[#This Row],[Engine Size]]/10</f>
        <v>1</v>
      </c>
      <c r="F1659">
        <v>10</v>
      </c>
      <c r="G1659" s="1" t="s">
        <v>16</v>
      </c>
      <c r="H1659" s="1" t="s">
        <v>22</v>
      </c>
      <c r="I1659" s="12">
        <f>car_price_prediction_[[#This Row],[Mileage]]/1000</f>
        <v>199.88800000000001</v>
      </c>
      <c r="J1659" s="5">
        <v>199888</v>
      </c>
      <c r="K1659" s="1" t="s">
        <v>17</v>
      </c>
      <c r="L1659" s="5">
        <f>car_price_prediction_[[#This Row],[Price]]/100</f>
        <v>82335.210000000006</v>
      </c>
      <c r="M1659">
        <v>8233521</v>
      </c>
      <c r="N1659" s="1" t="s">
        <v>20</v>
      </c>
      <c r="O1659" s="1">
        <f>IF(IFERROR(VLOOKUP(car_price_prediction_[[#This Row],[Car ID]],A1660:A4159,1,FALSE),0),1,0)</f>
        <v>0</v>
      </c>
    </row>
    <row r="1660" spans="1:15" x14ac:dyDescent="0.25">
      <c r="A1660">
        <v>1659</v>
      </c>
      <c r="B1660" s="1" t="s">
        <v>30</v>
      </c>
      <c r="C1660" s="1">
        <f>car_price_prediction_[[#This Row],[Year2]]</f>
        <v>2004</v>
      </c>
      <c r="D1660">
        <v>2004</v>
      </c>
      <c r="E1660">
        <f>car_price_prediction_[[#This Row],[Engine Size]]/10</f>
        <v>5.6</v>
      </c>
      <c r="F1660">
        <v>56</v>
      </c>
      <c r="G1660" s="1" t="s">
        <v>29</v>
      </c>
      <c r="H1660" s="1" t="s">
        <v>22</v>
      </c>
      <c r="I1660" s="12">
        <f>car_price_prediction_[[#This Row],[Mileage]]/1000</f>
        <v>166.05199999999999</v>
      </c>
      <c r="J1660" s="5">
        <v>166052</v>
      </c>
      <c r="K1660" s="1" t="s">
        <v>17</v>
      </c>
      <c r="L1660" s="5">
        <f>car_price_prediction_[[#This Row],[Price]]/100</f>
        <v>95620.03</v>
      </c>
      <c r="M1660">
        <v>9562003</v>
      </c>
      <c r="N1660" s="1" t="s">
        <v>31</v>
      </c>
      <c r="O1660" s="1">
        <f>IF(IFERROR(VLOOKUP(car_price_prediction_[[#This Row],[Car ID]],A1661:A4160,1,FALSE),0),1,0)</f>
        <v>0</v>
      </c>
    </row>
    <row r="1661" spans="1:15" x14ac:dyDescent="0.25">
      <c r="A1661">
        <v>1660</v>
      </c>
      <c r="B1661" s="1" t="s">
        <v>36</v>
      </c>
      <c r="C1661" s="1">
        <f>car_price_prediction_[[#This Row],[Year2]]</f>
        <v>2012</v>
      </c>
      <c r="D1661">
        <v>2012</v>
      </c>
      <c r="E1661">
        <f>car_price_prediction_[[#This Row],[Engine Size]]/10</f>
        <v>5.2</v>
      </c>
      <c r="F1661">
        <v>52</v>
      </c>
      <c r="G1661" s="1" t="s">
        <v>29</v>
      </c>
      <c r="H1661" s="1" t="s">
        <v>12</v>
      </c>
      <c r="I1661" s="12">
        <f>car_price_prediction_[[#This Row],[Mileage]]/1000</f>
        <v>226.59700000000001</v>
      </c>
      <c r="J1661" s="5">
        <v>226597</v>
      </c>
      <c r="K1661" s="1" t="s">
        <v>17</v>
      </c>
      <c r="L1661" s="5">
        <f>car_price_prediction_[[#This Row],[Price]]/100</f>
        <v>26879.89</v>
      </c>
      <c r="M1661">
        <v>2687989</v>
      </c>
      <c r="N1661" s="1" t="s">
        <v>40</v>
      </c>
      <c r="O1661" s="1">
        <f>IF(IFERROR(VLOOKUP(car_price_prediction_[[#This Row],[Car ID]],A1662:A4161,1,FALSE),0),1,0)</f>
        <v>0</v>
      </c>
    </row>
    <row r="1662" spans="1:15" x14ac:dyDescent="0.25">
      <c r="A1662">
        <v>1661</v>
      </c>
      <c r="B1662" s="1" t="s">
        <v>19</v>
      </c>
      <c r="C1662" s="1">
        <f>car_price_prediction_[[#This Row],[Year2]]</f>
        <v>2014</v>
      </c>
      <c r="D1662">
        <v>2014</v>
      </c>
      <c r="E1662">
        <f>car_price_prediction_[[#This Row],[Engine Size]]/10</f>
        <v>4.7</v>
      </c>
      <c r="F1662">
        <v>47</v>
      </c>
      <c r="G1662" s="1" t="s">
        <v>16</v>
      </c>
      <c r="H1662" s="1" t="s">
        <v>12</v>
      </c>
      <c r="I1662" s="12">
        <f>car_price_prediction_[[#This Row],[Mileage]]/1000</f>
        <v>8.0779999999999994</v>
      </c>
      <c r="J1662" s="5">
        <v>8078</v>
      </c>
      <c r="K1662" s="1" t="s">
        <v>25</v>
      </c>
      <c r="L1662" s="5">
        <f>car_price_prediction_[[#This Row],[Price]]/100</f>
        <v>29039.01</v>
      </c>
      <c r="M1662">
        <v>2903901</v>
      </c>
      <c r="N1662" s="1" t="s">
        <v>20</v>
      </c>
      <c r="O1662" s="1">
        <f>IF(IFERROR(VLOOKUP(car_price_prediction_[[#This Row],[Car ID]],A1663:A4162,1,FALSE),0),1,0)</f>
        <v>0</v>
      </c>
    </row>
    <row r="1663" spans="1:15" x14ac:dyDescent="0.25">
      <c r="A1663">
        <v>1662</v>
      </c>
      <c r="B1663" s="1" t="s">
        <v>24</v>
      </c>
      <c r="C1663" s="1">
        <f>car_price_prediction_[[#This Row],[Year2]]</f>
        <v>2013</v>
      </c>
      <c r="D1663">
        <v>2013</v>
      </c>
      <c r="E1663">
        <f>car_price_prediction_[[#This Row],[Engine Size]]/10</f>
        <v>1.8</v>
      </c>
      <c r="F1663">
        <v>18</v>
      </c>
      <c r="G1663" s="1" t="s">
        <v>29</v>
      </c>
      <c r="H1663" s="1" t="s">
        <v>22</v>
      </c>
      <c r="I1663" s="12">
        <f>car_price_prediction_[[#This Row],[Mileage]]/1000</f>
        <v>91.653999999999996</v>
      </c>
      <c r="J1663" s="5">
        <v>91654</v>
      </c>
      <c r="K1663" s="1" t="s">
        <v>25</v>
      </c>
      <c r="L1663" s="5">
        <f>car_price_prediction_[[#This Row],[Price]]/100</f>
        <v>94282.73</v>
      </c>
      <c r="M1663">
        <v>9428273</v>
      </c>
      <c r="N1663" s="1" t="s">
        <v>26</v>
      </c>
      <c r="O1663" s="1">
        <f>IF(IFERROR(VLOOKUP(car_price_prediction_[[#This Row],[Car ID]],A1664:A4163,1,FALSE),0),1,0)</f>
        <v>0</v>
      </c>
    </row>
    <row r="1664" spans="1:15" x14ac:dyDescent="0.25">
      <c r="A1664">
        <v>1663</v>
      </c>
      <c r="B1664" s="1" t="s">
        <v>43</v>
      </c>
      <c r="C1664" s="1">
        <f>car_price_prediction_[[#This Row],[Year2]]</f>
        <v>2022</v>
      </c>
      <c r="D1664">
        <v>2022</v>
      </c>
      <c r="E1664">
        <f>car_price_prediction_[[#This Row],[Engine Size]]/10</f>
        <v>1.6</v>
      </c>
      <c r="F1664">
        <v>16</v>
      </c>
      <c r="G1664" s="1" t="s">
        <v>21</v>
      </c>
      <c r="H1664" s="1" t="s">
        <v>22</v>
      </c>
      <c r="I1664" s="12">
        <f>car_price_prediction_[[#This Row],[Mileage]]/1000</f>
        <v>129.101</v>
      </c>
      <c r="J1664" s="5">
        <v>129101</v>
      </c>
      <c r="K1664" s="1" t="s">
        <v>13</v>
      </c>
      <c r="L1664" s="5">
        <f>car_price_prediction_[[#This Row],[Price]]/100</f>
        <v>42611.56</v>
      </c>
      <c r="M1664">
        <v>4261156</v>
      </c>
      <c r="N1664" s="1" t="s">
        <v>52</v>
      </c>
      <c r="O1664" s="1">
        <f>IF(IFERROR(VLOOKUP(car_price_prediction_[[#This Row],[Car ID]],A1665:A4164,1,FALSE),0),1,0)</f>
        <v>0</v>
      </c>
    </row>
    <row r="1665" spans="1:15" x14ac:dyDescent="0.25">
      <c r="A1665">
        <v>1664</v>
      </c>
      <c r="B1665" s="1" t="s">
        <v>10</v>
      </c>
      <c r="C1665" s="1">
        <f>car_price_prediction_[[#This Row],[Year2]]</f>
        <v>2015</v>
      </c>
      <c r="D1665">
        <v>2015</v>
      </c>
      <c r="E1665">
        <f>car_price_prediction_[[#This Row],[Engine Size]]/10</f>
        <v>1.3</v>
      </c>
      <c r="F1665">
        <v>13</v>
      </c>
      <c r="G1665" s="1" t="s">
        <v>11</v>
      </c>
      <c r="H1665" s="1" t="s">
        <v>22</v>
      </c>
      <c r="I1665" s="12">
        <f>car_price_prediction_[[#This Row],[Mileage]]/1000</f>
        <v>16.997</v>
      </c>
      <c r="J1665" s="5">
        <v>16997</v>
      </c>
      <c r="K1665" s="1" t="s">
        <v>25</v>
      </c>
      <c r="L1665" s="5">
        <f>car_price_prediction_[[#This Row],[Price]]/100</f>
        <v>73243.09</v>
      </c>
      <c r="M1665">
        <v>7324309</v>
      </c>
      <c r="N1665" s="1" t="s">
        <v>33</v>
      </c>
      <c r="O1665" s="1">
        <f>IF(IFERROR(VLOOKUP(car_price_prediction_[[#This Row],[Car ID]],A1666:A4165,1,FALSE),0),1,0)</f>
        <v>0</v>
      </c>
    </row>
    <row r="1666" spans="1:15" x14ac:dyDescent="0.25">
      <c r="A1666">
        <v>1665</v>
      </c>
      <c r="B1666" s="1" t="s">
        <v>36</v>
      </c>
      <c r="C1666" s="1">
        <f>car_price_prediction_[[#This Row],[Year2]]</f>
        <v>2017</v>
      </c>
      <c r="D1666">
        <v>2017</v>
      </c>
      <c r="E1666">
        <f>car_price_prediction_[[#This Row],[Engine Size]]/10</f>
        <v>4.5999999999999996</v>
      </c>
      <c r="F1666">
        <v>46</v>
      </c>
      <c r="G1666" s="1" t="s">
        <v>11</v>
      </c>
      <c r="H1666" s="1" t="s">
        <v>22</v>
      </c>
      <c r="I1666" s="12">
        <f>car_price_prediction_[[#This Row],[Mileage]]/1000</f>
        <v>131.94</v>
      </c>
      <c r="J1666" s="5">
        <v>131940</v>
      </c>
      <c r="K1666" s="1" t="s">
        <v>25</v>
      </c>
      <c r="L1666" s="5">
        <f>car_price_prediction_[[#This Row],[Price]]/100</f>
        <v>6316.52</v>
      </c>
      <c r="M1666">
        <v>631652</v>
      </c>
      <c r="N1666" s="1" t="s">
        <v>40</v>
      </c>
      <c r="O1666" s="1">
        <f>IF(IFERROR(VLOOKUP(car_price_prediction_[[#This Row],[Car ID]],A1667:A4166,1,FALSE),0),1,0)</f>
        <v>0</v>
      </c>
    </row>
    <row r="1667" spans="1:15" x14ac:dyDescent="0.25">
      <c r="A1667">
        <v>1666</v>
      </c>
      <c r="B1667" s="1" t="s">
        <v>24</v>
      </c>
      <c r="C1667" s="1">
        <f>car_price_prediction_[[#This Row],[Year2]]</f>
        <v>2021</v>
      </c>
      <c r="D1667">
        <v>2021</v>
      </c>
      <c r="E1667">
        <f>car_price_prediction_[[#This Row],[Engine Size]]/10</f>
        <v>5.6</v>
      </c>
      <c r="F1667">
        <v>56</v>
      </c>
      <c r="G1667" s="1" t="s">
        <v>29</v>
      </c>
      <c r="H1667" s="1" t="s">
        <v>22</v>
      </c>
      <c r="I1667" s="12">
        <f>car_price_prediction_[[#This Row],[Mileage]]/1000</f>
        <v>212.65</v>
      </c>
      <c r="J1667" s="5">
        <v>212650</v>
      </c>
      <c r="K1667" s="1" t="s">
        <v>17</v>
      </c>
      <c r="L1667" s="5">
        <f>car_price_prediction_[[#This Row],[Price]]/100</f>
        <v>32130.83</v>
      </c>
      <c r="M1667">
        <v>3213083</v>
      </c>
      <c r="N1667" s="1" t="s">
        <v>34</v>
      </c>
      <c r="O1667" s="1">
        <f>IF(IFERROR(VLOOKUP(car_price_prediction_[[#This Row],[Car ID]],A1668:A4167,1,FALSE),0),1,0)</f>
        <v>0</v>
      </c>
    </row>
    <row r="1668" spans="1:15" x14ac:dyDescent="0.25">
      <c r="A1668">
        <v>1667</v>
      </c>
      <c r="B1668" s="1" t="s">
        <v>30</v>
      </c>
      <c r="C1668" s="1">
        <f>car_price_prediction_[[#This Row],[Year2]]</f>
        <v>2021</v>
      </c>
      <c r="D1668">
        <v>2021</v>
      </c>
      <c r="E1668">
        <f>car_price_prediction_[[#This Row],[Engine Size]]/10</f>
        <v>3.2</v>
      </c>
      <c r="F1668">
        <v>32</v>
      </c>
      <c r="G1668" s="1" t="s">
        <v>16</v>
      </c>
      <c r="H1668" s="1" t="s">
        <v>12</v>
      </c>
      <c r="I1668" s="12">
        <f>car_price_prediction_[[#This Row],[Mileage]]/1000</f>
        <v>283.39</v>
      </c>
      <c r="J1668" s="5">
        <v>283390</v>
      </c>
      <c r="K1668" s="1" t="s">
        <v>13</v>
      </c>
      <c r="L1668" s="5">
        <f>car_price_prediction_[[#This Row],[Price]]/100</f>
        <v>67088.41</v>
      </c>
      <c r="M1668">
        <v>6708841</v>
      </c>
      <c r="N1668" s="1" t="s">
        <v>42</v>
      </c>
      <c r="O1668" s="1">
        <f>IF(IFERROR(VLOOKUP(car_price_prediction_[[#This Row],[Car ID]],A1669:A4168,1,FALSE),0),1,0)</f>
        <v>0</v>
      </c>
    </row>
    <row r="1669" spans="1:15" x14ac:dyDescent="0.25">
      <c r="A1669">
        <v>1668</v>
      </c>
      <c r="B1669" s="1" t="s">
        <v>15</v>
      </c>
      <c r="C1669" s="1">
        <f>car_price_prediction_[[#This Row],[Year2]]</f>
        <v>2010</v>
      </c>
      <c r="D1669">
        <v>2010</v>
      </c>
      <c r="E1669">
        <f>car_price_prediction_[[#This Row],[Engine Size]]/10</f>
        <v>1.6</v>
      </c>
      <c r="F1669">
        <v>16</v>
      </c>
      <c r="G1669" s="1" t="s">
        <v>21</v>
      </c>
      <c r="H1669" s="1" t="s">
        <v>12</v>
      </c>
      <c r="I1669" s="12">
        <f>car_price_prediction_[[#This Row],[Mileage]]/1000</f>
        <v>151.63300000000001</v>
      </c>
      <c r="J1669" s="5">
        <v>151633</v>
      </c>
      <c r="K1669" s="1" t="s">
        <v>13</v>
      </c>
      <c r="L1669" s="5">
        <f>car_price_prediction_[[#This Row],[Price]]/100</f>
        <v>67278.759999999995</v>
      </c>
      <c r="M1669">
        <v>6727876</v>
      </c>
      <c r="N1669" s="1" t="s">
        <v>39</v>
      </c>
      <c r="O1669" s="1">
        <f>IF(IFERROR(VLOOKUP(car_price_prediction_[[#This Row],[Car ID]],A1670:A4169,1,FALSE),0),1,0)</f>
        <v>0</v>
      </c>
    </row>
    <row r="1670" spans="1:15" x14ac:dyDescent="0.25">
      <c r="A1670">
        <v>1669</v>
      </c>
      <c r="B1670" s="1" t="s">
        <v>19</v>
      </c>
      <c r="C1670" s="1">
        <f>car_price_prediction_[[#This Row],[Year2]]</f>
        <v>2002</v>
      </c>
      <c r="D1670">
        <v>2002</v>
      </c>
      <c r="E1670">
        <f>car_price_prediction_[[#This Row],[Engine Size]]/10</f>
        <v>3.6</v>
      </c>
      <c r="F1670">
        <v>36</v>
      </c>
      <c r="G1670" s="1" t="s">
        <v>11</v>
      </c>
      <c r="H1670" s="1" t="s">
        <v>22</v>
      </c>
      <c r="I1670" s="12">
        <f>car_price_prediction_[[#This Row],[Mileage]]/1000</f>
        <v>34.512</v>
      </c>
      <c r="J1670" s="5">
        <v>34512</v>
      </c>
      <c r="K1670" s="1" t="s">
        <v>13</v>
      </c>
      <c r="L1670" s="5">
        <f>car_price_prediction_[[#This Row],[Price]]/100</f>
        <v>6128.21</v>
      </c>
      <c r="M1670">
        <v>612821</v>
      </c>
      <c r="N1670" s="1" t="s">
        <v>20</v>
      </c>
      <c r="O1670" s="1">
        <f>IF(IFERROR(VLOOKUP(car_price_prediction_[[#This Row],[Car ID]],A1671:A4170,1,FALSE),0),1,0)</f>
        <v>0</v>
      </c>
    </row>
    <row r="1671" spans="1:15" x14ac:dyDescent="0.25">
      <c r="A1671">
        <v>1670</v>
      </c>
      <c r="B1671" s="1" t="s">
        <v>43</v>
      </c>
      <c r="C1671" s="1">
        <f>car_price_prediction_[[#This Row],[Year2]]</f>
        <v>2021</v>
      </c>
      <c r="D1671">
        <v>2021</v>
      </c>
      <c r="E1671">
        <f>car_price_prediction_[[#This Row],[Engine Size]]/10</f>
        <v>2.7</v>
      </c>
      <c r="F1671">
        <v>27</v>
      </c>
      <c r="G1671" s="1" t="s">
        <v>21</v>
      </c>
      <c r="H1671" s="1" t="s">
        <v>12</v>
      </c>
      <c r="I1671" s="12">
        <f>car_price_prediction_[[#This Row],[Mileage]]/1000</f>
        <v>225.226</v>
      </c>
      <c r="J1671" s="5">
        <v>225226</v>
      </c>
      <c r="K1671" s="1" t="s">
        <v>17</v>
      </c>
      <c r="L1671" s="5">
        <f>car_price_prediction_[[#This Row],[Price]]/100</f>
        <v>14467.78</v>
      </c>
      <c r="M1671">
        <v>1446778</v>
      </c>
      <c r="N1671" s="1" t="s">
        <v>50</v>
      </c>
      <c r="O1671" s="1">
        <f>IF(IFERROR(VLOOKUP(car_price_prediction_[[#This Row],[Car ID]],A1672:A4171,1,FALSE),0),1,0)</f>
        <v>0</v>
      </c>
    </row>
    <row r="1672" spans="1:15" x14ac:dyDescent="0.25">
      <c r="A1672">
        <v>1671</v>
      </c>
      <c r="B1672" s="1" t="s">
        <v>19</v>
      </c>
      <c r="C1672" s="1">
        <f>car_price_prediction_[[#This Row],[Year2]]</f>
        <v>2009</v>
      </c>
      <c r="D1672">
        <v>2009</v>
      </c>
      <c r="E1672">
        <f>car_price_prediction_[[#This Row],[Engine Size]]/10</f>
        <v>2.9</v>
      </c>
      <c r="F1672">
        <v>29</v>
      </c>
      <c r="G1672" s="1" t="s">
        <v>29</v>
      </c>
      <c r="H1672" s="1" t="s">
        <v>12</v>
      </c>
      <c r="I1672" s="12">
        <f>car_price_prediction_[[#This Row],[Mileage]]/1000</f>
        <v>208.46700000000001</v>
      </c>
      <c r="J1672" s="5">
        <v>208467</v>
      </c>
      <c r="K1672" s="1" t="s">
        <v>13</v>
      </c>
      <c r="L1672" s="5">
        <f>car_price_prediction_[[#This Row],[Price]]/100</f>
        <v>99541.32</v>
      </c>
      <c r="M1672">
        <v>9954132</v>
      </c>
      <c r="N1672" s="1" t="s">
        <v>38</v>
      </c>
      <c r="O1672" s="1">
        <f>IF(IFERROR(VLOOKUP(car_price_prediction_[[#This Row],[Car ID]],A1673:A4172,1,FALSE),0),1,0)</f>
        <v>0</v>
      </c>
    </row>
    <row r="1673" spans="1:15" x14ac:dyDescent="0.25">
      <c r="A1673">
        <v>1672</v>
      </c>
      <c r="B1673" s="1" t="s">
        <v>10</v>
      </c>
      <c r="C1673" s="1">
        <f>car_price_prediction_[[#This Row],[Year2]]</f>
        <v>2009</v>
      </c>
      <c r="D1673">
        <v>2009</v>
      </c>
      <c r="E1673">
        <f>car_price_prediction_[[#This Row],[Engine Size]]/10</f>
        <v>4.0999999999999996</v>
      </c>
      <c r="F1673">
        <v>41</v>
      </c>
      <c r="G1673" s="1" t="s">
        <v>29</v>
      </c>
      <c r="H1673" s="1" t="s">
        <v>22</v>
      </c>
      <c r="I1673" s="12">
        <f>car_price_prediction_[[#This Row],[Mileage]]/1000</f>
        <v>72.144000000000005</v>
      </c>
      <c r="J1673" s="5">
        <v>72144</v>
      </c>
      <c r="K1673" s="1" t="s">
        <v>13</v>
      </c>
      <c r="L1673" s="5">
        <f>car_price_prediction_[[#This Row],[Price]]/100</f>
        <v>43039.56</v>
      </c>
      <c r="M1673">
        <v>4303956</v>
      </c>
      <c r="N1673" s="1" t="s">
        <v>14</v>
      </c>
      <c r="O1673" s="1">
        <f>IF(IFERROR(VLOOKUP(car_price_prediction_[[#This Row],[Car ID]],A1674:A4173,1,FALSE),0),1,0)</f>
        <v>0</v>
      </c>
    </row>
    <row r="1674" spans="1:15" x14ac:dyDescent="0.25">
      <c r="A1674">
        <v>1673</v>
      </c>
      <c r="B1674" s="1" t="s">
        <v>30</v>
      </c>
      <c r="C1674" s="1">
        <f>car_price_prediction_[[#This Row],[Year2]]</f>
        <v>2020</v>
      </c>
      <c r="D1674">
        <v>2020</v>
      </c>
      <c r="E1674">
        <f>car_price_prediction_[[#This Row],[Engine Size]]/10</f>
        <v>4.5999999999999996</v>
      </c>
      <c r="F1674">
        <v>46</v>
      </c>
      <c r="G1674" s="1" t="s">
        <v>11</v>
      </c>
      <c r="H1674" s="1" t="s">
        <v>12</v>
      </c>
      <c r="I1674" s="12">
        <f>car_price_prediction_[[#This Row],[Mileage]]/1000</f>
        <v>173.55699999999999</v>
      </c>
      <c r="J1674" s="5">
        <v>173557</v>
      </c>
      <c r="K1674" s="1" t="s">
        <v>17</v>
      </c>
      <c r="L1674" s="5">
        <f>car_price_prediction_[[#This Row],[Price]]/100</f>
        <v>65633.84</v>
      </c>
      <c r="M1674">
        <v>6563384</v>
      </c>
      <c r="N1674" s="1" t="s">
        <v>42</v>
      </c>
      <c r="O1674" s="1">
        <f>IF(IFERROR(VLOOKUP(car_price_prediction_[[#This Row],[Car ID]],A1675:A4174,1,FALSE),0),1,0)</f>
        <v>0</v>
      </c>
    </row>
    <row r="1675" spans="1:15" x14ac:dyDescent="0.25">
      <c r="A1675">
        <v>1674</v>
      </c>
      <c r="B1675" s="1" t="s">
        <v>19</v>
      </c>
      <c r="C1675" s="1">
        <f>car_price_prediction_[[#This Row],[Year2]]</f>
        <v>2015</v>
      </c>
      <c r="D1675">
        <v>2015</v>
      </c>
      <c r="E1675">
        <f>car_price_prediction_[[#This Row],[Engine Size]]/10</f>
        <v>1.6</v>
      </c>
      <c r="F1675">
        <v>16</v>
      </c>
      <c r="G1675" s="1" t="s">
        <v>29</v>
      </c>
      <c r="H1675" s="1" t="s">
        <v>12</v>
      </c>
      <c r="I1675" s="12">
        <f>car_price_prediction_[[#This Row],[Mileage]]/1000</f>
        <v>117.363</v>
      </c>
      <c r="J1675" s="5">
        <v>117363</v>
      </c>
      <c r="K1675" s="1" t="s">
        <v>13</v>
      </c>
      <c r="L1675" s="5">
        <f>car_price_prediction_[[#This Row],[Price]]/100</f>
        <v>89147.36</v>
      </c>
      <c r="M1675">
        <v>8914736</v>
      </c>
      <c r="N1675" s="1" t="s">
        <v>20</v>
      </c>
      <c r="O1675" s="1">
        <f>IF(IFERROR(VLOOKUP(car_price_prediction_[[#This Row],[Car ID]],A1676:A4175,1,FALSE),0),1,0)</f>
        <v>0</v>
      </c>
    </row>
    <row r="1676" spans="1:15" x14ac:dyDescent="0.25">
      <c r="A1676">
        <v>1675</v>
      </c>
      <c r="B1676" s="1" t="s">
        <v>43</v>
      </c>
      <c r="C1676" s="1">
        <f>car_price_prediction_[[#This Row],[Year2]]</f>
        <v>2011</v>
      </c>
      <c r="D1676">
        <v>2011</v>
      </c>
      <c r="E1676">
        <f>car_price_prediction_[[#This Row],[Engine Size]]/10</f>
        <v>1.2</v>
      </c>
      <c r="F1676">
        <v>12</v>
      </c>
      <c r="G1676" s="1" t="s">
        <v>16</v>
      </c>
      <c r="H1676" s="1" t="s">
        <v>12</v>
      </c>
      <c r="I1676" s="12">
        <f>car_price_prediction_[[#This Row],[Mileage]]/1000</f>
        <v>201.48400000000001</v>
      </c>
      <c r="J1676" s="5">
        <v>201484</v>
      </c>
      <c r="K1676" s="1" t="s">
        <v>25</v>
      </c>
      <c r="L1676" s="5">
        <f>car_price_prediction_[[#This Row],[Price]]/100</f>
        <v>45212.41</v>
      </c>
      <c r="M1676">
        <v>4521241</v>
      </c>
      <c r="N1676" s="1" t="s">
        <v>50</v>
      </c>
      <c r="O1676" s="1">
        <f>IF(IFERROR(VLOOKUP(car_price_prediction_[[#This Row],[Car ID]],A1677:A4176,1,FALSE),0),1,0)</f>
        <v>0</v>
      </c>
    </row>
    <row r="1677" spans="1:15" x14ac:dyDescent="0.25">
      <c r="A1677">
        <v>1676</v>
      </c>
      <c r="B1677" s="1" t="s">
        <v>30</v>
      </c>
      <c r="C1677" s="1">
        <f>car_price_prediction_[[#This Row],[Year2]]</f>
        <v>2001</v>
      </c>
      <c r="D1677">
        <v>2001</v>
      </c>
      <c r="E1677">
        <f>car_price_prediction_[[#This Row],[Engine Size]]/10</f>
        <v>6</v>
      </c>
      <c r="F1677">
        <v>60</v>
      </c>
      <c r="G1677" s="1" t="s">
        <v>29</v>
      </c>
      <c r="H1677" s="1" t="s">
        <v>22</v>
      </c>
      <c r="I1677" s="12">
        <f>car_price_prediction_[[#This Row],[Mileage]]/1000</f>
        <v>181.67500000000001</v>
      </c>
      <c r="J1677" s="5">
        <v>181675</v>
      </c>
      <c r="K1677" s="1" t="s">
        <v>25</v>
      </c>
      <c r="L1677" s="5">
        <f>car_price_prediction_[[#This Row],[Price]]/100</f>
        <v>78522.880000000005</v>
      </c>
      <c r="M1677">
        <v>7852288</v>
      </c>
      <c r="N1677" s="1" t="s">
        <v>42</v>
      </c>
      <c r="O1677" s="1">
        <f>IF(IFERROR(VLOOKUP(car_price_prediction_[[#This Row],[Car ID]],A1678:A4177,1,FALSE),0),1,0)</f>
        <v>0</v>
      </c>
    </row>
    <row r="1678" spans="1:15" x14ac:dyDescent="0.25">
      <c r="A1678">
        <v>1677</v>
      </c>
      <c r="B1678" s="1" t="s">
        <v>19</v>
      </c>
      <c r="C1678" s="1">
        <f>car_price_prediction_[[#This Row],[Year2]]</f>
        <v>2008</v>
      </c>
      <c r="D1678">
        <v>2008</v>
      </c>
      <c r="E1678">
        <f>car_price_prediction_[[#This Row],[Engine Size]]/10</f>
        <v>2.2000000000000002</v>
      </c>
      <c r="F1678">
        <v>22</v>
      </c>
      <c r="G1678" s="1" t="s">
        <v>29</v>
      </c>
      <c r="H1678" s="1" t="s">
        <v>22</v>
      </c>
      <c r="I1678" s="12">
        <f>car_price_prediction_[[#This Row],[Mileage]]/1000</f>
        <v>152.11000000000001</v>
      </c>
      <c r="J1678" s="5">
        <v>152110</v>
      </c>
      <c r="K1678" s="1" t="s">
        <v>25</v>
      </c>
      <c r="L1678" s="5">
        <f>car_price_prediction_[[#This Row],[Price]]/100</f>
        <v>97323.32</v>
      </c>
      <c r="M1678">
        <v>9732332</v>
      </c>
      <c r="N1678" s="1" t="s">
        <v>38</v>
      </c>
      <c r="O1678" s="1">
        <f>IF(IFERROR(VLOOKUP(car_price_prediction_[[#This Row],[Car ID]],A1679:A4178,1,FALSE),0),1,0)</f>
        <v>0</v>
      </c>
    </row>
    <row r="1679" spans="1:15" x14ac:dyDescent="0.25">
      <c r="A1679">
        <v>1678</v>
      </c>
      <c r="B1679" s="1" t="s">
        <v>15</v>
      </c>
      <c r="C1679" s="1">
        <f>car_price_prediction_[[#This Row],[Year2]]</f>
        <v>2023</v>
      </c>
      <c r="D1679">
        <v>2023</v>
      </c>
      <c r="E1679">
        <f>car_price_prediction_[[#This Row],[Engine Size]]/10</f>
        <v>1.3</v>
      </c>
      <c r="F1679">
        <v>13</v>
      </c>
      <c r="G1679" s="1" t="s">
        <v>29</v>
      </c>
      <c r="H1679" s="1" t="s">
        <v>12</v>
      </c>
      <c r="I1679" s="12">
        <f>car_price_prediction_[[#This Row],[Mileage]]/1000</f>
        <v>93.542000000000002</v>
      </c>
      <c r="J1679" s="5">
        <v>93542</v>
      </c>
      <c r="K1679" s="1" t="s">
        <v>25</v>
      </c>
      <c r="L1679" s="5">
        <f>car_price_prediction_[[#This Row],[Price]]/100</f>
        <v>3909.88</v>
      </c>
      <c r="M1679">
        <v>390988</v>
      </c>
      <c r="N1679" s="1" t="s">
        <v>18</v>
      </c>
      <c r="O1679" s="1">
        <f>IF(IFERROR(VLOOKUP(car_price_prediction_[[#This Row],[Car ID]],A1680:A4179,1,FALSE),0),1,0)</f>
        <v>0</v>
      </c>
    </row>
    <row r="1680" spans="1:15" x14ac:dyDescent="0.25">
      <c r="A1680">
        <v>1679</v>
      </c>
      <c r="B1680" s="1" t="s">
        <v>36</v>
      </c>
      <c r="C1680" s="1">
        <f>car_price_prediction_[[#This Row],[Year2]]</f>
        <v>2002</v>
      </c>
      <c r="D1680">
        <v>2002</v>
      </c>
      <c r="E1680">
        <f>car_price_prediction_[[#This Row],[Engine Size]]/10</f>
        <v>1.9</v>
      </c>
      <c r="F1680">
        <v>19</v>
      </c>
      <c r="G1680" s="1" t="s">
        <v>21</v>
      </c>
      <c r="H1680" s="1" t="s">
        <v>12</v>
      </c>
      <c r="I1680" s="12">
        <f>car_price_prediction_[[#This Row],[Mileage]]/1000</f>
        <v>276.46899999999999</v>
      </c>
      <c r="J1680" s="5">
        <v>276469</v>
      </c>
      <c r="K1680" s="1" t="s">
        <v>25</v>
      </c>
      <c r="L1680" s="5">
        <f>car_price_prediction_[[#This Row],[Price]]/100</f>
        <v>43500.61</v>
      </c>
      <c r="M1680">
        <v>4350061</v>
      </c>
      <c r="N1680" s="1" t="s">
        <v>40</v>
      </c>
      <c r="O1680" s="1">
        <f>IF(IFERROR(VLOOKUP(car_price_prediction_[[#This Row],[Car ID]],A1681:A4180,1,FALSE),0),1,0)</f>
        <v>0</v>
      </c>
    </row>
    <row r="1681" spans="1:15" x14ac:dyDescent="0.25">
      <c r="A1681">
        <v>1680</v>
      </c>
      <c r="B1681" s="1" t="s">
        <v>30</v>
      </c>
      <c r="C1681" s="1">
        <f>car_price_prediction_[[#This Row],[Year2]]</f>
        <v>2023</v>
      </c>
      <c r="D1681">
        <v>2023</v>
      </c>
      <c r="E1681">
        <f>car_price_prediction_[[#This Row],[Engine Size]]/10</f>
        <v>1.2</v>
      </c>
      <c r="F1681">
        <v>12</v>
      </c>
      <c r="G1681" s="1" t="s">
        <v>21</v>
      </c>
      <c r="H1681" s="1" t="s">
        <v>12</v>
      </c>
      <c r="I1681" s="12">
        <f>car_price_prediction_[[#This Row],[Mileage]]/1000</f>
        <v>166.964</v>
      </c>
      <c r="J1681" s="5">
        <v>166964</v>
      </c>
      <c r="K1681" s="1" t="s">
        <v>25</v>
      </c>
      <c r="L1681" s="5">
        <f>car_price_prediction_[[#This Row],[Price]]/100</f>
        <v>91029.73</v>
      </c>
      <c r="M1681">
        <v>9102973</v>
      </c>
      <c r="N1681" s="1" t="s">
        <v>45</v>
      </c>
      <c r="O1681" s="1">
        <f>IF(IFERROR(VLOOKUP(car_price_prediction_[[#This Row],[Car ID]],A1682:A4181,1,FALSE),0),1,0)</f>
        <v>0</v>
      </c>
    </row>
    <row r="1682" spans="1:15" x14ac:dyDescent="0.25">
      <c r="A1682">
        <v>1681</v>
      </c>
      <c r="B1682" s="1" t="s">
        <v>36</v>
      </c>
      <c r="C1682" s="1">
        <f>car_price_prediction_[[#This Row],[Year2]]</f>
        <v>2014</v>
      </c>
      <c r="D1682">
        <v>2014</v>
      </c>
      <c r="E1682">
        <f>car_price_prediction_[[#This Row],[Engine Size]]/10</f>
        <v>3</v>
      </c>
      <c r="F1682">
        <v>30</v>
      </c>
      <c r="G1682" s="1" t="s">
        <v>11</v>
      </c>
      <c r="H1682" s="1" t="s">
        <v>12</v>
      </c>
      <c r="I1682" s="12">
        <f>car_price_prediction_[[#This Row],[Mileage]]/1000</f>
        <v>149.06800000000001</v>
      </c>
      <c r="J1682" s="5">
        <v>149068</v>
      </c>
      <c r="K1682" s="1" t="s">
        <v>25</v>
      </c>
      <c r="L1682" s="5">
        <f>car_price_prediction_[[#This Row],[Price]]/100</f>
        <v>20166.07</v>
      </c>
      <c r="M1682">
        <v>2016607</v>
      </c>
      <c r="N1682" s="1" t="s">
        <v>37</v>
      </c>
      <c r="O1682" s="1">
        <f>IF(IFERROR(VLOOKUP(car_price_prediction_[[#This Row],[Car ID]],A1683:A4182,1,FALSE),0),1,0)</f>
        <v>0</v>
      </c>
    </row>
    <row r="1683" spans="1:15" x14ac:dyDescent="0.25">
      <c r="A1683">
        <v>1682</v>
      </c>
      <c r="B1683" s="1" t="s">
        <v>30</v>
      </c>
      <c r="C1683" s="1">
        <f>car_price_prediction_[[#This Row],[Year2]]</f>
        <v>2002</v>
      </c>
      <c r="D1683">
        <v>2002</v>
      </c>
      <c r="E1683">
        <f>car_price_prediction_[[#This Row],[Engine Size]]/10</f>
        <v>5</v>
      </c>
      <c r="F1683">
        <v>50</v>
      </c>
      <c r="G1683" s="1" t="s">
        <v>11</v>
      </c>
      <c r="H1683" s="1" t="s">
        <v>12</v>
      </c>
      <c r="I1683" s="12">
        <f>car_price_prediction_[[#This Row],[Mileage]]/1000</f>
        <v>205.35499999999999</v>
      </c>
      <c r="J1683" s="5">
        <v>205355</v>
      </c>
      <c r="K1683" s="1" t="s">
        <v>25</v>
      </c>
      <c r="L1683" s="5">
        <f>car_price_prediction_[[#This Row],[Price]]/100</f>
        <v>7716.51</v>
      </c>
      <c r="M1683">
        <v>771651</v>
      </c>
      <c r="N1683" s="1" t="s">
        <v>31</v>
      </c>
      <c r="O1683" s="1">
        <f>IF(IFERROR(VLOOKUP(car_price_prediction_[[#This Row],[Car ID]],A1684:A4183,1,FALSE),0),1,0)</f>
        <v>0</v>
      </c>
    </row>
    <row r="1684" spans="1:15" x14ac:dyDescent="0.25">
      <c r="A1684">
        <v>1683</v>
      </c>
      <c r="B1684" s="1" t="s">
        <v>15</v>
      </c>
      <c r="C1684" s="1">
        <f>car_price_prediction_[[#This Row],[Year2]]</f>
        <v>2018</v>
      </c>
      <c r="D1684">
        <v>2018</v>
      </c>
      <c r="E1684">
        <f>car_price_prediction_[[#This Row],[Engine Size]]/10</f>
        <v>2.7</v>
      </c>
      <c r="F1684">
        <v>27</v>
      </c>
      <c r="G1684" s="1" t="s">
        <v>11</v>
      </c>
      <c r="H1684" s="1" t="s">
        <v>12</v>
      </c>
      <c r="I1684" s="12">
        <f>car_price_prediction_[[#This Row],[Mileage]]/1000</f>
        <v>116.73699999999999</v>
      </c>
      <c r="J1684" s="5">
        <v>116737</v>
      </c>
      <c r="K1684" s="1" t="s">
        <v>25</v>
      </c>
      <c r="L1684" s="5">
        <f>car_price_prediction_[[#This Row],[Price]]/100</f>
        <v>91344.46</v>
      </c>
      <c r="M1684">
        <v>9134446</v>
      </c>
      <c r="N1684" s="1" t="s">
        <v>51</v>
      </c>
      <c r="O1684" s="1">
        <f>IF(IFERROR(VLOOKUP(car_price_prediction_[[#This Row],[Car ID]],A1685:A4184,1,FALSE),0),1,0)</f>
        <v>0</v>
      </c>
    </row>
    <row r="1685" spans="1:15" x14ac:dyDescent="0.25">
      <c r="A1685">
        <v>1684</v>
      </c>
      <c r="B1685" s="1" t="s">
        <v>36</v>
      </c>
      <c r="C1685" s="1">
        <f>car_price_prediction_[[#This Row],[Year2]]</f>
        <v>2017</v>
      </c>
      <c r="D1685">
        <v>2017</v>
      </c>
      <c r="E1685">
        <f>car_price_prediction_[[#This Row],[Engine Size]]/10</f>
        <v>3.2</v>
      </c>
      <c r="F1685">
        <v>32</v>
      </c>
      <c r="G1685" s="1" t="s">
        <v>29</v>
      </c>
      <c r="H1685" s="1" t="s">
        <v>22</v>
      </c>
      <c r="I1685" s="12">
        <f>car_price_prediction_[[#This Row],[Mileage]]/1000</f>
        <v>262.96800000000002</v>
      </c>
      <c r="J1685" s="5">
        <v>262968</v>
      </c>
      <c r="K1685" s="1" t="s">
        <v>17</v>
      </c>
      <c r="L1685" s="5">
        <f>car_price_prediction_[[#This Row],[Price]]/100</f>
        <v>8305.1200000000008</v>
      </c>
      <c r="M1685">
        <v>830512</v>
      </c>
      <c r="N1685" s="1" t="s">
        <v>46</v>
      </c>
      <c r="O1685" s="1">
        <f>IF(IFERROR(VLOOKUP(car_price_prediction_[[#This Row],[Car ID]],A1686:A4185,1,FALSE),0),1,0)</f>
        <v>0</v>
      </c>
    </row>
    <row r="1686" spans="1:15" x14ac:dyDescent="0.25">
      <c r="A1686">
        <v>1685</v>
      </c>
      <c r="B1686" s="1" t="s">
        <v>24</v>
      </c>
      <c r="C1686" s="1">
        <f>car_price_prediction_[[#This Row],[Year2]]</f>
        <v>2007</v>
      </c>
      <c r="D1686">
        <v>2007</v>
      </c>
      <c r="E1686">
        <f>car_price_prediction_[[#This Row],[Engine Size]]/10</f>
        <v>4.4000000000000004</v>
      </c>
      <c r="F1686">
        <v>44</v>
      </c>
      <c r="G1686" s="1" t="s">
        <v>21</v>
      </c>
      <c r="H1686" s="1" t="s">
        <v>12</v>
      </c>
      <c r="I1686" s="12">
        <f>car_price_prediction_[[#This Row],[Mileage]]/1000</f>
        <v>240.417</v>
      </c>
      <c r="J1686" s="5">
        <v>240417</v>
      </c>
      <c r="K1686" s="1" t="s">
        <v>17</v>
      </c>
      <c r="L1686" s="5">
        <f>car_price_prediction_[[#This Row],[Price]]/100</f>
        <v>97395.39</v>
      </c>
      <c r="M1686">
        <v>9739539</v>
      </c>
      <c r="N1686" s="1" t="s">
        <v>32</v>
      </c>
      <c r="O1686" s="1">
        <f>IF(IFERROR(VLOOKUP(car_price_prediction_[[#This Row],[Car ID]],A1687:A4186,1,FALSE),0),1,0)</f>
        <v>0</v>
      </c>
    </row>
    <row r="1687" spans="1:15" x14ac:dyDescent="0.25">
      <c r="A1687">
        <v>1686</v>
      </c>
      <c r="B1687" s="1" t="s">
        <v>43</v>
      </c>
      <c r="C1687" s="1">
        <f>car_price_prediction_[[#This Row],[Year2]]</f>
        <v>2016</v>
      </c>
      <c r="D1687">
        <v>2016</v>
      </c>
      <c r="E1687">
        <f>car_price_prediction_[[#This Row],[Engine Size]]/10</f>
        <v>3.5</v>
      </c>
      <c r="F1687">
        <v>35</v>
      </c>
      <c r="G1687" s="1" t="s">
        <v>16</v>
      </c>
      <c r="H1687" s="1" t="s">
        <v>12</v>
      </c>
      <c r="I1687" s="12">
        <f>car_price_prediction_[[#This Row],[Mileage]]/1000</f>
        <v>117.718</v>
      </c>
      <c r="J1687" s="5">
        <v>117718</v>
      </c>
      <c r="K1687" s="1" t="s">
        <v>25</v>
      </c>
      <c r="L1687" s="5">
        <f>car_price_prediction_[[#This Row],[Price]]/100</f>
        <v>10532.59</v>
      </c>
      <c r="M1687">
        <v>1053259</v>
      </c>
      <c r="N1687" s="1" t="s">
        <v>52</v>
      </c>
      <c r="O1687" s="1">
        <f>IF(IFERROR(VLOOKUP(car_price_prediction_[[#This Row],[Car ID]],A1688:A4187,1,FALSE),0),1,0)</f>
        <v>0</v>
      </c>
    </row>
    <row r="1688" spans="1:15" x14ac:dyDescent="0.25">
      <c r="A1688">
        <v>1687</v>
      </c>
      <c r="B1688" s="1" t="s">
        <v>24</v>
      </c>
      <c r="C1688" s="1">
        <f>car_price_prediction_[[#This Row],[Year2]]</f>
        <v>2007</v>
      </c>
      <c r="D1688">
        <v>2007</v>
      </c>
      <c r="E1688">
        <f>car_price_prediction_[[#This Row],[Engine Size]]/10</f>
        <v>5.3</v>
      </c>
      <c r="F1688">
        <v>53</v>
      </c>
      <c r="G1688" s="1" t="s">
        <v>29</v>
      </c>
      <c r="H1688" s="1" t="s">
        <v>22</v>
      </c>
      <c r="I1688" s="12">
        <f>car_price_prediction_[[#This Row],[Mileage]]/1000</f>
        <v>273.661</v>
      </c>
      <c r="J1688" s="5">
        <v>273661</v>
      </c>
      <c r="K1688" s="1" t="s">
        <v>17</v>
      </c>
      <c r="L1688" s="5">
        <f>car_price_prediction_[[#This Row],[Price]]/100</f>
        <v>19836.849999999999</v>
      </c>
      <c r="M1688">
        <v>1983685</v>
      </c>
      <c r="N1688" s="1" t="s">
        <v>26</v>
      </c>
      <c r="O1688" s="1">
        <f>IF(IFERROR(VLOOKUP(car_price_prediction_[[#This Row],[Car ID]],A1689:A4188,1,FALSE),0),1,0)</f>
        <v>0</v>
      </c>
    </row>
    <row r="1689" spans="1:15" x14ac:dyDescent="0.25">
      <c r="A1689">
        <v>1688</v>
      </c>
      <c r="B1689" s="1" t="s">
        <v>19</v>
      </c>
      <c r="C1689" s="1">
        <f>car_price_prediction_[[#This Row],[Year2]]</f>
        <v>2006</v>
      </c>
      <c r="D1689">
        <v>2006</v>
      </c>
      <c r="E1689">
        <f>car_price_prediction_[[#This Row],[Engine Size]]/10</f>
        <v>5.3</v>
      </c>
      <c r="F1689">
        <v>53</v>
      </c>
      <c r="G1689" s="1" t="s">
        <v>29</v>
      </c>
      <c r="H1689" s="1" t="s">
        <v>12</v>
      </c>
      <c r="I1689" s="12">
        <f>car_price_prediction_[[#This Row],[Mileage]]/1000</f>
        <v>152.755</v>
      </c>
      <c r="J1689" s="5">
        <v>152755</v>
      </c>
      <c r="K1689" s="1" t="s">
        <v>17</v>
      </c>
      <c r="L1689" s="5">
        <f>car_price_prediction_[[#This Row],[Price]]/100</f>
        <v>15004.69</v>
      </c>
      <c r="M1689">
        <v>1500469</v>
      </c>
      <c r="N1689" s="1" t="s">
        <v>20</v>
      </c>
      <c r="O1689" s="1">
        <f>IF(IFERROR(VLOOKUP(car_price_prediction_[[#This Row],[Car ID]],A1690:A4189,1,FALSE),0),1,0)</f>
        <v>0</v>
      </c>
    </row>
    <row r="1690" spans="1:15" x14ac:dyDescent="0.25">
      <c r="A1690">
        <v>1689</v>
      </c>
      <c r="B1690" s="1" t="s">
        <v>15</v>
      </c>
      <c r="C1690" s="1">
        <f>car_price_prediction_[[#This Row],[Year2]]</f>
        <v>2006</v>
      </c>
      <c r="D1690">
        <v>2006</v>
      </c>
      <c r="E1690">
        <f>car_price_prediction_[[#This Row],[Engine Size]]/10</f>
        <v>1</v>
      </c>
      <c r="F1690">
        <v>10</v>
      </c>
      <c r="G1690" s="1" t="s">
        <v>29</v>
      </c>
      <c r="H1690" s="1" t="s">
        <v>12</v>
      </c>
      <c r="I1690" s="12">
        <f>car_price_prediction_[[#This Row],[Mileage]]/1000</f>
        <v>207.791</v>
      </c>
      <c r="J1690" s="5">
        <v>207791</v>
      </c>
      <c r="K1690" s="1" t="s">
        <v>25</v>
      </c>
      <c r="L1690" s="5">
        <f>car_price_prediction_[[#This Row],[Price]]/100</f>
        <v>69924.53</v>
      </c>
      <c r="M1690">
        <v>6992453</v>
      </c>
      <c r="N1690" s="1" t="s">
        <v>35</v>
      </c>
      <c r="O1690" s="1">
        <f>IF(IFERROR(VLOOKUP(car_price_prediction_[[#This Row],[Car ID]],A1691:A4190,1,FALSE),0),1,0)</f>
        <v>0</v>
      </c>
    </row>
    <row r="1691" spans="1:15" x14ac:dyDescent="0.25">
      <c r="A1691">
        <v>1690</v>
      </c>
      <c r="B1691" s="1" t="s">
        <v>24</v>
      </c>
      <c r="C1691" s="1">
        <f>car_price_prediction_[[#This Row],[Year2]]</f>
        <v>2002</v>
      </c>
      <c r="D1691">
        <v>2002</v>
      </c>
      <c r="E1691">
        <f>car_price_prediction_[[#This Row],[Engine Size]]/10</f>
        <v>4.9000000000000004</v>
      </c>
      <c r="F1691">
        <v>49</v>
      </c>
      <c r="G1691" s="1" t="s">
        <v>16</v>
      </c>
      <c r="H1691" s="1" t="s">
        <v>12</v>
      </c>
      <c r="I1691" s="12">
        <f>car_price_prediction_[[#This Row],[Mileage]]/1000</f>
        <v>249.12</v>
      </c>
      <c r="J1691" s="5">
        <v>249120</v>
      </c>
      <c r="K1691" s="1" t="s">
        <v>25</v>
      </c>
      <c r="L1691" s="5">
        <f>car_price_prediction_[[#This Row],[Price]]/100</f>
        <v>62570.96</v>
      </c>
      <c r="M1691">
        <v>6257096</v>
      </c>
      <c r="N1691" s="1" t="s">
        <v>26</v>
      </c>
      <c r="O1691" s="1">
        <f>IF(IFERROR(VLOOKUP(car_price_prediction_[[#This Row],[Car ID]],A1692:A4191,1,FALSE),0),1,0)</f>
        <v>0</v>
      </c>
    </row>
    <row r="1692" spans="1:15" x14ac:dyDescent="0.25">
      <c r="A1692">
        <v>1691</v>
      </c>
      <c r="B1692" s="1" t="s">
        <v>30</v>
      </c>
      <c r="C1692" s="1">
        <f>car_price_prediction_[[#This Row],[Year2]]</f>
        <v>2000</v>
      </c>
      <c r="D1692">
        <v>2000</v>
      </c>
      <c r="E1692">
        <f>car_price_prediction_[[#This Row],[Engine Size]]/10</f>
        <v>3.3</v>
      </c>
      <c r="F1692">
        <v>33</v>
      </c>
      <c r="G1692" s="1" t="s">
        <v>11</v>
      </c>
      <c r="H1692" s="1" t="s">
        <v>12</v>
      </c>
      <c r="I1692" s="12">
        <f>car_price_prediction_[[#This Row],[Mileage]]/1000</f>
        <v>254.322</v>
      </c>
      <c r="J1692" s="5">
        <v>254322</v>
      </c>
      <c r="K1692" s="1" t="s">
        <v>17</v>
      </c>
      <c r="L1692" s="5">
        <f>car_price_prediction_[[#This Row],[Price]]/100</f>
        <v>39136.839999999997</v>
      </c>
      <c r="M1692">
        <v>3913684</v>
      </c>
      <c r="N1692" s="1" t="s">
        <v>31</v>
      </c>
      <c r="O1692" s="1">
        <f>IF(IFERROR(VLOOKUP(car_price_prediction_[[#This Row],[Car ID]],A1693:A4192,1,FALSE),0),1,0)</f>
        <v>0</v>
      </c>
    </row>
    <row r="1693" spans="1:15" x14ac:dyDescent="0.25">
      <c r="A1693">
        <v>1692</v>
      </c>
      <c r="B1693" s="1" t="s">
        <v>19</v>
      </c>
      <c r="C1693" s="1">
        <f>car_price_prediction_[[#This Row],[Year2]]</f>
        <v>2003</v>
      </c>
      <c r="D1693">
        <v>2003</v>
      </c>
      <c r="E1693">
        <f>car_price_prediction_[[#This Row],[Engine Size]]/10</f>
        <v>5.9</v>
      </c>
      <c r="F1693">
        <v>59</v>
      </c>
      <c r="G1693" s="1" t="s">
        <v>16</v>
      </c>
      <c r="H1693" s="1" t="s">
        <v>22</v>
      </c>
      <c r="I1693" s="12">
        <f>car_price_prediction_[[#This Row],[Mileage]]/1000</f>
        <v>209.48500000000001</v>
      </c>
      <c r="J1693" s="5">
        <v>209485</v>
      </c>
      <c r="K1693" s="1" t="s">
        <v>25</v>
      </c>
      <c r="L1693" s="5">
        <f>car_price_prediction_[[#This Row],[Price]]/100</f>
        <v>10455.23</v>
      </c>
      <c r="M1693">
        <v>1045523</v>
      </c>
      <c r="N1693" s="1" t="s">
        <v>38</v>
      </c>
      <c r="O1693" s="1">
        <f>IF(IFERROR(VLOOKUP(car_price_prediction_[[#This Row],[Car ID]],A1694:A4193,1,FALSE),0),1,0)</f>
        <v>0</v>
      </c>
    </row>
    <row r="1694" spans="1:15" x14ac:dyDescent="0.25">
      <c r="A1694">
        <v>1693</v>
      </c>
      <c r="B1694" s="1" t="s">
        <v>19</v>
      </c>
      <c r="C1694" s="1">
        <f>car_price_prediction_[[#This Row],[Year2]]</f>
        <v>2004</v>
      </c>
      <c r="D1694">
        <v>2004</v>
      </c>
      <c r="E1694">
        <f>car_price_prediction_[[#This Row],[Engine Size]]/10</f>
        <v>3.4</v>
      </c>
      <c r="F1694">
        <v>34</v>
      </c>
      <c r="G1694" s="1" t="s">
        <v>11</v>
      </c>
      <c r="H1694" s="1" t="s">
        <v>12</v>
      </c>
      <c r="I1694" s="12">
        <f>car_price_prediction_[[#This Row],[Mileage]]/1000</f>
        <v>272.12599999999998</v>
      </c>
      <c r="J1694" s="5">
        <v>272126</v>
      </c>
      <c r="K1694" s="1" t="s">
        <v>25</v>
      </c>
      <c r="L1694" s="5">
        <f>car_price_prediction_[[#This Row],[Price]]/100</f>
        <v>65767.89</v>
      </c>
      <c r="M1694">
        <v>6576789</v>
      </c>
      <c r="N1694" s="1" t="s">
        <v>38</v>
      </c>
      <c r="O1694" s="1">
        <f>IF(IFERROR(VLOOKUP(car_price_prediction_[[#This Row],[Car ID]],A1695:A4194,1,FALSE),0),1,0)</f>
        <v>0</v>
      </c>
    </row>
    <row r="1695" spans="1:15" x14ac:dyDescent="0.25">
      <c r="A1695">
        <v>1694</v>
      </c>
      <c r="B1695" s="1" t="s">
        <v>24</v>
      </c>
      <c r="C1695" s="1">
        <f>car_price_prediction_[[#This Row],[Year2]]</f>
        <v>2000</v>
      </c>
      <c r="D1695">
        <v>2000</v>
      </c>
      <c r="E1695">
        <f>car_price_prediction_[[#This Row],[Engine Size]]/10</f>
        <v>5.9</v>
      </c>
      <c r="F1695">
        <v>59</v>
      </c>
      <c r="G1695" s="1" t="s">
        <v>16</v>
      </c>
      <c r="H1695" s="1" t="s">
        <v>22</v>
      </c>
      <c r="I1695" s="12">
        <f>car_price_prediction_[[#This Row],[Mileage]]/1000</f>
        <v>145.71100000000001</v>
      </c>
      <c r="J1695" s="5">
        <v>145711</v>
      </c>
      <c r="K1695" s="1" t="s">
        <v>25</v>
      </c>
      <c r="L1695" s="5">
        <f>car_price_prediction_[[#This Row],[Price]]/100</f>
        <v>59161.45</v>
      </c>
      <c r="M1695">
        <v>5916145</v>
      </c>
      <c r="N1695" s="1" t="s">
        <v>34</v>
      </c>
      <c r="O1695" s="1">
        <f>IF(IFERROR(VLOOKUP(car_price_prediction_[[#This Row],[Car ID]],A1696:A4195,1,FALSE),0),1,0)</f>
        <v>0</v>
      </c>
    </row>
    <row r="1696" spans="1:15" x14ac:dyDescent="0.25">
      <c r="A1696">
        <v>1695</v>
      </c>
      <c r="B1696" s="1" t="s">
        <v>24</v>
      </c>
      <c r="C1696" s="1">
        <f>car_price_prediction_[[#This Row],[Year2]]</f>
        <v>2014</v>
      </c>
      <c r="D1696">
        <v>2014</v>
      </c>
      <c r="E1696">
        <f>car_price_prediction_[[#This Row],[Engine Size]]/10</f>
        <v>4.8</v>
      </c>
      <c r="F1696">
        <v>48</v>
      </c>
      <c r="G1696" s="1" t="s">
        <v>21</v>
      </c>
      <c r="H1696" s="1" t="s">
        <v>12</v>
      </c>
      <c r="I1696" s="12">
        <f>car_price_prediction_[[#This Row],[Mileage]]/1000</f>
        <v>70.209999999999994</v>
      </c>
      <c r="J1696" s="5">
        <v>70210</v>
      </c>
      <c r="K1696" s="1" t="s">
        <v>25</v>
      </c>
      <c r="L1696" s="5">
        <f>car_price_prediction_[[#This Row],[Price]]/100</f>
        <v>15725.81</v>
      </c>
      <c r="M1696">
        <v>1572581</v>
      </c>
      <c r="N1696" s="1" t="s">
        <v>53</v>
      </c>
      <c r="O1696" s="1">
        <f>IF(IFERROR(VLOOKUP(car_price_prediction_[[#This Row],[Car ID]],A1697:A4196,1,FALSE),0),1,0)</f>
        <v>0</v>
      </c>
    </row>
    <row r="1697" spans="1:15" x14ac:dyDescent="0.25">
      <c r="A1697">
        <v>1696</v>
      </c>
      <c r="B1697" s="1" t="s">
        <v>15</v>
      </c>
      <c r="C1697" s="1">
        <f>car_price_prediction_[[#This Row],[Year2]]</f>
        <v>2004</v>
      </c>
      <c r="D1697">
        <v>2004</v>
      </c>
      <c r="E1697">
        <f>car_price_prediction_[[#This Row],[Engine Size]]/10</f>
        <v>2.2000000000000002</v>
      </c>
      <c r="F1697">
        <v>22</v>
      </c>
      <c r="G1697" s="1" t="s">
        <v>29</v>
      </c>
      <c r="H1697" s="1" t="s">
        <v>12</v>
      </c>
      <c r="I1697" s="12">
        <f>car_price_prediction_[[#This Row],[Mileage]]/1000</f>
        <v>69.852000000000004</v>
      </c>
      <c r="J1697" s="5">
        <v>69852</v>
      </c>
      <c r="K1697" s="1" t="s">
        <v>17</v>
      </c>
      <c r="L1697" s="5">
        <f>car_price_prediction_[[#This Row],[Price]]/100</f>
        <v>91346.42</v>
      </c>
      <c r="M1697">
        <v>9134642</v>
      </c>
      <c r="N1697" s="1" t="s">
        <v>39</v>
      </c>
      <c r="O1697" s="1">
        <f>IF(IFERROR(VLOOKUP(car_price_prediction_[[#This Row],[Car ID]],A1698:A4197,1,FALSE),0),1,0)</f>
        <v>0</v>
      </c>
    </row>
    <row r="1698" spans="1:15" x14ac:dyDescent="0.25">
      <c r="A1698">
        <v>1697</v>
      </c>
      <c r="B1698" s="1" t="s">
        <v>43</v>
      </c>
      <c r="C1698" s="1">
        <f>car_price_prediction_[[#This Row],[Year2]]</f>
        <v>2012</v>
      </c>
      <c r="D1698">
        <v>2012</v>
      </c>
      <c r="E1698">
        <f>car_price_prediction_[[#This Row],[Engine Size]]/10</f>
        <v>3.7</v>
      </c>
      <c r="F1698">
        <v>37</v>
      </c>
      <c r="G1698" s="1" t="s">
        <v>29</v>
      </c>
      <c r="H1698" s="1" t="s">
        <v>22</v>
      </c>
      <c r="I1698" s="12">
        <f>car_price_prediction_[[#This Row],[Mileage]]/1000</f>
        <v>255.13900000000001</v>
      </c>
      <c r="J1698" s="5">
        <v>255139</v>
      </c>
      <c r="K1698" s="1" t="s">
        <v>13</v>
      </c>
      <c r="L1698" s="5">
        <f>car_price_prediction_[[#This Row],[Price]]/100</f>
        <v>23900.22</v>
      </c>
      <c r="M1698">
        <v>2390022</v>
      </c>
      <c r="N1698" s="1" t="s">
        <v>47</v>
      </c>
      <c r="O1698" s="1">
        <f>IF(IFERROR(VLOOKUP(car_price_prediction_[[#This Row],[Car ID]],A1699:A4198,1,FALSE),0),1,0)</f>
        <v>0</v>
      </c>
    </row>
    <row r="1699" spans="1:15" x14ac:dyDescent="0.25">
      <c r="A1699">
        <v>1698</v>
      </c>
      <c r="B1699" s="1" t="s">
        <v>24</v>
      </c>
      <c r="C1699" s="1">
        <f>car_price_prediction_[[#This Row],[Year2]]</f>
        <v>2007</v>
      </c>
      <c r="D1699">
        <v>2007</v>
      </c>
      <c r="E1699">
        <f>car_price_prediction_[[#This Row],[Engine Size]]/10</f>
        <v>6</v>
      </c>
      <c r="F1699">
        <v>60</v>
      </c>
      <c r="G1699" s="1" t="s">
        <v>29</v>
      </c>
      <c r="H1699" s="1" t="s">
        <v>12</v>
      </c>
      <c r="I1699" s="12">
        <f>car_price_prediction_[[#This Row],[Mileage]]/1000</f>
        <v>9.6950000000000003</v>
      </c>
      <c r="J1699" s="5">
        <v>9695</v>
      </c>
      <c r="K1699" s="1" t="s">
        <v>17</v>
      </c>
      <c r="L1699" s="5">
        <f>car_price_prediction_[[#This Row],[Price]]/100</f>
        <v>75633.37</v>
      </c>
      <c r="M1699">
        <v>7563337</v>
      </c>
      <c r="N1699" s="1" t="s">
        <v>26</v>
      </c>
      <c r="O1699" s="1">
        <f>IF(IFERROR(VLOOKUP(car_price_prediction_[[#This Row],[Car ID]],A1700:A4199,1,FALSE),0),1,0)</f>
        <v>0</v>
      </c>
    </row>
    <row r="1700" spans="1:15" x14ac:dyDescent="0.25">
      <c r="A1700">
        <v>1699</v>
      </c>
      <c r="B1700" s="1" t="s">
        <v>10</v>
      </c>
      <c r="C1700" s="1">
        <f>car_price_prediction_[[#This Row],[Year2]]</f>
        <v>2007</v>
      </c>
      <c r="D1700">
        <v>2007</v>
      </c>
      <c r="E1700">
        <f>car_price_prediction_[[#This Row],[Engine Size]]/10</f>
        <v>5.3</v>
      </c>
      <c r="F1700">
        <v>53</v>
      </c>
      <c r="G1700" s="1" t="s">
        <v>11</v>
      </c>
      <c r="H1700" s="1" t="s">
        <v>22</v>
      </c>
      <c r="I1700" s="12">
        <f>car_price_prediction_[[#This Row],[Mileage]]/1000</f>
        <v>48.582000000000001</v>
      </c>
      <c r="J1700" s="5">
        <v>48582</v>
      </c>
      <c r="K1700" s="1" t="s">
        <v>13</v>
      </c>
      <c r="L1700" s="5">
        <f>car_price_prediction_[[#This Row],[Price]]/100</f>
        <v>89082.21</v>
      </c>
      <c r="M1700">
        <v>8908221</v>
      </c>
      <c r="N1700" s="1" t="s">
        <v>14</v>
      </c>
      <c r="O1700" s="1">
        <f>IF(IFERROR(VLOOKUP(car_price_prediction_[[#This Row],[Car ID]],A1701:A4200,1,FALSE),0),1,0)</f>
        <v>0</v>
      </c>
    </row>
    <row r="1701" spans="1:15" x14ac:dyDescent="0.25">
      <c r="A1701">
        <v>1700</v>
      </c>
      <c r="B1701" s="1" t="s">
        <v>24</v>
      </c>
      <c r="C1701" s="1">
        <f>car_price_prediction_[[#This Row],[Year2]]</f>
        <v>2004</v>
      </c>
      <c r="D1701">
        <v>2004</v>
      </c>
      <c r="E1701">
        <f>car_price_prediction_[[#This Row],[Engine Size]]/10</f>
        <v>1.5</v>
      </c>
      <c r="F1701">
        <v>15</v>
      </c>
      <c r="G1701" s="1" t="s">
        <v>16</v>
      </c>
      <c r="H1701" s="1" t="s">
        <v>22</v>
      </c>
      <c r="I1701" s="12">
        <f>car_price_prediction_[[#This Row],[Mileage]]/1000</f>
        <v>293.238</v>
      </c>
      <c r="J1701" s="5">
        <v>293238</v>
      </c>
      <c r="K1701" s="1" t="s">
        <v>13</v>
      </c>
      <c r="L1701" s="5">
        <f>car_price_prediction_[[#This Row],[Price]]/100</f>
        <v>60050.12</v>
      </c>
      <c r="M1701">
        <v>6005012</v>
      </c>
      <c r="N1701" s="1" t="s">
        <v>26</v>
      </c>
      <c r="O1701" s="1">
        <f>IF(IFERROR(VLOOKUP(car_price_prediction_[[#This Row],[Car ID]],A1702:A4201,1,FALSE),0),1,0)</f>
        <v>0</v>
      </c>
    </row>
    <row r="1702" spans="1:15" x14ac:dyDescent="0.25">
      <c r="A1702">
        <v>1701</v>
      </c>
      <c r="B1702" s="1" t="s">
        <v>36</v>
      </c>
      <c r="C1702" s="1">
        <f>car_price_prediction_[[#This Row],[Year2]]</f>
        <v>2008</v>
      </c>
      <c r="D1702">
        <v>2008</v>
      </c>
      <c r="E1702">
        <f>car_price_prediction_[[#This Row],[Engine Size]]/10</f>
        <v>4.5</v>
      </c>
      <c r="F1702">
        <v>45</v>
      </c>
      <c r="G1702" s="1" t="s">
        <v>21</v>
      </c>
      <c r="H1702" s="1" t="s">
        <v>22</v>
      </c>
      <c r="I1702" s="12">
        <f>car_price_prediction_[[#This Row],[Mileage]]/1000</f>
        <v>191.70699999999999</v>
      </c>
      <c r="J1702" s="5">
        <v>191707</v>
      </c>
      <c r="K1702" s="1" t="s">
        <v>13</v>
      </c>
      <c r="L1702" s="5">
        <f>car_price_prediction_[[#This Row],[Price]]/100</f>
        <v>28450.65</v>
      </c>
      <c r="M1702">
        <v>2845065</v>
      </c>
      <c r="N1702" s="1" t="s">
        <v>41</v>
      </c>
      <c r="O1702" s="1">
        <f>IF(IFERROR(VLOOKUP(car_price_prediction_[[#This Row],[Car ID]],A1703:A4202,1,FALSE),0),1,0)</f>
        <v>0</v>
      </c>
    </row>
    <row r="1703" spans="1:15" x14ac:dyDescent="0.25">
      <c r="A1703">
        <v>1702</v>
      </c>
      <c r="B1703" s="1" t="s">
        <v>30</v>
      </c>
      <c r="C1703" s="1">
        <f>car_price_prediction_[[#This Row],[Year2]]</f>
        <v>2000</v>
      </c>
      <c r="D1703">
        <v>2000</v>
      </c>
      <c r="E1703">
        <f>car_price_prediction_[[#This Row],[Engine Size]]/10</f>
        <v>2.7</v>
      </c>
      <c r="F1703">
        <v>27</v>
      </c>
      <c r="G1703" s="1" t="s">
        <v>16</v>
      </c>
      <c r="H1703" s="1" t="s">
        <v>12</v>
      </c>
      <c r="I1703" s="12">
        <f>car_price_prediction_[[#This Row],[Mileage]]/1000</f>
        <v>284.33100000000002</v>
      </c>
      <c r="J1703" s="5">
        <v>284331</v>
      </c>
      <c r="K1703" s="1" t="s">
        <v>17</v>
      </c>
      <c r="L1703" s="5">
        <f>car_price_prediction_[[#This Row],[Price]]/100</f>
        <v>34378.61</v>
      </c>
      <c r="M1703">
        <v>3437861</v>
      </c>
      <c r="N1703" s="1" t="s">
        <v>31</v>
      </c>
      <c r="O1703" s="1">
        <f>IF(IFERROR(VLOOKUP(car_price_prediction_[[#This Row],[Car ID]],A1704:A4203,1,FALSE),0),1,0)</f>
        <v>0</v>
      </c>
    </row>
    <row r="1704" spans="1:15" x14ac:dyDescent="0.25">
      <c r="A1704">
        <v>1703</v>
      </c>
      <c r="B1704" s="1" t="s">
        <v>10</v>
      </c>
      <c r="C1704" s="1">
        <f>car_price_prediction_[[#This Row],[Year2]]</f>
        <v>2003</v>
      </c>
      <c r="D1704">
        <v>2003</v>
      </c>
      <c r="E1704">
        <f>car_price_prediction_[[#This Row],[Engine Size]]/10</f>
        <v>1</v>
      </c>
      <c r="F1704">
        <v>10</v>
      </c>
      <c r="G1704" s="1" t="s">
        <v>29</v>
      </c>
      <c r="H1704" s="1" t="s">
        <v>12</v>
      </c>
      <c r="I1704" s="12">
        <f>car_price_prediction_[[#This Row],[Mileage]]/1000</f>
        <v>128.721</v>
      </c>
      <c r="J1704" s="5">
        <v>128721</v>
      </c>
      <c r="K1704" s="1" t="s">
        <v>17</v>
      </c>
      <c r="L1704" s="5">
        <f>car_price_prediction_[[#This Row],[Price]]/100</f>
        <v>89146.02</v>
      </c>
      <c r="M1704">
        <v>8914602</v>
      </c>
      <c r="N1704" s="1" t="s">
        <v>49</v>
      </c>
      <c r="O1704" s="1">
        <f>IF(IFERROR(VLOOKUP(car_price_prediction_[[#This Row],[Car ID]],A1705:A4204,1,FALSE),0),1,0)</f>
        <v>0</v>
      </c>
    </row>
    <row r="1705" spans="1:15" x14ac:dyDescent="0.25">
      <c r="A1705">
        <v>1704</v>
      </c>
      <c r="B1705" s="1" t="s">
        <v>10</v>
      </c>
      <c r="C1705" s="1">
        <f>car_price_prediction_[[#This Row],[Year2]]</f>
        <v>2002</v>
      </c>
      <c r="D1705">
        <v>2002</v>
      </c>
      <c r="E1705">
        <f>car_price_prediction_[[#This Row],[Engine Size]]/10</f>
        <v>3</v>
      </c>
      <c r="F1705">
        <v>30</v>
      </c>
      <c r="G1705" s="1" t="s">
        <v>21</v>
      </c>
      <c r="H1705" s="1" t="s">
        <v>12</v>
      </c>
      <c r="I1705" s="12">
        <f>car_price_prediction_[[#This Row],[Mileage]]/1000</f>
        <v>106.68300000000001</v>
      </c>
      <c r="J1705" s="5">
        <v>106683</v>
      </c>
      <c r="K1705" s="1" t="s">
        <v>17</v>
      </c>
      <c r="L1705" s="5">
        <f>car_price_prediction_[[#This Row],[Price]]/100</f>
        <v>33334.43</v>
      </c>
      <c r="M1705">
        <v>3333443</v>
      </c>
      <c r="N1705" s="1" t="s">
        <v>14</v>
      </c>
      <c r="O1705" s="1">
        <f>IF(IFERROR(VLOOKUP(car_price_prediction_[[#This Row],[Car ID]],A1706:A4205,1,FALSE),0),1,0)</f>
        <v>0</v>
      </c>
    </row>
    <row r="1706" spans="1:15" x14ac:dyDescent="0.25">
      <c r="A1706">
        <v>1705</v>
      </c>
      <c r="B1706" s="1" t="s">
        <v>36</v>
      </c>
      <c r="C1706" s="1">
        <f>car_price_prediction_[[#This Row],[Year2]]</f>
        <v>2001</v>
      </c>
      <c r="D1706">
        <v>2001</v>
      </c>
      <c r="E1706">
        <f>car_price_prediction_[[#This Row],[Engine Size]]/10</f>
        <v>2.2000000000000002</v>
      </c>
      <c r="F1706">
        <v>22</v>
      </c>
      <c r="G1706" s="1" t="s">
        <v>21</v>
      </c>
      <c r="H1706" s="1" t="s">
        <v>12</v>
      </c>
      <c r="I1706" s="12">
        <f>car_price_prediction_[[#This Row],[Mileage]]/1000</f>
        <v>263.358</v>
      </c>
      <c r="J1706" s="5">
        <v>263358</v>
      </c>
      <c r="K1706" s="1" t="s">
        <v>17</v>
      </c>
      <c r="L1706" s="5">
        <f>car_price_prediction_[[#This Row],[Price]]/100</f>
        <v>7588.81</v>
      </c>
      <c r="M1706">
        <v>758881</v>
      </c>
      <c r="N1706" s="1" t="s">
        <v>37</v>
      </c>
      <c r="O1706" s="1">
        <f>IF(IFERROR(VLOOKUP(car_price_prediction_[[#This Row],[Car ID]],A1707:A4206,1,FALSE),0),1,0)</f>
        <v>0</v>
      </c>
    </row>
    <row r="1707" spans="1:15" x14ac:dyDescent="0.25">
      <c r="A1707">
        <v>1706</v>
      </c>
      <c r="B1707" s="1" t="s">
        <v>36</v>
      </c>
      <c r="C1707" s="1">
        <f>car_price_prediction_[[#This Row],[Year2]]</f>
        <v>2007</v>
      </c>
      <c r="D1707">
        <v>2007</v>
      </c>
      <c r="E1707">
        <f>car_price_prediction_[[#This Row],[Engine Size]]/10</f>
        <v>5.0999999999999996</v>
      </c>
      <c r="F1707">
        <v>51</v>
      </c>
      <c r="G1707" s="1" t="s">
        <v>29</v>
      </c>
      <c r="H1707" s="1" t="s">
        <v>22</v>
      </c>
      <c r="I1707" s="12">
        <f>car_price_prediction_[[#This Row],[Mileage]]/1000</f>
        <v>286.084</v>
      </c>
      <c r="J1707" s="5">
        <v>286084</v>
      </c>
      <c r="K1707" s="1" t="s">
        <v>17</v>
      </c>
      <c r="L1707" s="5">
        <f>car_price_prediction_[[#This Row],[Price]]/100</f>
        <v>9906.57</v>
      </c>
      <c r="M1707">
        <v>990657</v>
      </c>
      <c r="N1707" s="1" t="s">
        <v>46</v>
      </c>
      <c r="O1707" s="1">
        <f>IF(IFERROR(VLOOKUP(car_price_prediction_[[#This Row],[Car ID]],A1708:A4207,1,FALSE),0),1,0)</f>
        <v>0</v>
      </c>
    </row>
    <row r="1708" spans="1:15" x14ac:dyDescent="0.25">
      <c r="A1708">
        <v>1707</v>
      </c>
      <c r="B1708" s="1" t="s">
        <v>19</v>
      </c>
      <c r="C1708" s="1">
        <f>car_price_prediction_[[#This Row],[Year2]]</f>
        <v>2022</v>
      </c>
      <c r="D1708">
        <v>2022</v>
      </c>
      <c r="E1708">
        <f>car_price_prediction_[[#This Row],[Engine Size]]/10</f>
        <v>2.7</v>
      </c>
      <c r="F1708">
        <v>27</v>
      </c>
      <c r="G1708" s="1" t="s">
        <v>16</v>
      </c>
      <c r="H1708" s="1" t="s">
        <v>12</v>
      </c>
      <c r="I1708" s="12">
        <f>car_price_prediction_[[#This Row],[Mileage]]/1000</f>
        <v>44.405999999999999</v>
      </c>
      <c r="J1708" s="5">
        <v>44406</v>
      </c>
      <c r="K1708" s="1" t="s">
        <v>13</v>
      </c>
      <c r="L1708" s="5">
        <f>car_price_prediction_[[#This Row],[Price]]/100</f>
        <v>99982.59</v>
      </c>
      <c r="M1708">
        <v>9998259</v>
      </c>
      <c r="N1708" s="1" t="s">
        <v>38</v>
      </c>
      <c r="O1708" s="1">
        <f>IF(IFERROR(VLOOKUP(car_price_prediction_[[#This Row],[Car ID]],A1709:A4208,1,FALSE),0),1,0)</f>
        <v>0</v>
      </c>
    </row>
    <row r="1709" spans="1:15" x14ac:dyDescent="0.25">
      <c r="A1709">
        <v>1708</v>
      </c>
      <c r="B1709" s="1" t="s">
        <v>43</v>
      </c>
      <c r="C1709" s="1">
        <f>car_price_prediction_[[#This Row],[Year2]]</f>
        <v>2008</v>
      </c>
      <c r="D1709">
        <v>2008</v>
      </c>
      <c r="E1709">
        <f>car_price_prediction_[[#This Row],[Engine Size]]/10</f>
        <v>5.0999999999999996</v>
      </c>
      <c r="F1709">
        <v>51</v>
      </c>
      <c r="G1709" s="1" t="s">
        <v>29</v>
      </c>
      <c r="H1709" s="1" t="s">
        <v>12</v>
      </c>
      <c r="I1709" s="12">
        <f>car_price_prediction_[[#This Row],[Mileage]]/1000</f>
        <v>147.04900000000001</v>
      </c>
      <c r="J1709" s="5">
        <v>147049</v>
      </c>
      <c r="K1709" s="1" t="s">
        <v>17</v>
      </c>
      <c r="L1709" s="5">
        <f>car_price_prediction_[[#This Row],[Price]]/100</f>
        <v>55680.58</v>
      </c>
      <c r="M1709">
        <v>5568058</v>
      </c>
      <c r="N1709" s="1" t="s">
        <v>47</v>
      </c>
      <c r="O1709" s="1">
        <f>IF(IFERROR(VLOOKUP(car_price_prediction_[[#This Row],[Car ID]],A1710:A4209,1,FALSE),0),1,0)</f>
        <v>0</v>
      </c>
    </row>
    <row r="1710" spans="1:15" x14ac:dyDescent="0.25">
      <c r="A1710">
        <v>1709</v>
      </c>
      <c r="B1710" s="1" t="s">
        <v>30</v>
      </c>
      <c r="C1710" s="1">
        <f>car_price_prediction_[[#This Row],[Year2]]</f>
        <v>2001</v>
      </c>
      <c r="D1710">
        <v>2001</v>
      </c>
      <c r="E1710">
        <f>car_price_prediction_[[#This Row],[Engine Size]]/10</f>
        <v>1</v>
      </c>
      <c r="F1710">
        <v>10</v>
      </c>
      <c r="G1710" s="1" t="s">
        <v>16</v>
      </c>
      <c r="H1710" s="1" t="s">
        <v>22</v>
      </c>
      <c r="I1710" s="12">
        <f>car_price_prediction_[[#This Row],[Mileage]]/1000</f>
        <v>235.994</v>
      </c>
      <c r="J1710" s="5">
        <v>235994</v>
      </c>
      <c r="K1710" s="1" t="s">
        <v>13</v>
      </c>
      <c r="L1710" s="5">
        <f>car_price_prediction_[[#This Row],[Price]]/100</f>
        <v>8352.2800000000007</v>
      </c>
      <c r="M1710">
        <v>835228</v>
      </c>
      <c r="N1710" s="1" t="s">
        <v>48</v>
      </c>
      <c r="O1710" s="1">
        <f>IF(IFERROR(VLOOKUP(car_price_prediction_[[#This Row],[Car ID]],A1711:A4210,1,FALSE),0),1,0)</f>
        <v>0</v>
      </c>
    </row>
    <row r="1711" spans="1:15" x14ac:dyDescent="0.25">
      <c r="A1711">
        <v>1710</v>
      </c>
      <c r="B1711" s="1" t="s">
        <v>15</v>
      </c>
      <c r="C1711" s="1">
        <f>car_price_prediction_[[#This Row],[Year2]]</f>
        <v>2013</v>
      </c>
      <c r="D1711">
        <v>2013</v>
      </c>
      <c r="E1711">
        <f>car_price_prediction_[[#This Row],[Engine Size]]/10</f>
        <v>2.5</v>
      </c>
      <c r="F1711">
        <v>25</v>
      </c>
      <c r="G1711" s="1" t="s">
        <v>21</v>
      </c>
      <c r="H1711" s="1" t="s">
        <v>22</v>
      </c>
      <c r="I1711" s="12">
        <f>car_price_prediction_[[#This Row],[Mileage]]/1000</f>
        <v>187.31299999999999</v>
      </c>
      <c r="J1711" s="5">
        <v>187313</v>
      </c>
      <c r="K1711" s="1" t="s">
        <v>17</v>
      </c>
      <c r="L1711" s="5">
        <f>car_price_prediction_[[#This Row],[Price]]/100</f>
        <v>99073.74</v>
      </c>
      <c r="M1711">
        <v>9907374</v>
      </c>
      <c r="N1711" s="1" t="s">
        <v>18</v>
      </c>
      <c r="O1711" s="1">
        <f>IF(IFERROR(VLOOKUP(car_price_prediction_[[#This Row],[Car ID]],A1712:A4211,1,FALSE),0),1,0)</f>
        <v>0</v>
      </c>
    </row>
    <row r="1712" spans="1:15" x14ac:dyDescent="0.25">
      <c r="A1712">
        <v>1711</v>
      </c>
      <c r="B1712" s="1" t="s">
        <v>10</v>
      </c>
      <c r="C1712" s="1">
        <f>car_price_prediction_[[#This Row],[Year2]]</f>
        <v>2013</v>
      </c>
      <c r="D1712">
        <v>2013</v>
      </c>
      <c r="E1712">
        <f>car_price_prediction_[[#This Row],[Engine Size]]/10</f>
        <v>2.2000000000000002</v>
      </c>
      <c r="F1712">
        <v>22</v>
      </c>
      <c r="G1712" s="1" t="s">
        <v>21</v>
      </c>
      <c r="H1712" s="1" t="s">
        <v>12</v>
      </c>
      <c r="I1712" s="12">
        <f>car_price_prediction_[[#This Row],[Mileage]]/1000</f>
        <v>204.57300000000001</v>
      </c>
      <c r="J1712" s="5">
        <v>204573</v>
      </c>
      <c r="K1712" s="1" t="s">
        <v>17</v>
      </c>
      <c r="L1712" s="5">
        <f>car_price_prediction_[[#This Row],[Price]]/100</f>
        <v>40593.919999999998</v>
      </c>
      <c r="M1712">
        <v>4059392</v>
      </c>
      <c r="N1712" s="1" t="s">
        <v>33</v>
      </c>
      <c r="O1712" s="1">
        <f>IF(IFERROR(VLOOKUP(car_price_prediction_[[#This Row],[Car ID]],A1713:A4212,1,FALSE),0),1,0)</f>
        <v>0</v>
      </c>
    </row>
    <row r="1713" spans="1:15" x14ac:dyDescent="0.25">
      <c r="A1713">
        <v>1712</v>
      </c>
      <c r="B1713" s="1" t="s">
        <v>15</v>
      </c>
      <c r="C1713" s="1">
        <f>car_price_prediction_[[#This Row],[Year2]]</f>
        <v>2003</v>
      </c>
      <c r="D1713">
        <v>2003</v>
      </c>
      <c r="E1713">
        <f>car_price_prediction_[[#This Row],[Engine Size]]/10</f>
        <v>2.2000000000000002</v>
      </c>
      <c r="F1713">
        <v>22</v>
      </c>
      <c r="G1713" s="1" t="s">
        <v>29</v>
      </c>
      <c r="H1713" s="1" t="s">
        <v>22</v>
      </c>
      <c r="I1713" s="12">
        <f>car_price_prediction_[[#This Row],[Mileage]]/1000</f>
        <v>206.20500000000001</v>
      </c>
      <c r="J1713" s="5">
        <v>206205</v>
      </c>
      <c r="K1713" s="1" t="s">
        <v>25</v>
      </c>
      <c r="L1713" s="5">
        <f>car_price_prediction_[[#This Row],[Price]]/100</f>
        <v>28978.91</v>
      </c>
      <c r="M1713">
        <v>2897891</v>
      </c>
      <c r="N1713" s="1" t="s">
        <v>39</v>
      </c>
      <c r="O1713" s="1">
        <f>IF(IFERROR(VLOOKUP(car_price_prediction_[[#This Row],[Car ID]],A1714:A4213,1,FALSE),0),1,0)</f>
        <v>0</v>
      </c>
    </row>
    <row r="1714" spans="1:15" x14ac:dyDescent="0.25">
      <c r="A1714">
        <v>1713</v>
      </c>
      <c r="B1714" s="1" t="s">
        <v>24</v>
      </c>
      <c r="C1714" s="1">
        <f>car_price_prediction_[[#This Row],[Year2]]</f>
        <v>2005</v>
      </c>
      <c r="D1714">
        <v>2005</v>
      </c>
      <c r="E1714">
        <f>car_price_prediction_[[#This Row],[Engine Size]]/10</f>
        <v>1.3</v>
      </c>
      <c r="F1714">
        <v>13</v>
      </c>
      <c r="G1714" s="1" t="s">
        <v>21</v>
      </c>
      <c r="H1714" s="1" t="s">
        <v>22</v>
      </c>
      <c r="I1714" s="12">
        <f>car_price_prediction_[[#This Row],[Mileage]]/1000</f>
        <v>60.481000000000002</v>
      </c>
      <c r="J1714" s="5">
        <v>60481</v>
      </c>
      <c r="K1714" s="1" t="s">
        <v>13</v>
      </c>
      <c r="L1714" s="5">
        <f>car_price_prediction_[[#This Row],[Price]]/100</f>
        <v>15852.17</v>
      </c>
      <c r="M1714">
        <v>1585217</v>
      </c>
      <c r="N1714" s="1" t="s">
        <v>32</v>
      </c>
      <c r="O1714" s="1">
        <f>IF(IFERROR(VLOOKUP(car_price_prediction_[[#This Row],[Car ID]],A1715:A4214,1,FALSE),0),1,0)</f>
        <v>0</v>
      </c>
    </row>
    <row r="1715" spans="1:15" x14ac:dyDescent="0.25">
      <c r="A1715">
        <v>1714</v>
      </c>
      <c r="B1715" s="1" t="s">
        <v>24</v>
      </c>
      <c r="C1715" s="1">
        <f>car_price_prediction_[[#This Row],[Year2]]</f>
        <v>2010</v>
      </c>
      <c r="D1715">
        <v>2010</v>
      </c>
      <c r="E1715">
        <f>car_price_prediction_[[#This Row],[Engine Size]]/10</f>
        <v>1.9</v>
      </c>
      <c r="F1715">
        <v>19</v>
      </c>
      <c r="G1715" s="1" t="s">
        <v>11</v>
      </c>
      <c r="H1715" s="1" t="s">
        <v>22</v>
      </c>
      <c r="I1715" s="12">
        <f>car_price_prediction_[[#This Row],[Mileage]]/1000</f>
        <v>238.084</v>
      </c>
      <c r="J1715" s="5">
        <v>238084</v>
      </c>
      <c r="K1715" s="1" t="s">
        <v>17</v>
      </c>
      <c r="L1715" s="5">
        <f>car_price_prediction_[[#This Row],[Price]]/100</f>
        <v>18385.47</v>
      </c>
      <c r="M1715">
        <v>1838547</v>
      </c>
      <c r="N1715" s="1" t="s">
        <v>26</v>
      </c>
      <c r="O1715" s="1">
        <f>IF(IFERROR(VLOOKUP(car_price_prediction_[[#This Row],[Car ID]],A1716:A4215,1,FALSE),0),1,0)</f>
        <v>0</v>
      </c>
    </row>
    <row r="1716" spans="1:15" x14ac:dyDescent="0.25">
      <c r="A1716">
        <v>1715</v>
      </c>
      <c r="B1716" s="1" t="s">
        <v>15</v>
      </c>
      <c r="C1716" s="1">
        <f>car_price_prediction_[[#This Row],[Year2]]</f>
        <v>2002</v>
      </c>
      <c r="D1716">
        <v>2002</v>
      </c>
      <c r="E1716">
        <f>car_price_prediction_[[#This Row],[Engine Size]]/10</f>
        <v>3.8</v>
      </c>
      <c r="F1716">
        <v>38</v>
      </c>
      <c r="G1716" s="1" t="s">
        <v>21</v>
      </c>
      <c r="H1716" s="1" t="s">
        <v>22</v>
      </c>
      <c r="I1716" s="12">
        <f>car_price_prediction_[[#This Row],[Mileage]]/1000</f>
        <v>289.88400000000001</v>
      </c>
      <c r="J1716" s="5">
        <v>289884</v>
      </c>
      <c r="K1716" s="1" t="s">
        <v>17</v>
      </c>
      <c r="L1716" s="5">
        <f>car_price_prediction_[[#This Row],[Price]]/100</f>
        <v>86087.85</v>
      </c>
      <c r="M1716">
        <v>8608785</v>
      </c>
      <c r="N1716" s="1" t="s">
        <v>35</v>
      </c>
      <c r="O1716" s="1">
        <f>IF(IFERROR(VLOOKUP(car_price_prediction_[[#This Row],[Car ID]],A1717:A4216,1,FALSE),0),1,0)</f>
        <v>0</v>
      </c>
    </row>
    <row r="1717" spans="1:15" x14ac:dyDescent="0.25">
      <c r="A1717">
        <v>1716</v>
      </c>
      <c r="B1717" s="1" t="s">
        <v>24</v>
      </c>
      <c r="C1717" s="1">
        <f>car_price_prediction_[[#This Row],[Year2]]</f>
        <v>2007</v>
      </c>
      <c r="D1717">
        <v>2007</v>
      </c>
      <c r="E1717">
        <f>car_price_prediction_[[#This Row],[Engine Size]]/10</f>
        <v>2.5</v>
      </c>
      <c r="F1717">
        <v>25</v>
      </c>
      <c r="G1717" s="1" t="s">
        <v>11</v>
      </c>
      <c r="H1717" s="1" t="s">
        <v>22</v>
      </c>
      <c r="I1717" s="12">
        <f>car_price_prediction_[[#This Row],[Mileage]]/1000</f>
        <v>274.02499999999998</v>
      </c>
      <c r="J1717" s="5">
        <v>274025</v>
      </c>
      <c r="K1717" s="1" t="s">
        <v>17</v>
      </c>
      <c r="L1717" s="5">
        <f>car_price_prediction_[[#This Row],[Price]]/100</f>
        <v>60928.69</v>
      </c>
      <c r="M1717">
        <v>6092869</v>
      </c>
      <c r="N1717" s="1" t="s">
        <v>32</v>
      </c>
      <c r="O1717" s="1">
        <f>IF(IFERROR(VLOOKUP(car_price_prediction_[[#This Row],[Car ID]],A1718:A4217,1,FALSE),0),1,0)</f>
        <v>0</v>
      </c>
    </row>
    <row r="1718" spans="1:15" x14ac:dyDescent="0.25">
      <c r="A1718">
        <v>1717</v>
      </c>
      <c r="B1718" s="1" t="s">
        <v>43</v>
      </c>
      <c r="C1718" s="1">
        <f>car_price_prediction_[[#This Row],[Year2]]</f>
        <v>2002</v>
      </c>
      <c r="D1718">
        <v>2002</v>
      </c>
      <c r="E1718">
        <f>car_price_prediction_[[#This Row],[Engine Size]]/10</f>
        <v>3.1</v>
      </c>
      <c r="F1718">
        <v>31</v>
      </c>
      <c r="G1718" s="1" t="s">
        <v>21</v>
      </c>
      <c r="H1718" s="1" t="s">
        <v>12</v>
      </c>
      <c r="I1718" s="12">
        <f>car_price_prediction_[[#This Row],[Mileage]]/1000</f>
        <v>299.14</v>
      </c>
      <c r="J1718" s="5">
        <v>299140</v>
      </c>
      <c r="K1718" s="1" t="s">
        <v>25</v>
      </c>
      <c r="L1718" s="5">
        <f>car_price_prediction_[[#This Row],[Price]]/100</f>
        <v>88002.37</v>
      </c>
      <c r="M1718">
        <v>8800237</v>
      </c>
      <c r="N1718" s="1" t="s">
        <v>44</v>
      </c>
      <c r="O1718" s="1">
        <f>IF(IFERROR(VLOOKUP(car_price_prediction_[[#This Row],[Car ID]],A1719:A4218,1,FALSE),0),1,0)</f>
        <v>0</v>
      </c>
    </row>
    <row r="1719" spans="1:15" x14ac:dyDescent="0.25">
      <c r="A1719">
        <v>1718</v>
      </c>
      <c r="B1719" s="1" t="s">
        <v>36</v>
      </c>
      <c r="C1719" s="1">
        <f>car_price_prediction_[[#This Row],[Year2]]</f>
        <v>2013</v>
      </c>
      <c r="D1719">
        <v>2013</v>
      </c>
      <c r="E1719">
        <f>car_price_prediction_[[#This Row],[Engine Size]]/10</f>
        <v>2.9</v>
      </c>
      <c r="F1719">
        <v>29</v>
      </c>
      <c r="G1719" s="1" t="s">
        <v>29</v>
      </c>
      <c r="H1719" s="1" t="s">
        <v>12</v>
      </c>
      <c r="I1719" s="12">
        <f>car_price_prediction_[[#This Row],[Mileage]]/1000</f>
        <v>163.249</v>
      </c>
      <c r="J1719" s="5">
        <v>163249</v>
      </c>
      <c r="K1719" s="1" t="s">
        <v>13</v>
      </c>
      <c r="L1719" s="5">
        <f>car_price_prediction_[[#This Row],[Price]]/100</f>
        <v>79998.23</v>
      </c>
      <c r="M1719">
        <v>7999823</v>
      </c>
      <c r="N1719" s="1" t="s">
        <v>41</v>
      </c>
      <c r="O1719" s="1">
        <f>IF(IFERROR(VLOOKUP(car_price_prediction_[[#This Row],[Car ID]],A1720:A4219,1,FALSE),0),1,0)</f>
        <v>0</v>
      </c>
    </row>
    <row r="1720" spans="1:15" x14ac:dyDescent="0.25">
      <c r="A1720">
        <v>1719</v>
      </c>
      <c r="B1720" s="1" t="s">
        <v>24</v>
      </c>
      <c r="C1720" s="1">
        <f>car_price_prediction_[[#This Row],[Year2]]</f>
        <v>2012</v>
      </c>
      <c r="D1720">
        <v>2012</v>
      </c>
      <c r="E1720">
        <f>car_price_prediction_[[#This Row],[Engine Size]]/10</f>
        <v>5.4</v>
      </c>
      <c r="F1720">
        <v>54</v>
      </c>
      <c r="G1720" s="1" t="s">
        <v>29</v>
      </c>
      <c r="H1720" s="1" t="s">
        <v>12</v>
      </c>
      <c r="I1720" s="12">
        <f>car_price_prediction_[[#This Row],[Mileage]]/1000</f>
        <v>122.196</v>
      </c>
      <c r="J1720" s="5">
        <v>122196</v>
      </c>
      <c r="K1720" s="1" t="s">
        <v>17</v>
      </c>
      <c r="L1720" s="5">
        <f>car_price_prediction_[[#This Row],[Price]]/100</f>
        <v>69005.740000000005</v>
      </c>
      <c r="M1720">
        <v>6900574</v>
      </c>
      <c r="N1720" s="1" t="s">
        <v>53</v>
      </c>
      <c r="O1720" s="1">
        <f>IF(IFERROR(VLOOKUP(car_price_prediction_[[#This Row],[Car ID]],A1721:A4220,1,FALSE),0),1,0)</f>
        <v>0</v>
      </c>
    </row>
    <row r="1721" spans="1:15" x14ac:dyDescent="0.25">
      <c r="A1721">
        <v>1720</v>
      </c>
      <c r="B1721" s="1" t="s">
        <v>19</v>
      </c>
      <c r="C1721" s="1">
        <f>car_price_prediction_[[#This Row],[Year2]]</f>
        <v>2012</v>
      </c>
      <c r="D1721">
        <v>2012</v>
      </c>
      <c r="E1721">
        <f>car_price_prediction_[[#This Row],[Engine Size]]/10</f>
        <v>5.5</v>
      </c>
      <c r="F1721">
        <v>55</v>
      </c>
      <c r="G1721" s="1" t="s">
        <v>11</v>
      </c>
      <c r="H1721" s="1" t="s">
        <v>12</v>
      </c>
      <c r="I1721" s="12">
        <f>car_price_prediction_[[#This Row],[Mileage]]/1000</f>
        <v>37.177</v>
      </c>
      <c r="J1721" s="5">
        <v>37177</v>
      </c>
      <c r="K1721" s="1" t="s">
        <v>17</v>
      </c>
      <c r="L1721" s="5">
        <f>car_price_prediction_[[#This Row],[Price]]/100</f>
        <v>62884.66</v>
      </c>
      <c r="M1721">
        <v>6288466</v>
      </c>
      <c r="N1721" s="1" t="s">
        <v>20</v>
      </c>
      <c r="O1721" s="1">
        <f>IF(IFERROR(VLOOKUP(car_price_prediction_[[#This Row],[Car ID]],A1722:A4221,1,FALSE),0),1,0)</f>
        <v>0</v>
      </c>
    </row>
    <row r="1722" spans="1:15" x14ac:dyDescent="0.25">
      <c r="A1722">
        <v>1721</v>
      </c>
      <c r="B1722" s="1" t="s">
        <v>24</v>
      </c>
      <c r="C1722" s="1">
        <f>car_price_prediction_[[#This Row],[Year2]]</f>
        <v>2001</v>
      </c>
      <c r="D1722">
        <v>2001</v>
      </c>
      <c r="E1722">
        <f>car_price_prediction_[[#This Row],[Engine Size]]/10</f>
        <v>3.5</v>
      </c>
      <c r="F1722">
        <v>35</v>
      </c>
      <c r="G1722" s="1" t="s">
        <v>29</v>
      </c>
      <c r="H1722" s="1" t="s">
        <v>12</v>
      </c>
      <c r="I1722" s="12">
        <f>car_price_prediction_[[#This Row],[Mileage]]/1000</f>
        <v>66.126000000000005</v>
      </c>
      <c r="J1722" s="5">
        <v>66126</v>
      </c>
      <c r="K1722" s="1" t="s">
        <v>17</v>
      </c>
      <c r="L1722" s="5">
        <f>car_price_prediction_[[#This Row],[Price]]/100</f>
        <v>959.22</v>
      </c>
      <c r="M1722">
        <v>95922</v>
      </c>
      <c r="N1722" s="1" t="s">
        <v>26</v>
      </c>
      <c r="O1722" s="1">
        <f>IF(IFERROR(VLOOKUP(car_price_prediction_[[#This Row],[Car ID]],A1723:A4222,1,FALSE),0),1,0)</f>
        <v>0</v>
      </c>
    </row>
    <row r="1723" spans="1:15" x14ac:dyDescent="0.25">
      <c r="A1723">
        <v>1722</v>
      </c>
      <c r="B1723" s="1" t="s">
        <v>30</v>
      </c>
      <c r="C1723" s="1">
        <f>car_price_prediction_[[#This Row],[Year2]]</f>
        <v>2012</v>
      </c>
      <c r="D1723">
        <v>2012</v>
      </c>
      <c r="E1723">
        <f>car_price_prediction_[[#This Row],[Engine Size]]/10</f>
        <v>2.7</v>
      </c>
      <c r="F1723">
        <v>27</v>
      </c>
      <c r="G1723" s="1" t="s">
        <v>21</v>
      </c>
      <c r="H1723" s="1" t="s">
        <v>12</v>
      </c>
      <c r="I1723" s="12">
        <f>car_price_prediction_[[#This Row],[Mileage]]/1000</f>
        <v>26.119</v>
      </c>
      <c r="J1723" s="5">
        <v>26119</v>
      </c>
      <c r="K1723" s="1" t="s">
        <v>25</v>
      </c>
      <c r="L1723" s="5">
        <f>car_price_prediction_[[#This Row],[Price]]/100</f>
        <v>87866.14</v>
      </c>
      <c r="M1723">
        <v>8786614</v>
      </c>
      <c r="N1723" s="1" t="s">
        <v>48</v>
      </c>
      <c r="O1723" s="1">
        <f>IF(IFERROR(VLOOKUP(car_price_prediction_[[#This Row],[Car ID]],A1724:A4223,1,FALSE),0),1,0)</f>
        <v>0</v>
      </c>
    </row>
    <row r="1724" spans="1:15" x14ac:dyDescent="0.25">
      <c r="A1724">
        <v>1723</v>
      </c>
      <c r="B1724" s="1" t="s">
        <v>43</v>
      </c>
      <c r="C1724" s="1">
        <f>car_price_prediction_[[#This Row],[Year2]]</f>
        <v>2018</v>
      </c>
      <c r="D1724">
        <v>2018</v>
      </c>
      <c r="E1724">
        <f>car_price_prediction_[[#This Row],[Engine Size]]/10</f>
        <v>1.5</v>
      </c>
      <c r="F1724">
        <v>15</v>
      </c>
      <c r="G1724" s="1" t="s">
        <v>21</v>
      </c>
      <c r="H1724" s="1" t="s">
        <v>12</v>
      </c>
      <c r="I1724" s="12">
        <f>car_price_prediction_[[#This Row],[Mileage]]/1000</f>
        <v>117.744</v>
      </c>
      <c r="J1724" s="5">
        <v>117744</v>
      </c>
      <c r="K1724" s="1" t="s">
        <v>17</v>
      </c>
      <c r="L1724" s="5">
        <f>car_price_prediction_[[#This Row],[Price]]/100</f>
        <v>4469.5</v>
      </c>
      <c r="M1724">
        <v>446950</v>
      </c>
      <c r="N1724" s="1" t="s">
        <v>47</v>
      </c>
      <c r="O1724" s="1">
        <f>IF(IFERROR(VLOOKUP(car_price_prediction_[[#This Row],[Car ID]],A1725:A4224,1,FALSE),0),1,0)</f>
        <v>0</v>
      </c>
    </row>
    <row r="1725" spans="1:15" x14ac:dyDescent="0.25">
      <c r="A1725">
        <v>1724</v>
      </c>
      <c r="B1725" s="1" t="s">
        <v>30</v>
      </c>
      <c r="C1725" s="1">
        <f>car_price_prediction_[[#This Row],[Year2]]</f>
        <v>2005</v>
      </c>
      <c r="D1725">
        <v>2005</v>
      </c>
      <c r="E1725">
        <f>car_price_prediction_[[#This Row],[Engine Size]]/10</f>
        <v>5.8</v>
      </c>
      <c r="F1725">
        <v>58</v>
      </c>
      <c r="G1725" s="1" t="s">
        <v>29</v>
      </c>
      <c r="H1725" s="1" t="s">
        <v>22</v>
      </c>
      <c r="I1725" s="12">
        <f>car_price_prediction_[[#This Row],[Mileage]]/1000</f>
        <v>116.89400000000001</v>
      </c>
      <c r="J1725" s="5">
        <v>116894</v>
      </c>
      <c r="K1725" s="1" t="s">
        <v>13</v>
      </c>
      <c r="L1725" s="5">
        <f>car_price_prediction_[[#This Row],[Price]]/100</f>
        <v>58179.75</v>
      </c>
      <c r="M1725">
        <v>5817975</v>
      </c>
      <c r="N1725" s="1" t="s">
        <v>42</v>
      </c>
      <c r="O1725" s="1">
        <f>IF(IFERROR(VLOOKUP(car_price_prediction_[[#This Row],[Car ID]],A1726:A4225,1,FALSE),0),1,0)</f>
        <v>0</v>
      </c>
    </row>
    <row r="1726" spans="1:15" x14ac:dyDescent="0.25">
      <c r="A1726">
        <v>1725</v>
      </c>
      <c r="B1726" s="1" t="s">
        <v>30</v>
      </c>
      <c r="C1726" s="1">
        <f>car_price_prediction_[[#This Row],[Year2]]</f>
        <v>2015</v>
      </c>
      <c r="D1726">
        <v>2015</v>
      </c>
      <c r="E1726">
        <f>car_price_prediction_[[#This Row],[Engine Size]]/10</f>
        <v>1.3</v>
      </c>
      <c r="F1726">
        <v>13</v>
      </c>
      <c r="G1726" s="1" t="s">
        <v>21</v>
      </c>
      <c r="H1726" s="1" t="s">
        <v>12</v>
      </c>
      <c r="I1726" s="12">
        <f>car_price_prediction_[[#This Row],[Mileage]]/1000</f>
        <v>158.98699999999999</v>
      </c>
      <c r="J1726" s="5">
        <v>158987</v>
      </c>
      <c r="K1726" s="1" t="s">
        <v>13</v>
      </c>
      <c r="L1726" s="5">
        <f>car_price_prediction_[[#This Row],[Price]]/100</f>
        <v>7085.58</v>
      </c>
      <c r="M1726">
        <v>708558</v>
      </c>
      <c r="N1726" s="1" t="s">
        <v>45</v>
      </c>
      <c r="O1726" s="1">
        <f>IF(IFERROR(VLOOKUP(car_price_prediction_[[#This Row],[Car ID]],A1727:A4226,1,FALSE),0),1,0)</f>
        <v>0</v>
      </c>
    </row>
    <row r="1727" spans="1:15" x14ac:dyDescent="0.25">
      <c r="A1727">
        <v>1726</v>
      </c>
      <c r="B1727" s="1" t="s">
        <v>19</v>
      </c>
      <c r="C1727" s="1">
        <f>car_price_prediction_[[#This Row],[Year2]]</f>
        <v>2001</v>
      </c>
      <c r="D1727">
        <v>2001</v>
      </c>
      <c r="E1727">
        <f>car_price_prediction_[[#This Row],[Engine Size]]/10</f>
        <v>2.5</v>
      </c>
      <c r="F1727">
        <v>25</v>
      </c>
      <c r="G1727" s="1" t="s">
        <v>16</v>
      </c>
      <c r="H1727" s="1" t="s">
        <v>12</v>
      </c>
      <c r="I1727" s="12">
        <f>car_price_prediction_[[#This Row],[Mileage]]/1000</f>
        <v>44.988999999999997</v>
      </c>
      <c r="J1727" s="5">
        <v>44989</v>
      </c>
      <c r="K1727" s="1" t="s">
        <v>13</v>
      </c>
      <c r="L1727" s="5">
        <f>car_price_prediction_[[#This Row],[Price]]/100</f>
        <v>93926.98</v>
      </c>
      <c r="M1727">
        <v>9392698</v>
      </c>
      <c r="N1727" s="1" t="s">
        <v>20</v>
      </c>
      <c r="O1727" s="1">
        <f>IF(IFERROR(VLOOKUP(car_price_prediction_[[#This Row],[Car ID]],A1728:A4227,1,FALSE),0),1,0)</f>
        <v>0</v>
      </c>
    </row>
    <row r="1728" spans="1:15" x14ac:dyDescent="0.25">
      <c r="A1728">
        <v>1727</v>
      </c>
      <c r="B1728" s="1" t="s">
        <v>43</v>
      </c>
      <c r="C1728" s="1">
        <f>car_price_prediction_[[#This Row],[Year2]]</f>
        <v>2007</v>
      </c>
      <c r="D1728">
        <v>2007</v>
      </c>
      <c r="E1728">
        <f>car_price_prediction_[[#This Row],[Engine Size]]/10</f>
        <v>2.5</v>
      </c>
      <c r="F1728">
        <v>25</v>
      </c>
      <c r="G1728" s="1" t="s">
        <v>16</v>
      </c>
      <c r="H1728" s="1" t="s">
        <v>12</v>
      </c>
      <c r="I1728" s="12">
        <f>car_price_prediction_[[#This Row],[Mileage]]/1000</f>
        <v>284.25</v>
      </c>
      <c r="J1728" s="5">
        <v>284250</v>
      </c>
      <c r="K1728" s="1" t="s">
        <v>13</v>
      </c>
      <c r="L1728" s="5">
        <f>car_price_prediction_[[#This Row],[Price]]/100</f>
        <v>90760.34</v>
      </c>
      <c r="M1728">
        <v>9076034</v>
      </c>
      <c r="N1728" s="1" t="s">
        <v>52</v>
      </c>
      <c r="O1728" s="1">
        <f>IF(IFERROR(VLOOKUP(car_price_prediction_[[#This Row],[Car ID]],A1729:A4228,1,FALSE),0),1,0)</f>
        <v>0</v>
      </c>
    </row>
    <row r="1729" spans="1:15" x14ac:dyDescent="0.25">
      <c r="A1729">
        <v>1728</v>
      </c>
      <c r="B1729" s="1" t="s">
        <v>43</v>
      </c>
      <c r="C1729" s="1">
        <f>car_price_prediction_[[#This Row],[Year2]]</f>
        <v>2016</v>
      </c>
      <c r="D1729">
        <v>2016</v>
      </c>
      <c r="E1729">
        <f>car_price_prediction_[[#This Row],[Engine Size]]/10</f>
        <v>2.6</v>
      </c>
      <c r="F1729">
        <v>26</v>
      </c>
      <c r="G1729" s="1" t="s">
        <v>21</v>
      </c>
      <c r="H1729" s="1" t="s">
        <v>22</v>
      </c>
      <c r="I1729" s="12">
        <f>car_price_prediction_[[#This Row],[Mileage]]/1000</f>
        <v>279.27499999999998</v>
      </c>
      <c r="J1729" s="5">
        <v>279275</v>
      </c>
      <c r="K1729" s="1" t="s">
        <v>17</v>
      </c>
      <c r="L1729" s="5">
        <f>car_price_prediction_[[#This Row],[Price]]/100</f>
        <v>56611.41</v>
      </c>
      <c r="M1729">
        <v>5661141</v>
      </c>
      <c r="N1729" s="1" t="s">
        <v>50</v>
      </c>
      <c r="O1729" s="1">
        <f>IF(IFERROR(VLOOKUP(car_price_prediction_[[#This Row],[Car ID]],A1730:A4229,1,FALSE),0),1,0)</f>
        <v>0</v>
      </c>
    </row>
    <row r="1730" spans="1:15" x14ac:dyDescent="0.25">
      <c r="A1730">
        <v>1729</v>
      </c>
      <c r="B1730" s="1" t="s">
        <v>43</v>
      </c>
      <c r="C1730" s="1">
        <f>car_price_prediction_[[#This Row],[Year2]]</f>
        <v>2022</v>
      </c>
      <c r="D1730">
        <v>2022</v>
      </c>
      <c r="E1730">
        <f>car_price_prediction_[[#This Row],[Engine Size]]/10</f>
        <v>1.8</v>
      </c>
      <c r="F1730">
        <v>18</v>
      </c>
      <c r="G1730" s="1" t="s">
        <v>29</v>
      </c>
      <c r="H1730" s="1" t="s">
        <v>12</v>
      </c>
      <c r="I1730" s="12">
        <f>car_price_prediction_[[#This Row],[Mileage]]/1000</f>
        <v>6.5529999999999999</v>
      </c>
      <c r="J1730" s="5">
        <v>6553</v>
      </c>
      <c r="K1730" s="1" t="s">
        <v>25</v>
      </c>
      <c r="L1730" s="5">
        <f>car_price_prediction_[[#This Row],[Price]]/100</f>
        <v>59844.61</v>
      </c>
      <c r="M1730">
        <v>5984461</v>
      </c>
      <c r="N1730" s="1" t="s">
        <v>47</v>
      </c>
      <c r="O1730" s="1">
        <f>IF(IFERROR(VLOOKUP(car_price_prediction_[[#This Row],[Car ID]],A1731:A4230,1,FALSE),0),1,0)</f>
        <v>0</v>
      </c>
    </row>
    <row r="1731" spans="1:15" x14ac:dyDescent="0.25">
      <c r="A1731">
        <v>1730</v>
      </c>
      <c r="B1731" s="1" t="s">
        <v>43</v>
      </c>
      <c r="C1731" s="1">
        <f>car_price_prediction_[[#This Row],[Year2]]</f>
        <v>2001</v>
      </c>
      <c r="D1731">
        <v>2001</v>
      </c>
      <c r="E1731">
        <f>car_price_prediction_[[#This Row],[Engine Size]]/10</f>
        <v>4.9000000000000004</v>
      </c>
      <c r="F1731">
        <v>49</v>
      </c>
      <c r="G1731" s="1" t="s">
        <v>11</v>
      </c>
      <c r="H1731" s="1" t="s">
        <v>12</v>
      </c>
      <c r="I1731" s="12">
        <f>car_price_prediction_[[#This Row],[Mileage]]/1000</f>
        <v>17.881</v>
      </c>
      <c r="J1731" s="5">
        <v>17881</v>
      </c>
      <c r="K1731" s="1" t="s">
        <v>25</v>
      </c>
      <c r="L1731" s="5">
        <f>car_price_prediction_[[#This Row],[Price]]/100</f>
        <v>71976.639999999999</v>
      </c>
      <c r="M1731">
        <v>7197664</v>
      </c>
      <c r="N1731" s="1" t="s">
        <v>50</v>
      </c>
      <c r="O1731" s="1">
        <f>IF(IFERROR(VLOOKUP(car_price_prediction_[[#This Row],[Car ID]],A1732:A4231,1,FALSE),0),1,0)</f>
        <v>0</v>
      </c>
    </row>
    <row r="1732" spans="1:15" x14ac:dyDescent="0.25">
      <c r="A1732">
        <v>1731</v>
      </c>
      <c r="B1732" s="1" t="s">
        <v>43</v>
      </c>
      <c r="C1732" s="1">
        <f>car_price_prediction_[[#This Row],[Year2]]</f>
        <v>2009</v>
      </c>
      <c r="D1732">
        <v>2009</v>
      </c>
      <c r="E1732">
        <f>car_price_prediction_[[#This Row],[Engine Size]]/10</f>
        <v>1.6</v>
      </c>
      <c r="F1732">
        <v>16</v>
      </c>
      <c r="G1732" s="1" t="s">
        <v>29</v>
      </c>
      <c r="H1732" s="1" t="s">
        <v>22</v>
      </c>
      <c r="I1732" s="12">
        <f>car_price_prediction_[[#This Row],[Mileage]]/1000</f>
        <v>1.379</v>
      </c>
      <c r="J1732" s="5">
        <v>1379</v>
      </c>
      <c r="K1732" s="1" t="s">
        <v>25</v>
      </c>
      <c r="L1732" s="5">
        <f>car_price_prediction_[[#This Row],[Price]]/100</f>
        <v>30146.02</v>
      </c>
      <c r="M1732">
        <v>3014602</v>
      </c>
      <c r="N1732" s="1" t="s">
        <v>50</v>
      </c>
      <c r="O1732" s="1">
        <f>IF(IFERROR(VLOOKUP(car_price_prediction_[[#This Row],[Car ID]],A1733:A4232,1,FALSE),0),1,0)</f>
        <v>0</v>
      </c>
    </row>
    <row r="1733" spans="1:15" x14ac:dyDescent="0.25">
      <c r="A1733">
        <v>1732</v>
      </c>
      <c r="B1733" s="1" t="s">
        <v>19</v>
      </c>
      <c r="C1733" s="1">
        <f>car_price_prediction_[[#This Row],[Year2]]</f>
        <v>2015</v>
      </c>
      <c r="D1733">
        <v>2015</v>
      </c>
      <c r="E1733">
        <f>car_price_prediction_[[#This Row],[Engine Size]]/10</f>
        <v>4.2</v>
      </c>
      <c r="F1733">
        <v>42</v>
      </c>
      <c r="G1733" s="1" t="s">
        <v>11</v>
      </c>
      <c r="H1733" s="1" t="s">
        <v>12</v>
      </c>
      <c r="I1733" s="12">
        <f>car_price_prediction_[[#This Row],[Mileage]]/1000</f>
        <v>69.305999999999997</v>
      </c>
      <c r="J1733" s="5">
        <v>69306</v>
      </c>
      <c r="K1733" s="1" t="s">
        <v>17</v>
      </c>
      <c r="L1733" s="5">
        <f>car_price_prediction_[[#This Row],[Price]]/100</f>
        <v>26081.98</v>
      </c>
      <c r="M1733">
        <v>2608198</v>
      </c>
      <c r="N1733" s="1" t="s">
        <v>20</v>
      </c>
      <c r="O1733" s="1">
        <f>IF(IFERROR(VLOOKUP(car_price_prediction_[[#This Row],[Car ID]],A1734:A4233,1,FALSE),0),1,0)</f>
        <v>0</v>
      </c>
    </row>
    <row r="1734" spans="1:15" x14ac:dyDescent="0.25">
      <c r="A1734">
        <v>1733</v>
      </c>
      <c r="B1734" s="1" t="s">
        <v>24</v>
      </c>
      <c r="C1734" s="1">
        <f>car_price_prediction_[[#This Row],[Year2]]</f>
        <v>2005</v>
      </c>
      <c r="D1734">
        <v>2005</v>
      </c>
      <c r="E1734">
        <f>car_price_prediction_[[#This Row],[Engine Size]]/10</f>
        <v>1.6</v>
      </c>
      <c r="F1734">
        <v>16</v>
      </c>
      <c r="G1734" s="1" t="s">
        <v>29</v>
      </c>
      <c r="H1734" s="1" t="s">
        <v>12</v>
      </c>
      <c r="I1734" s="12">
        <f>car_price_prediction_[[#This Row],[Mileage]]/1000</f>
        <v>243.82499999999999</v>
      </c>
      <c r="J1734" s="5">
        <v>243825</v>
      </c>
      <c r="K1734" s="1" t="s">
        <v>25</v>
      </c>
      <c r="L1734" s="5">
        <f>car_price_prediction_[[#This Row],[Price]]/100</f>
        <v>69032.179999999993</v>
      </c>
      <c r="M1734">
        <v>6903218</v>
      </c>
      <c r="N1734" s="1" t="s">
        <v>53</v>
      </c>
      <c r="O1734" s="1">
        <f>IF(IFERROR(VLOOKUP(car_price_prediction_[[#This Row],[Car ID]],A1735:A4234,1,FALSE),0),1,0)</f>
        <v>0</v>
      </c>
    </row>
    <row r="1735" spans="1:15" x14ac:dyDescent="0.25">
      <c r="A1735">
        <v>1734</v>
      </c>
      <c r="B1735" s="1" t="s">
        <v>30</v>
      </c>
      <c r="C1735" s="1">
        <f>car_price_prediction_[[#This Row],[Year2]]</f>
        <v>2001</v>
      </c>
      <c r="D1735">
        <v>2001</v>
      </c>
      <c r="E1735">
        <f>car_price_prediction_[[#This Row],[Engine Size]]/10</f>
        <v>1.4</v>
      </c>
      <c r="F1735">
        <v>14</v>
      </c>
      <c r="G1735" s="1" t="s">
        <v>21</v>
      </c>
      <c r="H1735" s="1" t="s">
        <v>22</v>
      </c>
      <c r="I1735" s="12">
        <f>car_price_prediction_[[#This Row],[Mileage]]/1000</f>
        <v>104.512</v>
      </c>
      <c r="J1735" s="5">
        <v>104512</v>
      </c>
      <c r="K1735" s="1" t="s">
        <v>13</v>
      </c>
      <c r="L1735" s="5">
        <f>car_price_prediction_[[#This Row],[Price]]/100</f>
        <v>14920.13</v>
      </c>
      <c r="M1735">
        <v>1492013</v>
      </c>
      <c r="N1735" s="1" t="s">
        <v>31</v>
      </c>
      <c r="O1735" s="1">
        <f>IF(IFERROR(VLOOKUP(car_price_prediction_[[#This Row],[Car ID]],A1736:A4235,1,FALSE),0),1,0)</f>
        <v>0</v>
      </c>
    </row>
    <row r="1736" spans="1:15" x14ac:dyDescent="0.25">
      <c r="A1736">
        <v>1735</v>
      </c>
      <c r="B1736" s="1" t="s">
        <v>43</v>
      </c>
      <c r="C1736" s="1">
        <f>car_price_prediction_[[#This Row],[Year2]]</f>
        <v>2001</v>
      </c>
      <c r="D1736">
        <v>2001</v>
      </c>
      <c r="E1736">
        <f>car_price_prediction_[[#This Row],[Engine Size]]/10</f>
        <v>5.5</v>
      </c>
      <c r="F1736">
        <v>55</v>
      </c>
      <c r="G1736" s="1" t="s">
        <v>16</v>
      </c>
      <c r="H1736" s="1" t="s">
        <v>12</v>
      </c>
      <c r="I1736" s="12">
        <f>car_price_prediction_[[#This Row],[Mileage]]/1000</f>
        <v>278.49400000000003</v>
      </c>
      <c r="J1736" s="5">
        <v>278494</v>
      </c>
      <c r="K1736" s="1" t="s">
        <v>17</v>
      </c>
      <c r="L1736" s="5">
        <f>car_price_prediction_[[#This Row],[Price]]/100</f>
        <v>48135.89</v>
      </c>
      <c r="M1736">
        <v>4813589</v>
      </c>
      <c r="N1736" s="1" t="s">
        <v>52</v>
      </c>
      <c r="O1736" s="1">
        <f>IF(IFERROR(VLOOKUP(car_price_prediction_[[#This Row],[Car ID]],A1737:A4236,1,FALSE),0),1,0)</f>
        <v>0</v>
      </c>
    </row>
    <row r="1737" spans="1:15" x14ac:dyDescent="0.25">
      <c r="A1737">
        <v>1736</v>
      </c>
      <c r="B1737" s="1" t="s">
        <v>10</v>
      </c>
      <c r="C1737" s="1">
        <f>car_price_prediction_[[#This Row],[Year2]]</f>
        <v>2012</v>
      </c>
      <c r="D1737">
        <v>2012</v>
      </c>
      <c r="E1737">
        <f>car_price_prediction_[[#This Row],[Engine Size]]/10</f>
        <v>2</v>
      </c>
      <c r="F1737">
        <v>20</v>
      </c>
      <c r="G1737" s="1" t="s">
        <v>29</v>
      </c>
      <c r="H1737" s="1" t="s">
        <v>22</v>
      </c>
      <c r="I1737" s="12">
        <f>car_price_prediction_[[#This Row],[Mileage]]/1000</f>
        <v>99.599000000000004</v>
      </c>
      <c r="J1737" s="5">
        <v>99599</v>
      </c>
      <c r="K1737" s="1" t="s">
        <v>25</v>
      </c>
      <c r="L1737" s="5">
        <f>car_price_prediction_[[#This Row],[Price]]/100</f>
        <v>51812.24</v>
      </c>
      <c r="M1737">
        <v>5181224</v>
      </c>
      <c r="N1737" s="1" t="s">
        <v>49</v>
      </c>
      <c r="O1737" s="1">
        <f>IF(IFERROR(VLOOKUP(car_price_prediction_[[#This Row],[Car ID]],A1738:A4237,1,FALSE),0),1,0)</f>
        <v>0</v>
      </c>
    </row>
    <row r="1738" spans="1:15" x14ac:dyDescent="0.25">
      <c r="A1738">
        <v>1737</v>
      </c>
      <c r="B1738" s="1" t="s">
        <v>24</v>
      </c>
      <c r="C1738" s="1">
        <f>car_price_prediction_[[#This Row],[Year2]]</f>
        <v>2023</v>
      </c>
      <c r="D1738">
        <v>2023</v>
      </c>
      <c r="E1738">
        <f>car_price_prediction_[[#This Row],[Engine Size]]/10</f>
        <v>5.0999999999999996</v>
      </c>
      <c r="F1738">
        <v>51</v>
      </c>
      <c r="G1738" s="1" t="s">
        <v>11</v>
      </c>
      <c r="H1738" s="1" t="s">
        <v>12</v>
      </c>
      <c r="I1738" s="12">
        <f>car_price_prediction_[[#This Row],[Mileage]]/1000</f>
        <v>81.397000000000006</v>
      </c>
      <c r="J1738" s="5">
        <v>81397</v>
      </c>
      <c r="K1738" s="1" t="s">
        <v>13</v>
      </c>
      <c r="L1738" s="5">
        <f>car_price_prediction_[[#This Row],[Price]]/100</f>
        <v>41227.01</v>
      </c>
      <c r="M1738">
        <v>4122701</v>
      </c>
      <c r="N1738" s="1" t="s">
        <v>34</v>
      </c>
      <c r="O1738" s="1">
        <f>IF(IFERROR(VLOOKUP(car_price_prediction_[[#This Row],[Car ID]],A1739:A4238,1,FALSE),0),1,0)</f>
        <v>0</v>
      </c>
    </row>
    <row r="1739" spans="1:15" x14ac:dyDescent="0.25">
      <c r="A1739">
        <v>1738</v>
      </c>
      <c r="B1739" s="1" t="s">
        <v>24</v>
      </c>
      <c r="C1739" s="1">
        <f>car_price_prediction_[[#This Row],[Year2]]</f>
        <v>2014</v>
      </c>
      <c r="D1739">
        <v>2014</v>
      </c>
      <c r="E1739">
        <f>car_price_prediction_[[#This Row],[Engine Size]]/10</f>
        <v>3.7</v>
      </c>
      <c r="F1739">
        <v>37</v>
      </c>
      <c r="G1739" s="1" t="s">
        <v>16</v>
      </c>
      <c r="H1739" s="1" t="s">
        <v>12</v>
      </c>
      <c r="I1739" s="12">
        <f>car_price_prediction_[[#This Row],[Mileage]]/1000</f>
        <v>17.768999999999998</v>
      </c>
      <c r="J1739" s="5">
        <v>17769</v>
      </c>
      <c r="K1739" s="1" t="s">
        <v>13</v>
      </c>
      <c r="L1739" s="5">
        <f>car_price_prediction_[[#This Row],[Price]]/100</f>
        <v>22600.48</v>
      </c>
      <c r="M1739">
        <v>2260048</v>
      </c>
      <c r="N1739" s="1" t="s">
        <v>32</v>
      </c>
      <c r="O1739" s="1">
        <f>IF(IFERROR(VLOOKUP(car_price_prediction_[[#This Row],[Car ID]],A1740:A4239,1,FALSE),0),1,0)</f>
        <v>0</v>
      </c>
    </row>
    <row r="1740" spans="1:15" x14ac:dyDescent="0.25">
      <c r="A1740">
        <v>1739</v>
      </c>
      <c r="B1740" s="1" t="s">
        <v>30</v>
      </c>
      <c r="C1740" s="1">
        <f>car_price_prediction_[[#This Row],[Year2]]</f>
        <v>2001</v>
      </c>
      <c r="D1740">
        <v>2001</v>
      </c>
      <c r="E1740">
        <f>car_price_prediction_[[#This Row],[Engine Size]]/10</f>
        <v>1.4</v>
      </c>
      <c r="F1740">
        <v>14</v>
      </c>
      <c r="G1740" s="1" t="s">
        <v>11</v>
      </c>
      <c r="H1740" s="1" t="s">
        <v>12</v>
      </c>
      <c r="I1740" s="12">
        <f>car_price_prediction_[[#This Row],[Mileage]]/1000</f>
        <v>178.321</v>
      </c>
      <c r="J1740" s="5">
        <v>178321</v>
      </c>
      <c r="K1740" s="1" t="s">
        <v>17</v>
      </c>
      <c r="L1740" s="5">
        <f>car_price_prediction_[[#This Row],[Price]]/100</f>
        <v>38755.050000000003</v>
      </c>
      <c r="M1740">
        <v>3875505</v>
      </c>
      <c r="N1740" s="1" t="s">
        <v>45</v>
      </c>
      <c r="O1740" s="1">
        <f>IF(IFERROR(VLOOKUP(car_price_prediction_[[#This Row],[Car ID]],A1741:A4240,1,FALSE),0),1,0)</f>
        <v>0</v>
      </c>
    </row>
    <row r="1741" spans="1:15" x14ac:dyDescent="0.25">
      <c r="A1741">
        <v>1740</v>
      </c>
      <c r="B1741" s="1" t="s">
        <v>19</v>
      </c>
      <c r="C1741" s="1">
        <f>car_price_prediction_[[#This Row],[Year2]]</f>
        <v>2006</v>
      </c>
      <c r="D1741">
        <v>2006</v>
      </c>
      <c r="E1741">
        <f>car_price_prediction_[[#This Row],[Engine Size]]/10</f>
        <v>5.8</v>
      </c>
      <c r="F1741">
        <v>58</v>
      </c>
      <c r="G1741" s="1" t="s">
        <v>21</v>
      </c>
      <c r="H1741" s="1" t="s">
        <v>22</v>
      </c>
      <c r="I1741" s="12">
        <f>car_price_prediction_[[#This Row],[Mileage]]/1000</f>
        <v>101.584</v>
      </c>
      <c r="J1741" s="5">
        <v>101584</v>
      </c>
      <c r="K1741" s="1" t="s">
        <v>17</v>
      </c>
      <c r="L1741" s="5">
        <f>car_price_prediction_[[#This Row],[Price]]/100</f>
        <v>37067.94</v>
      </c>
      <c r="M1741">
        <v>3706794</v>
      </c>
      <c r="N1741" s="1" t="s">
        <v>28</v>
      </c>
      <c r="O1741" s="1">
        <f>IF(IFERROR(VLOOKUP(car_price_prediction_[[#This Row],[Car ID]],A1742:A4241,1,FALSE),0),1,0)</f>
        <v>0</v>
      </c>
    </row>
    <row r="1742" spans="1:15" x14ac:dyDescent="0.25">
      <c r="A1742">
        <v>1741</v>
      </c>
      <c r="B1742" s="1" t="s">
        <v>15</v>
      </c>
      <c r="C1742" s="1">
        <f>car_price_prediction_[[#This Row],[Year2]]</f>
        <v>2002</v>
      </c>
      <c r="D1742">
        <v>2002</v>
      </c>
      <c r="E1742">
        <f>car_price_prediction_[[#This Row],[Engine Size]]/10</f>
        <v>2.2000000000000002</v>
      </c>
      <c r="F1742">
        <v>22</v>
      </c>
      <c r="G1742" s="1" t="s">
        <v>16</v>
      </c>
      <c r="H1742" s="1" t="s">
        <v>22</v>
      </c>
      <c r="I1742" s="12">
        <f>car_price_prediction_[[#This Row],[Mileage]]/1000</f>
        <v>133.858</v>
      </c>
      <c r="J1742" s="5">
        <v>133858</v>
      </c>
      <c r="K1742" s="1" t="s">
        <v>25</v>
      </c>
      <c r="L1742" s="5">
        <f>car_price_prediction_[[#This Row],[Price]]/100</f>
        <v>52430.239999999998</v>
      </c>
      <c r="M1742">
        <v>5243024</v>
      </c>
      <c r="N1742" s="1" t="s">
        <v>18</v>
      </c>
      <c r="O1742" s="1">
        <f>IF(IFERROR(VLOOKUP(car_price_prediction_[[#This Row],[Car ID]],A1743:A4242,1,FALSE),0),1,0)</f>
        <v>0</v>
      </c>
    </row>
    <row r="1743" spans="1:15" x14ac:dyDescent="0.25">
      <c r="A1743">
        <v>1742</v>
      </c>
      <c r="B1743" s="1" t="s">
        <v>15</v>
      </c>
      <c r="C1743" s="1">
        <f>car_price_prediction_[[#This Row],[Year2]]</f>
        <v>2007</v>
      </c>
      <c r="D1743">
        <v>2007</v>
      </c>
      <c r="E1743">
        <f>car_price_prediction_[[#This Row],[Engine Size]]/10</f>
        <v>5.3</v>
      </c>
      <c r="F1743">
        <v>53</v>
      </c>
      <c r="G1743" s="1" t="s">
        <v>11</v>
      </c>
      <c r="H1743" s="1" t="s">
        <v>22</v>
      </c>
      <c r="I1743" s="12">
        <f>car_price_prediction_[[#This Row],[Mileage]]/1000</f>
        <v>231.60900000000001</v>
      </c>
      <c r="J1743" s="5">
        <v>231609</v>
      </c>
      <c r="K1743" s="1" t="s">
        <v>25</v>
      </c>
      <c r="L1743" s="5">
        <f>car_price_prediction_[[#This Row],[Price]]/100</f>
        <v>69094.679999999993</v>
      </c>
      <c r="M1743">
        <v>6909468</v>
      </c>
      <c r="N1743" s="1" t="s">
        <v>51</v>
      </c>
      <c r="O1743" s="1">
        <f>IF(IFERROR(VLOOKUP(car_price_prediction_[[#This Row],[Car ID]],A1744:A4243,1,FALSE),0),1,0)</f>
        <v>0</v>
      </c>
    </row>
    <row r="1744" spans="1:15" x14ac:dyDescent="0.25">
      <c r="A1744">
        <v>1743</v>
      </c>
      <c r="B1744" s="1" t="s">
        <v>24</v>
      </c>
      <c r="C1744" s="1">
        <f>car_price_prediction_[[#This Row],[Year2]]</f>
        <v>2022</v>
      </c>
      <c r="D1744">
        <v>2022</v>
      </c>
      <c r="E1744">
        <f>car_price_prediction_[[#This Row],[Engine Size]]/10</f>
        <v>1.8</v>
      </c>
      <c r="F1744">
        <v>18</v>
      </c>
      <c r="G1744" s="1" t="s">
        <v>29</v>
      </c>
      <c r="H1744" s="1" t="s">
        <v>12</v>
      </c>
      <c r="I1744" s="12">
        <f>car_price_prediction_[[#This Row],[Mileage]]/1000</f>
        <v>126.52500000000001</v>
      </c>
      <c r="J1744" s="5">
        <v>126525</v>
      </c>
      <c r="K1744" s="1" t="s">
        <v>25</v>
      </c>
      <c r="L1744" s="5">
        <f>car_price_prediction_[[#This Row],[Price]]/100</f>
        <v>96982.34</v>
      </c>
      <c r="M1744">
        <v>9698234</v>
      </c>
      <c r="N1744" s="1" t="s">
        <v>34</v>
      </c>
      <c r="O1744" s="1">
        <f>IF(IFERROR(VLOOKUP(car_price_prediction_[[#This Row],[Car ID]],A1745:A4244,1,FALSE),0),1,0)</f>
        <v>0</v>
      </c>
    </row>
    <row r="1745" spans="1:15" x14ac:dyDescent="0.25">
      <c r="A1745">
        <v>1744</v>
      </c>
      <c r="B1745" s="1" t="s">
        <v>36</v>
      </c>
      <c r="C1745" s="1">
        <f>car_price_prediction_[[#This Row],[Year2]]</f>
        <v>2013</v>
      </c>
      <c r="D1745">
        <v>2013</v>
      </c>
      <c r="E1745">
        <f>car_price_prediction_[[#This Row],[Engine Size]]/10</f>
        <v>5.3</v>
      </c>
      <c r="F1745">
        <v>53</v>
      </c>
      <c r="G1745" s="1" t="s">
        <v>21</v>
      </c>
      <c r="H1745" s="1" t="s">
        <v>12</v>
      </c>
      <c r="I1745" s="12">
        <f>car_price_prediction_[[#This Row],[Mileage]]/1000</f>
        <v>36.302999999999997</v>
      </c>
      <c r="J1745" s="5">
        <v>36303</v>
      </c>
      <c r="K1745" s="1" t="s">
        <v>17</v>
      </c>
      <c r="L1745" s="5">
        <f>car_price_prediction_[[#This Row],[Price]]/100</f>
        <v>18695.509999999998</v>
      </c>
      <c r="M1745">
        <v>1869551</v>
      </c>
      <c r="N1745" s="1" t="s">
        <v>41</v>
      </c>
      <c r="O1745" s="1">
        <f>IF(IFERROR(VLOOKUP(car_price_prediction_[[#This Row],[Car ID]],A1746:A4245,1,FALSE),0),1,0)</f>
        <v>0</v>
      </c>
    </row>
    <row r="1746" spans="1:15" x14ac:dyDescent="0.25">
      <c r="A1746">
        <v>1745</v>
      </c>
      <c r="B1746" s="1" t="s">
        <v>36</v>
      </c>
      <c r="C1746" s="1">
        <f>car_price_prediction_[[#This Row],[Year2]]</f>
        <v>2023</v>
      </c>
      <c r="D1746">
        <v>2023</v>
      </c>
      <c r="E1746">
        <f>car_price_prediction_[[#This Row],[Engine Size]]/10</f>
        <v>1.1000000000000001</v>
      </c>
      <c r="F1746">
        <v>11</v>
      </c>
      <c r="G1746" s="1" t="s">
        <v>21</v>
      </c>
      <c r="H1746" s="1" t="s">
        <v>22</v>
      </c>
      <c r="I1746" s="12">
        <f>car_price_prediction_[[#This Row],[Mileage]]/1000</f>
        <v>19.588999999999999</v>
      </c>
      <c r="J1746" s="5">
        <v>19589</v>
      </c>
      <c r="K1746" s="1" t="s">
        <v>25</v>
      </c>
      <c r="L1746" s="5">
        <f>car_price_prediction_[[#This Row],[Price]]/100</f>
        <v>87936.63</v>
      </c>
      <c r="M1746">
        <v>8793663</v>
      </c>
      <c r="N1746" s="1" t="s">
        <v>40</v>
      </c>
      <c r="O1746" s="1">
        <f>IF(IFERROR(VLOOKUP(car_price_prediction_[[#This Row],[Car ID]],A1747:A4246,1,FALSE),0),1,0)</f>
        <v>0</v>
      </c>
    </row>
    <row r="1747" spans="1:15" x14ac:dyDescent="0.25">
      <c r="A1747">
        <v>1746</v>
      </c>
      <c r="B1747" s="1" t="s">
        <v>30</v>
      </c>
      <c r="C1747" s="1">
        <f>car_price_prediction_[[#This Row],[Year2]]</f>
        <v>2022</v>
      </c>
      <c r="D1747">
        <v>2022</v>
      </c>
      <c r="E1747">
        <f>car_price_prediction_[[#This Row],[Engine Size]]/10</f>
        <v>3.6</v>
      </c>
      <c r="F1747">
        <v>36</v>
      </c>
      <c r="G1747" s="1" t="s">
        <v>21</v>
      </c>
      <c r="H1747" s="1" t="s">
        <v>22</v>
      </c>
      <c r="I1747" s="12">
        <f>car_price_prediction_[[#This Row],[Mileage]]/1000</f>
        <v>265.02600000000001</v>
      </c>
      <c r="J1747" s="5">
        <v>265026</v>
      </c>
      <c r="K1747" s="1" t="s">
        <v>25</v>
      </c>
      <c r="L1747" s="5">
        <f>car_price_prediction_[[#This Row],[Price]]/100</f>
        <v>31996.91</v>
      </c>
      <c r="M1747">
        <v>3199691</v>
      </c>
      <c r="N1747" s="1" t="s">
        <v>45</v>
      </c>
      <c r="O1747" s="1">
        <f>IF(IFERROR(VLOOKUP(car_price_prediction_[[#This Row],[Car ID]],A1748:A4247,1,FALSE),0),1,0)</f>
        <v>0</v>
      </c>
    </row>
    <row r="1748" spans="1:15" x14ac:dyDescent="0.25">
      <c r="A1748">
        <v>1747</v>
      </c>
      <c r="B1748" s="1" t="s">
        <v>15</v>
      </c>
      <c r="C1748" s="1">
        <f>car_price_prediction_[[#This Row],[Year2]]</f>
        <v>2021</v>
      </c>
      <c r="D1748">
        <v>2021</v>
      </c>
      <c r="E1748">
        <f>car_price_prediction_[[#This Row],[Engine Size]]/10</f>
        <v>4.8</v>
      </c>
      <c r="F1748">
        <v>48</v>
      </c>
      <c r="G1748" s="1" t="s">
        <v>29</v>
      </c>
      <c r="H1748" s="1" t="s">
        <v>12</v>
      </c>
      <c r="I1748" s="12">
        <f>car_price_prediction_[[#This Row],[Mileage]]/1000</f>
        <v>180.39400000000001</v>
      </c>
      <c r="J1748" s="5">
        <v>180394</v>
      </c>
      <c r="K1748" s="1" t="s">
        <v>13</v>
      </c>
      <c r="L1748" s="5">
        <f>car_price_prediction_[[#This Row],[Price]]/100</f>
        <v>61180.41</v>
      </c>
      <c r="M1748">
        <v>6118041</v>
      </c>
      <c r="N1748" s="1" t="s">
        <v>39</v>
      </c>
      <c r="O1748" s="1">
        <f>IF(IFERROR(VLOOKUP(car_price_prediction_[[#This Row],[Car ID]],A1749:A4248,1,FALSE),0),1,0)</f>
        <v>0</v>
      </c>
    </row>
    <row r="1749" spans="1:15" x14ac:dyDescent="0.25">
      <c r="A1749">
        <v>1748</v>
      </c>
      <c r="B1749" s="1" t="s">
        <v>24</v>
      </c>
      <c r="C1749" s="1">
        <f>car_price_prediction_[[#This Row],[Year2]]</f>
        <v>2006</v>
      </c>
      <c r="D1749">
        <v>2006</v>
      </c>
      <c r="E1749">
        <f>car_price_prediction_[[#This Row],[Engine Size]]/10</f>
        <v>5.7</v>
      </c>
      <c r="F1749">
        <v>57</v>
      </c>
      <c r="G1749" s="1" t="s">
        <v>29</v>
      </c>
      <c r="H1749" s="1" t="s">
        <v>12</v>
      </c>
      <c r="I1749" s="12">
        <f>car_price_prediction_[[#This Row],[Mileage]]/1000</f>
        <v>129.23599999999999</v>
      </c>
      <c r="J1749" s="5">
        <v>129236</v>
      </c>
      <c r="K1749" s="1" t="s">
        <v>13</v>
      </c>
      <c r="L1749" s="5">
        <f>car_price_prediction_[[#This Row],[Price]]/100</f>
        <v>56940.01</v>
      </c>
      <c r="M1749">
        <v>5694001</v>
      </c>
      <c r="N1749" s="1" t="s">
        <v>26</v>
      </c>
      <c r="O1749" s="1">
        <f>IF(IFERROR(VLOOKUP(car_price_prediction_[[#This Row],[Car ID]],A1750:A4249,1,FALSE),0),1,0)</f>
        <v>0</v>
      </c>
    </row>
    <row r="1750" spans="1:15" x14ac:dyDescent="0.25">
      <c r="A1750">
        <v>1749</v>
      </c>
      <c r="B1750" s="1" t="s">
        <v>19</v>
      </c>
      <c r="C1750" s="1">
        <f>car_price_prediction_[[#This Row],[Year2]]</f>
        <v>2020</v>
      </c>
      <c r="D1750">
        <v>2020</v>
      </c>
      <c r="E1750">
        <f>car_price_prediction_[[#This Row],[Engine Size]]/10</f>
        <v>5.5</v>
      </c>
      <c r="F1750">
        <v>55</v>
      </c>
      <c r="G1750" s="1" t="s">
        <v>16</v>
      </c>
      <c r="H1750" s="1" t="s">
        <v>12</v>
      </c>
      <c r="I1750" s="12">
        <f>car_price_prediction_[[#This Row],[Mileage]]/1000</f>
        <v>271.88900000000001</v>
      </c>
      <c r="J1750" s="5">
        <v>271889</v>
      </c>
      <c r="K1750" s="1" t="s">
        <v>13</v>
      </c>
      <c r="L1750" s="5">
        <f>car_price_prediction_[[#This Row],[Price]]/100</f>
        <v>5791.01</v>
      </c>
      <c r="M1750">
        <v>579101</v>
      </c>
      <c r="N1750" s="1" t="s">
        <v>38</v>
      </c>
      <c r="O1750" s="1">
        <f>IF(IFERROR(VLOOKUP(car_price_prediction_[[#This Row],[Car ID]],A1751:A4250,1,FALSE),0),1,0)</f>
        <v>0</v>
      </c>
    </row>
    <row r="1751" spans="1:15" x14ac:dyDescent="0.25">
      <c r="A1751">
        <v>1750</v>
      </c>
      <c r="B1751" s="1" t="s">
        <v>15</v>
      </c>
      <c r="C1751" s="1">
        <f>car_price_prediction_[[#This Row],[Year2]]</f>
        <v>2006</v>
      </c>
      <c r="D1751">
        <v>2006</v>
      </c>
      <c r="E1751">
        <f>car_price_prediction_[[#This Row],[Engine Size]]/10</f>
        <v>5.0999999999999996</v>
      </c>
      <c r="F1751">
        <v>51</v>
      </c>
      <c r="G1751" s="1" t="s">
        <v>29</v>
      </c>
      <c r="H1751" s="1" t="s">
        <v>12</v>
      </c>
      <c r="I1751" s="12">
        <f>car_price_prediction_[[#This Row],[Mileage]]/1000</f>
        <v>15.861000000000001</v>
      </c>
      <c r="J1751" s="5">
        <v>15861</v>
      </c>
      <c r="K1751" s="1" t="s">
        <v>25</v>
      </c>
      <c r="L1751" s="5">
        <f>car_price_prediction_[[#This Row],[Price]]/100</f>
        <v>73719.070000000007</v>
      </c>
      <c r="M1751">
        <v>7371907</v>
      </c>
      <c r="N1751" s="1" t="s">
        <v>51</v>
      </c>
      <c r="O1751" s="1">
        <f>IF(IFERROR(VLOOKUP(car_price_prediction_[[#This Row],[Car ID]],A1752:A4251,1,FALSE),0),1,0)</f>
        <v>0</v>
      </c>
    </row>
    <row r="1752" spans="1:15" x14ac:dyDescent="0.25">
      <c r="A1752">
        <v>1751</v>
      </c>
      <c r="B1752" s="1" t="s">
        <v>24</v>
      </c>
      <c r="C1752" s="1">
        <f>car_price_prediction_[[#This Row],[Year2]]</f>
        <v>2000</v>
      </c>
      <c r="D1752">
        <v>2000</v>
      </c>
      <c r="E1752">
        <f>car_price_prediction_[[#This Row],[Engine Size]]/10</f>
        <v>5.4</v>
      </c>
      <c r="F1752">
        <v>54</v>
      </c>
      <c r="G1752" s="1" t="s">
        <v>16</v>
      </c>
      <c r="H1752" s="1" t="s">
        <v>22</v>
      </c>
      <c r="I1752" s="12">
        <f>car_price_prediction_[[#This Row],[Mileage]]/1000</f>
        <v>91.706999999999994</v>
      </c>
      <c r="J1752" s="5">
        <v>91707</v>
      </c>
      <c r="K1752" s="1" t="s">
        <v>17</v>
      </c>
      <c r="L1752" s="5">
        <f>car_price_prediction_[[#This Row],[Price]]/100</f>
        <v>41260.39</v>
      </c>
      <c r="M1752">
        <v>4126039</v>
      </c>
      <c r="N1752" s="1" t="s">
        <v>26</v>
      </c>
      <c r="O1752" s="1">
        <f>IF(IFERROR(VLOOKUP(car_price_prediction_[[#This Row],[Car ID]],A1753:A4252,1,FALSE),0),1,0)</f>
        <v>0</v>
      </c>
    </row>
    <row r="1753" spans="1:15" x14ac:dyDescent="0.25">
      <c r="A1753">
        <v>1752</v>
      </c>
      <c r="B1753" s="1" t="s">
        <v>24</v>
      </c>
      <c r="C1753" s="1">
        <f>car_price_prediction_[[#This Row],[Year2]]</f>
        <v>2016</v>
      </c>
      <c r="D1753">
        <v>2016</v>
      </c>
      <c r="E1753">
        <f>car_price_prediction_[[#This Row],[Engine Size]]/10</f>
        <v>2</v>
      </c>
      <c r="F1753">
        <v>20</v>
      </c>
      <c r="G1753" s="1" t="s">
        <v>21</v>
      </c>
      <c r="H1753" s="1" t="s">
        <v>12</v>
      </c>
      <c r="I1753" s="12">
        <f>car_price_prediction_[[#This Row],[Mileage]]/1000</f>
        <v>255.04300000000001</v>
      </c>
      <c r="J1753" s="5">
        <v>255043</v>
      </c>
      <c r="K1753" s="1" t="s">
        <v>13</v>
      </c>
      <c r="L1753" s="5">
        <f>car_price_prediction_[[#This Row],[Price]]/100</f>
        <v>3531.45</v>
      </c>
      <c r="M1753">
        <v>353145</v>
      </c>
      <c r="N1753" s="1" t="s">
        <v>26</v>
      </c>
      <c r="O1753" s="1">
        <f>IF(IFERROR(VLOOKUP(car_price_prediction_[[#This Row],[Car ID]],A1754:A4253,1,FALSE),0),1,0)</f>
        <v>0</v>
      </c>
    </row>
    <row r="1754" spans="1:15" x14ac:dyDescent="0.25">
      <c r="A1754">
        <v>1753</v>
      </c>
      <c r="B1754" s="1" t="s">
        <v>43</v>
      </c>
      <c r="C1754" s="1">
        <f>car_price_prediction_[[#This Row],[Year2]]</f>
        <v>2008</v>
      </c>
      <c r="D1754">
        <v>2008</v>
      </c>
      <c r="E1754">
        <f>car_price_prediction_[[#This Row],[Engine Size]]/10</f>
        <v>2.4</v>
      </c>
      <c r="F1754">
        <v>24</v>
      </c>
      <c r="G1754" s="1" t="s">
        <v>16</v>
      </c>
      <c r="H1754" s="1" t="s">
        <v>12</v>
      </c>
      <c r="I1754" s="12">
        <f>car_price_prediction_[[#This Row],[Mileage]]/1000</f>
        <v>133.90899999999999</v>
      </c>
      <c r="J1754" s="5">
        <v>133909</v>
      </c>
      <c r="K1754" s="1" t="s">
        <v>17</v>
      </c>
      <c r="L1754" s="5">
        <f>car_price_prediction_[[#This Row],[Price]]/100</f>
        <v>86019.28</v>
      </c>
      <c r="M1754">
        <v>8601928</v>
      </c>
      <c r="N1754" s="1" t="s">
        <v>44</v>
      </c>
      <c r="O1754" s="1">
        <f>IF(IFERROR(VLOOKUP(car_price_prediction_[[#This Row],[Car ID]],A1755:A4254,1,FALSE),0),1,0)</f>
        <v>0</v>
      </c>
    </row>
    <row r="1755" spans="1:15" x14ac:dyDescent="0.25">
      <c r="A1755">
        <v>1754</v>
      </c>
      <c r="B1755" s="1" t="s">
        <v>19</v>
      </c>
      <c r="C1755" s="1">
        <f>car_price_prediction_[[#This Row],[Year2]]</f>
        <v>2020</v>
      </c>
      <c r="D1755">
        <v>2020</v>
      </c>
      <c r="E1755">
        <f>car_price_prediction_[[#This Row],[Engine Size]]/10</f>
        <v>2.4</v>
      </c>
      <c r="F1755">
        <v>24</v>
      </c>
      <c r="G1755" s="1" t="s">
        <v>11</v>
      </c>
      <c r="H1755" s="1" t="s">
        <v>12</v>
      </c>
      <c r="I1755" s="12">
        <f>car_price_prediction_[[#This Row],[Mileage]]/1000</f>
        <v>54.38</v>
      </c>
      <c r="J1755" s="5">
        <v>54380</v>
      </c>
      <c r="K1755" s="1" t="s">
        <v>25</v>
      </c>
      <c r="L1755" s="5">
        <f>car_price_prediction_[[#This Row],[Price]]/100</f>
        <v>25909.03</v>
      </c>
      <c r="M1755">
        <v>2590903</v>
      </c>
      <c r="N1755" s="1" t="s">
        <v>20</v>
      </c>
      <c r="O1755" s="1">
        <f>IF(IFERROR(VLOOKUP(car_price_prediction_[[#This Row],[Car ID]],A1756:A4255,1,FALSE),0),1,0)</f>
        <v>0</v>
      </c>
    </row>
    <row r="1756" spans="1:15" x14ac:dyDescent="0.25">
      <c r="A1756">
        <v>1755</v>
      </c>
      <c r="B1756" s="1" t="s">
        <v>43</v>
      </c>
      <c r="C1756" s="1">
        <f>car_price_prediction_[[#This Row],[Year2]]</f>
        <v>2012</v>
      </c>
      <c r="D1756">
        <v>2012</v>
      </c>
      <c r="E1756">
        <f>car_price_prediction_[[#This Row],[Engine Size]]/10</f>
        <v>2.9</v>
      </c>
      <c r="F1756">
        <v>29</v>
      </c>
      <c r="G1756" s="1" t="s">
        <v>21</v>
      </c>
      <c r="H1756" s="1" t="s">
        <v>12</v>
      </c>
      <c r="I1756" s="12">
        <f>car_price_prediction_[[#This Row],[Mileage]]/1000</f>
        <v>105.02500000000001</v>
      </c>
      <c r="J1756" s="5">
        <v>105025</v>
      </c>
      <c r="K1756" s="1" t="s">
        <v>25</v>
      </c>
      <c r="L1756" s="5">
        <f>car_price_prediction_[[#This Row],[Price]]/100</f>
        <v>22123.37</v>
      </c>
      <c r="M1756">
        <v>2212337</v>
      </c>
      <c r="N1756" s="1" t="s">
        <v>47</v>
      </c>
      <c r="O1756" s="1">
        <f>IF(IFERROR(VLOOKUP(car_price_prediction_[[#This Row],[Car ID]],A1757:A4256,1,FALSE),0),1,0)</f>
        <v>0</v>
      </c>
    </row>
    <row r="1757" spans="1:15" x14ac:dyDescent="0.25">
      <c r="A1757">
        <v>1756</v>
      </c>
      <c r="B1757" s="1" t="s">
        <v>30</v>
      </c>
      <c r="C1757" s="1">
        <f>car_price_prediction_[[#This Row],[Year2]]</f>
        <v>2020</v>
      </c>
      <c r="D1757">
        <v>2020</v>
      </c>
      <c r="E1757">
        <f>car_price_prediction_[[#This Row],[Engine Size]]/10</f>
        <v>3</v>
      </c>
      <c r="F1757">
        <v>30</v>
      </c>
      <c r="G1757" s="1" t="s">
        <v>21</v>
      </c>
      <c r="H1757" s="1" t="s">
        <v>12</v>
      </c>
      <c r="I1757" s="12">
        <f>car_price_prediction_[[#This Row],[Mileage]]/1000</f>
        <v>180.90299999999999</v>
      </c>
      <c r="J1757" s="5">
        <v>180903</v>
      </c>
      <c r="K1757" s="1" t="s">
        <v>13</v>
      </c>
      <c r="L1757" s="5">
        <f>car_price_prediction_[[#This Row],[Price]]/100</f>
        <v>6482.71</v>
      </c>
      <c r="M1757">
        <v>648271</v>
      </c>
      <c r="N1757" s="1" t="s">
        <v>31</v>
      </c>
      <c r="O1757" s="1">
        <f>IF(IFERROR(VLOOKUP(car_price_prediction_[[#This Row],[Car ID]],A1758:A4257,1,FALSE),0),1,0)</f>
        <v>0</v>
      </c>
    </row>
    <row r="1758" spans="1:15" x14ac:dyDescent="0.25">
      <c r="A1758">
        <v>1757</v>
      </c>
      <c r="B1758" s="1" t="s">
        <v>43</v>
      </c>
      <c r="C1758" s="1">
        <f>car_price_prediction_[[#This Row],[Year2]]</f>
        <v>2018</v>
      </c>
      <c r="D1758">
        <v>2018</v>
      </c>
      <c r="E1758">
        <f>car_price_prediction_[[#This Row],[Engine Size]]/10</f>
        <v>3.7</v>
      </c>
      <c r="F1758">
        <v>37</v>
      </c>
      <c r="G1758" s="1" t="s">
        <v>16</v>
      </c>
      <c r="H1758" s="1" t="s">
        <v>12</v>
      </c>
      <c r="I1758" s="12">
        <f>car_price_prediction_[[#This Row],[Mileage]]/1000</f>
        <v>220.42099999999999</v>
      </c>
      <c r="J1758" s="5">
        <v>220421</v>
      </c>
      <c r="K1758" s="1" t="s">
        <v>17</v>
      </c>
      <c r="L1758" s="5">
        <f>car_price_prediction_[[#This Row],[Price]]/100</f>
        <v>25004.89</v>
      </c>
      <c r="M1758">
        <v>2500489</v>
      </c>
      <c r="N1758" s="1" t="s">
        <v>47</v>
      </c>
      <c r="O1758" s="1">
        <f>IF(IFERROR(VLOOKUP(car_price_prediction_[[#This Row],[Car ID]],A1759:A4258,1,FALSE),0),1,0)</f>
        <v>0</v>
      </c>
    </row>
    <row r="1759" spans="1:15" x14ac:dyDescent="0.25">
      <c r="A1759">
        <v>1758</v>
      </c>
      <c r="B1759" s="1" t="s">
        <v>10</v>
      </c>
      <c r="C1759" s="1">
        <f>car_price_prediction_[[#This Row],[Year2]]</f>
        <v>2020</v>
      </c>
      <c r="D1759">
        <v>2020</v>
      </c>
      <c r="E1759">
        <f>car_price_prediction_[[#This Row],[Engine Size]]/10</f>
        <v>1.8</v>
      </c>
      <c r="F1759">
        <v>18</v>
      </c>
      <c r="G1759" s="1" t="s">
        <v>21</v>
      </c>
      <c r="H1759" s="1" t="s">
        <v>12</v>
      </c>
      <c r="I1759" s="12">
        <f>car_price_prediction_[[#This Row],[Mileage]]/1000</f>
        <v>244.49700000000001</v>
      </c>
      <c r="J1759" s="5">
        <v>244497</v>
      </c>
      <c r="K1759" s="1" t="s">
        <v>13</v>
      </c>
      <c r="L1759" s="5">
        <f>car_price_prediction_[[#This Row],[Price]]/100</f>
        <v>54260.49</v>
      </c>
      <c r="M1759">
        <v>5426049</v>
      </c>
      <c r="N1759" s="1" t="s">
        <v>33</v>
      </c>
      <c r="O1759" s="1">
        <f>IF(IFERROR(VLOOKUP(car_price_prediction_[[#This Row],[Car ID]],A1760:A4259,1,FALSE),0),1,0)</f>
        <v>0</v>
      </c>
    </row>
    <row r="1760" spans="1:15" x14ac:dyDescent="0.25">
      <c r="A1760">
        <v>1759</v>
      </c>
      <c r="B1760" s="1" t="s">
        <v>43</v>
      </c>
      <c r="C1760" s="1">
        <f>car_price_prediction_[[#This Row],[Year2]]</f>
        <v>2018</v>
      </c>
      <c r="D1760">
        <v>2018</v>
      </c>
      <c r="E1760">
        <f>car_price_prediction_[[#This Row],[Engine Size]]/10</f>
        <v>4.5</v>
      </c>
      <c r="F1760">
        <v>45</v>
      </c>
      <c r="G1760" s="1" t="s">
        <v>29</v>
      </c>
      <c r="H1760" s="1" t="s">
        <v>22</v>
      </c>
      <c r="I1760" s="12">
        <f>car_price_prediction_[[#This Row],[Mileage]]/1000</f>
        <v>160.59200000000001</v>
      </c>
      <c r="J1760" s="5">
        <v>160592</v>
      </c>
      <c r="K1760" s="1" t="s">
        <v>25</v>
      </c>
      <c r="L1760" s="5">
        <f>car_price_prediction_[[#This Row],[Price]]/100</f>
        <v>56158.34</v>
      </c>
      <c r="M1760">
        <v>5615834</v>
      </c>
      <c r="N1760" s="1" t="s">
        <v>44</v>
      </c>
      <c r="O1760" s="1">
        <f>IF(IFERROR(VLOOKUP(car_price_prediction_[[#This Row],[Car ID]],A1761:A4260,1,FALSE),0),1,0)</f>
        <v>0</v>
      </c>
    </row>
    <row r="1761" spans="1:15" x14ac:dyDescent="0.25">
      <c r="A1761">
        <v>1760</v>
      </c>
      <c r="B1761" s="1" t="s">
        <v>10</v>
      </c>
      <c r="C1761" s="1">
        <f>car_price_prediction_[[#This Row],[Year2]]</f>
        <v>2021</v>
      </c>
      <c r="D1761">
        <v>2021</v>
      </c>
      <c r="E1761">
        <f>car_price_prediction_[[#This Row],[Engine Size]]/10</f>
        <v>1.8</v>
      </c>
      <c r="F1761">
        <v>18</v>
      </c>
      <c r="G1761" s="1" t="s">
        <v>11</v>
      </c>
      <c r="H1761" s="1" t="s">
        <v>22</v>
      </c>
      <c r="I1761" s="12">
        <f>car_price_prediction_[[#This Row],[Mileage]]/1000</f>
        <v>44.396999999999998</v>
      </c>
      <c r="J1761" s="5">
        <v>44397</v>
      </c>
      <c r="K1761" s="1" t="s">
        <v>17</v>
      </c>
      <c r="L1761" s="5">
        <f>car_price_prediction_[[#This Row],[Price]]/100</f>
        <v>29169.95</v>
      </c>
      <c r="M1761">
        <v>2916995</v>
      </c>
      <c r="N1761" s="1" t="s">
        <v>49</v>
      </c>
      <c r="O1761" s="1">
        <f>IF(IFERROR(VLOOKUP(car_price_prediction_[[#This Row],[Car ID]],A1762:A4261,1,FALSE),0),1,0)</f>
        <v>0</v>
      </c>
    </row>
    <row r="1762" spans="1:15" x14ac:dyDescent="0.25">
      <c r="A1762">
        <v>1761</v>
      </c>
      <c r="B1762" s="1" t="s">
        <v>15</v>
      </c>
      <c r="C1762" s="1">
        <f>car_price_prediction_[[#This Row],[Year2]]</f>
        <v>2016</v>
      </c>
      <c r="D1762">
        <v>2016</v>
      </c>
      <c r="E1762">
        <f>car_price_prediction_[[#This Row],[Engine Size]]/10</f>
        <v>2.6</v>
      </c>
      <c r="F1762">
        <v>26</v>
      </c>
      <c r="G1762" s="1" t="s">
        <v>16</v>
      </c>
      <c r="H1762" s="1" t="s">
        <v>22</v>
      </c>
      <c r="I1762" s="12">
        <f>car_price_prediction_[[#This Row],[Mileage]]/1000</f>
        <v>277.13200000000001</v>
      </c>
      <c r="J1762" s="5">
        <v>277132</v>
      </c>
      <c r="K1762" s="1" t="s">
        <v>13</v>
      </c>
      <c r="L1762" s="5">
        <f>car_price_prediction_[[#This Row],[Price]]/100</f>
        <v>11866.05</v>
      </c>
      <c r="M1762">
        <v>1186605</v>
      </c>
      <c r="N1762" s="1" t="s">
        <v>18</v>
      </c>
      <c r="O1762" s="1">
        <f>IF(IFERROR(VLOOKUP(car_price_prediction_[[#This Row],[Car ID]],A1763:A4262,1,FALSE),0),1,0)</f>
        <v>0</v>
      </c>
    </row>
    <row r="1763" spans="1:15" x14ac:dyDescent="0.25">
      <c r="A1763">
        <v>1762</v>
      </c>
      <c r="B1763" s="1" t="s">
        <v>36</v>
      </c>
      <c r="C1763" s="1">
        <f>car_price_prediction_[[#This Row],[Year2]]</f>
        <v>2022</v>
      </c>
      <c r="D1763">
        <v>2022</v>
      </c>
      <c r="E1763">
        <f>car_price_prediction_[[#This Row],[Engine Size]]/10</f>
        <v>3.5</v>
      </c>
      <c r="F1763">
        <v>35</v>
      </c>
      <c r="G1763" s="1" t="s">
        <v>16</v>
      </c>
      <c r="H1763" s="1" t="s">
        <v>12</v>
      </c>
      <c r="I1763" s="12">
        <f>car_price_prediction_[[#This Row],[Mileage]]/1000</f>
        <v>158.79499999999999</v>
      </c>
      <c r="J1763" s="5">
        <v>158795</v>
      </c>
      <c r="K1763" s="1" t="s">
        <v>25</v>
      </c>
      <c r="L1763" s="5">
        <f>car_price_prediction_[[#This Row],[Price]]/100</f>
        <v>75740.88</v>
      </c>
      <c r="M1763">
        <v>7574088</v>
      </c>
      <c r="N1763" s="1" t="s">
        <v>46</v>
      </c>
      <c r="O1763" s="1">
        <f>IF(IFERROR(VLOOKUP(car_price_prediction_[[#This Row],[Car ID]],A1764:A4263,1,FALSE),0),1,0)</f>
        <v>0</v>
      </c>
    </row>
    <row r="1764" spans="1:15" x14ac:dyDescent="0.25">
      <c r="A1764">
        <v>1763</v>
      </c>
      <c r="B1764" s="1" t="s">
        <v>24</v>
      </c>
      <c r="C1764" s="1">
        <f>car_price_prediction_[[#This Row],[Year2]]</f>
        <v>2022</v>
      </c>
      <c r="D1764">
        <v>2022</v>
      </c>
      <c r="E1764">
        <f>car_price_prediction_[[#This Row],[Engine Size]]/10</f>
        <v>5</v>
      </c>
      <c r="F1764">
        <v>50</v>
      </c>
      <c r="G1764" s="1" t="s">
        <v>21</v>
      </c>
      <c r="H1764" s="1" t="s">
        <v>22</v>
      </c>
      <c r="I1764" s="12">
        <f>car_price_prediction_[[#This Row],[Mileage]]/1000</f>
        <v>33.799999999999997</v>
      </c>
      <c r="J1764" s="5">
        <v>33800</v>
      </c>
      <c r="K1764" s="1" t="s">
        <v>13</v>
      </c>
      <c r="L1764" s="5">
        <f>car_price_prediction_[[#This Row],[Price]]/100</f>
        <v>77007.66</v>
      </c>
      <c r="M1764">
        <v>7700766</v>
      </c>
      <c r="N1764" s="1" t="s">
        <v>34</v>
      </c>
      <c r="O1764" s="1">
        <f>IF(IFERROR(VLOOKUP(car_price_prediction_[[#This Row],[Car ID]],A1765:A4264,1,FALSE),0),1,0)</f>
        <v>0</v>
      </c>
    </row>
    <row r="1765" spans="1:15" x14ac:dyDescent="0.25">
      <c r="A1765">
        <v>1764</v>
      </c>
      <c r="B1765" s="1" t="s">
        <v>10</v>
      </c>
      <c r="C1765" s="1">
        <f>car_price_prediction_[[#This Row],[Year2]]</f>
        <v>2009</v>
      </c>
      <c r="D1765">
        <v>2009</v>
      </c>
      <c r="E1765">
        <f>car_price_prediction_[[#This Row],[Engine Size]]/10</f>
        <v>4.7</v>
      </c>
      <c r="F1765">
        <v>47</v>
      </c>
      <c r="G1765" s="1" t="s">
        <v>29</v>
      </c>
      <c r="H1765" s="1" t="s">
        <v>12</v>
      </c>
      <c r="I1765" s="12">
        <f>car_price_prediction_[[#This Row],[Mileage]]/1000</f>
        <v>158.50200000000001</v>
      </c>
      <c r="J1765" s="5">
        <v>158502</v>
      </c>
      <c r="K1765" s="1" t="s">
        <v>17</v>
      </c>
      <c r="L1765" s="5">
        <f>car_price_prediction_[[#This Row],[Price]]/100</f>
        <v>99794.46</v>
      </c>
      <c r="M1765">
        <v>9979446</v>
      </c>
      <c r="N1765" s="1" t="s">
        <v>33</v>
      </c>
      <c r="O1765" s="1">
        <f>IF(IFERROR(VLOOKUP(car_price_prediction_[[#This Row],[Car ID]],A1766:A4265,1,FALSE),0),1,0)</f>
        <v>0</v>
      </c>
    </row>
    <row r="1766" spans="1:15" x14ac:dyDescent="0.25">
      <c r="A1766">
        <v>1765</v>
      </c>
      <c r="B1766" s="1" t="s">
        <v>19</v>
      </c>
      <c r="C1766" s="1">
        <f>car_price_prediction_[[#This Row],[Year2]]</f>
        <v>2009</v>
      </c>
      <c r="D1766">
        <v>2009</v>
      </c>
      <c r="E1766">
        <f>car_price_prediction_[[#This Row],[Engine Size]]/10</f>
        <v>4.2</v>
      </c>
      <c r="F1766">
        <v>42</v>
      </c>
      <c r="G1766" s="1" t="s">
        <v>21</v>
      </c>
      <c r="H1766" s="1" t="s">
        <v>12</v>
      </c>
      <c r="I1766" s="12">
        <f>car_price_prediction_[[#This Row],[Mileage]]/1000</f>
        <v>199.548</v>
      </c>
      <c r="J1766" s="5">
        <v>199548</v>
      </c>
      <c r="K1766" s="1" t="s">
        <v>17</v>
      </c>
      <c r="L1766" s="5">
        <f>car_price_prediction_[[#This Row],[Price]]/100</f>
        <v>90502.81</v>
      </c>
      <c r="M1766">
        <v>9050281</v>
      </c>
      <c r="N1766" s="1" t="s">
        <v>27</v>
      </c>
      <c r="O1766" s="1">
        <f>IF(IFERROR(VLOOKUP(car_price_prediction_[[#This Row],[Car ID]],A1767:A4266,1,FALSE),0),1,0)</f>
        <v>0</v>
      </c>
    </row>
    <row r="1767" spans="1:15" x14ac:dyDescent="0.25">
      <c r="A1767">
        <v>1766</v>
      </c>
      <c r="B1767" s="1" t="s">
        <v>43</v>
      </c>
      <c r="C1767" s="1">
        <f>car_price_prediction_[[#This Row],[Year2]]</f>
        <v>2003</v>
      </c>
      <c r="D1767">
        <v>2003</v>
      </c>
      <c r="E1767">
        <f>car_price_prediction_[[#This Row],[Engine Size]]/10</f>
        <v>1.8</v>
      </c>
      <c r="F1767">
        <v>18</v>
      </c>
      <c r="G1767" s="1" t="s">
        <v>21</v>
      </c>
      <c r="H1767" s="1" t="s">
        <v>12</v>
      </c>
      <c r="I1767" s="12">
        <f>car_price_prediction_[[#This Row],[Mileage]]/1000</f>
        <v>257.65300000000002</v>
      </c>
      <c r="J1767" s="5">
        <v>257653</v>
      </c>
      <c r="K1767" s="1" t="s">
        <v>17</v>
      </c>
      <c r="L1767" s="5">
        <f>car_price_prediction_[[#This Row],[Price]]/100</f>
        <v>9297.59</v>
      </c>
      <c r="M1767">
        <v>929759</v>
      </c>
      <c r="N1767" s="1" t="s">
        <v>44</v>
      </c>
      <c r="O1767" s="1">
        <f>IF(IFERROR(VLOOKUP(car_price_prediction_[[#This Row],[Car ID]],A1768:A4267,1,FALSE),0),1,0)</f>
        <v>0</v>
      </c>
    </row>
    <row r="1768" spans="1:15" x14ac:dyDescent="0.25">
      <c r="A1768">
        <v>1767</v>
      </c>
      <c r="B1768" s="1" t="s">
        <v>10</v>
      </c>
      <c r="C1768" s="1">
        <f>car_price_prediction_[[#This Row],[Year2]]</f>
        <v>2007</v>
      </c>
      <c r="D1768">
        <v>2007</v>
      </c>
      <c r="E1768">
        <f>car_price_prediction_[[#This Row],[Engine Size]]/10</f>
        <v>3.7</v>
      </c>
      <c r="F1768">
        <v>37</v>
      </c>
      <c r="G1768" s="1" t="s">
        <v>16</v>
      </c>
      <c r="H1768" s="1" t="s">
        <v>12</v>
      </c>
      <c r="I1768" s="12">
        <f>car_price_prediction_[[#This Row],[Mileage]]/1000</f>
        <v>52.283999999999999</v>
      </c>
      <c r="J1768" s="5">
        <v>52284</v>
      </c>
      <c r="K1768" s="1" t="s">
        <v>17</v>
      </c>
      <c r="L1768" s="5">
        <f>car_price_prediction_[[#This Row],[Price]]/100</f>
        <v>80829.36</v>
      </c>
      <c r="M1768">
        <v>8082936</v>
      </c>
      <c r="N1768" s="1" t="s">
        <v>33</v>
      </c>
      <c r="O1768" s="1">
        <f>IF(IFERROR(VLOOKUP(car_price_prediction_[[#This Row],[Car ID]],A1769:A4268,1,FALSE),0),1,0)</f>
        <v>0</v>
      </c>
    </row>
    <row r="1769" spans="1:15" x14ac:dyDescent="0.25">
      <c r="A1769">
        <v>1768</v>
      </c>
      <c r="B1769" s="1" t="s">
        <v>19</v>
      </c>
      <c r="C1769" s="1">
        <f>car_price_prediction_[[#This Row],[Year2]]</f>
        <v>2021</v>
      </c>
      <c r="D1769">
        <v>2021</v>
      </c>
      <c r="E1769">
        <f>car_price_prediction_[[#This Row],[Engine Size]]/10</f>
        <v>1.4</v>
      </c>
      <c r="F1769">
        <v>14</v>
      </c>
      <c r="G1769" s="1" t="s">
        <v>21</v>
      </c>
      <c r="H1769" s="1" t="s">
        <v>22</v>
      </c>
      <c r="I1769" s="12">
        <f>car_price_prediction_[[#This Row],[Mileage]]/1000</f>
        <v>56.231999999999999</v>
      </c>
      <c r="J1769" s="5">
        <v>56232</v>
      </c>
      <c r="K1769" s="1" t="s">
        <v>17</v>
      </c>
      <c r="L1769" s="5">
        <f>car_price_prediction_[[#This Row],[Price]]/100</f>
        <v>63472.77</v>
      </c>
      <c r="M1769">
        <v>6347277</v>
      </c>
      <c r="N1769" s="1" t="s">
        <v>20</v>
      </c>
      <c r="O1769" s="1">
        <f>IF(IFERROR(VLOOKUP(car_price_prediction_[[#This Row],[Car ID]],A1770:A4269,1,FALSE),0),1,0)</f>
        <v>0</v>
      </c>
    </row>
    <row r="1770" spans="1:15" x14ac:dyDescent="0.25">
      <c r="A1770">
        <v>1769</v>
      </c>
      <c r="B1770" s="1" t="s">
        <v>36</v>
      </c>
      <c r="C1770" s="1">
        <f>car_price_prediction_[[#This Row],[Year2]]</f>
        <v>2019</v>
      </c>
      <c r="D1770">
        <v>2019</v>
      </c>
      <c r="E1770">
        <f>car_price_prediction_[[#This Row],[Engine Size]]/10</f>
        <v>2.9</v>
      </c>
      <c r="F1770">
        <v>29</v>
      </c>
      <c r="G1770" s="1" t="s">
        <v>11</v>
      </c>
      <c r="H1770" s="1" t="s">
        <v>12</v>
      </c>
      <c r="I1770" s="12">
        <f>car_price_prediction_[[#This Row],[Mileage]]/1000</f>
        <v>44.42</v>
      </c>
      <c r="J1770" s="5">
        <v>44420</v>
      </c>
      <c r="K1770" s="1" t="s">
        <v>13</v>
      </c>
      <c r="L1770" s="5">
        <f>car_price_prediction_[[#This Row],[Price]]/100</f>
        <v>17211.87</v>
      </c>
      <c r="M1770">
        <v>1721187</v>
      </c>
      <c r="N1770" s="1" t="s">
        <v>41</v>
      </c>
      <c r="O1770" s="1">
        <f>IF(IFERROR(VLOOKUP(car_price_prediction_[[#This Row],[Car ID]],A1771:A4270,1,FALSE),0),1,0)</f>
        <v>0</v>
      </c>
    </row>
    <row r="1771" spans="1:15" x14ac:dyDescent="0.25">
      <c r="A1771">
        <v>1770</v>
      </c>
      <c r="B1771" s="1" t="s">
        <v>36</v>
      </c>
      <c r="C1771" s="1">
        <f>car_price_prediction_[[#This Row],[Year2]]</f>
        <v>2019</v>
      </c>
      <c r="D1771">
        <v>2019</v>
      </c>
      <c r="E1771">
        <f>car_price_prediction_[[#This Row],[Engine Size]]/10</f>
        <v>3.1</v>
      </c>
      <c r="F1771">
        <v>31</v>
      </c>
      <c r="G1771" s="1" t="s">
        <v>21</v>
      </c>
      <c r="H1771" s="1" t="s">
        <v>12</v>
      </c>
      <c r="I1771" s="12">
        <f>car_price_prediction_[[#This Row],[Mileage]]/1000</f>
        <v>299.85399999999998</v>
      </c>
      <c r="J1771" s="5">
        <v>299854</v>
      </c>
      <c r="K1771" s="1" t="s">
        <v>13</v>
      </c>
      <c r="L1771" s="5">
        <f>car_price_prediction_[[#This Row],[Price]]/100</f>
        <v>64119.76</v>
      </c>
      <c r="M1771">
        <v>6411976</v>
      </c>
      <c r="N1771" s="1" t="s">
        <v>37</v>
      </c>
      <c r="O1771" s="1">
        <f>IF(IFERROR(VLOOKUP(car_price_prediction_[[#This Row],[Car ID]],A1772:A4271,1,FALSE),0),1,0)</f>
        <v>0</v>
      </c>
    </row>
    <row r="1772" spans="1:15" x14ac:dyDescent="0.25">
      <c r="A1772">
        <v>1771</v>
      </c>
      <c r="B1772" s="1" t="s">
        <v>43</v>
      </c>
      <c r="C1772" s="1">
        <f>car_price_prediction_[[#This Row],[Year2]]</f>
        <v>2017</v>
      </c>
      <c r="D1772">
        <v>2017</v>
      </c>
      <c r="E1772">
        <f>car_price_prediction_[[#This Row],[Engine Size]]/10</f>
        <v>1.2</v>
      </c>
      <c r="F1772">
        <v>12</v>
      </c>
      <c r="G1772" s="1" t="s">
        <v>21</v>
      </c>
      <c r="H1772" s="1" t="s">
        <v>22</v>
      </c>
      <c r="I1772" s="12">
        <f>car_price_prediction_[[#This Row],[Mileage]]/1000</f>
        <v>92.034999999999997</v>
      </c>
      <c r="J1772" s="5">
        <v>92035</v>
      </c>
      <c r="K1772" s="1" t="s">
        <v>13</v>
      </c>
      <c r="L1772" s="5">
        <f>car_price_prediction_[[#This Row],[Price]]/100</f>
        <v>10315.81</v>
      </c>
      <c r="M1772">
        <v>1031581</v>
      </c>
      <c r="N1772" s="1" t="s">
        <v>44</v>
      </c>
      <c r="O1772" s="1">
        <f>IF(IFERROR(VLOOKUP(car_price_prediction_[[#This Row],[Car ID]],A1773:A4272,1,FALSE),0),1,0)</f>
        <v>0</v>
      </c>
    </row>
    <row r="1773" spans="1:15" x14ac:dyDescent="0.25">
      <c r="A1773">
        <v>1772</v>
      </c>
      <c r="B1773" s="1" t="s">
        <v>30</v>
      </c>
      <c r="C1773" s="1">
        <f>car_price_prediction_[[#This Row],[Year2]]</f>
        <v>2013</v>
      </c>
      <c r="D1773">
        <v>2013</v>
      </c>
      <c r="E1773">
        <f>car_price_prediction_[[#This Row],[Engine Size]]/10</f>
        <v>2.4</v>
      </c>
      <c r="F1773">
        <v>24</v>
      </c>
      <c r="G1773" s="1" t="s">
        <v>16</v>
      </c>
      <c r="H1773" s="1" t="s">
        <v>22</v>
      </c>
      <c r="I1773" s="12">
        <f>car_price_prediction_[[#This Row],[Mileage]]/1000</f>
        <v>293.42700000000002</v>
      </c>
      <c r="J1773" s="5">
        <v>293427</v>
      </c>
      <c r="K1773" s="1" t="s">
        <v>13</v>
      </c>
      <c r="L1773" s="5">
        <f>car_price_prediction_[[#This Row],[Price]]/100</f>
        <v>89103.42</v>
      </c>
      <c r="M1773">
        <v>8910342</v>
      </c>
      <c r="N1773" s="1" t="s">
        <v>42</v>
      </c>
      <c r="O1773" s="1">
        <f>IF(IFERROR(VLOOKUP(car_price_prediction_[[#This Row],[Car ID]],A1774:A4273,1,FALSE),0),1,0)</f>
        <v>0</v>
      </c>
    </row>
    <row r="1774" spans="1:15" x14ac:dyDescent="0.25">
      <c r="A1774">
        <v>1773</v>
      </c>
      <c r="B1774" s="1" t="s">
        <v>43</v>
      </c>
      <c r="C1774" s="1">
        <f>car_price_prediction_[[#This Row],[Year2]]</f>
        <v>2017</v>
      </c>
      <c r="D1774">
        <v>2017</v>
      </c>
      <c r="E1774">
        <f>car_price_prediction_[[#This Row],[Engine Size]]/10</f>
        <v>5.8</v>
      </c>
      <c r="F1774">
        <v>58</v>
      </c>
      <c r="G1774" s="1" t="s">
        <v>21</v>
      </c>
      <c r="H1774" s="1" t="s">
        <v>22</v>
      </c>
      <c r="I1774" s="12">
        <f>car_price_prediction_[[#This Row],[Mileage]]/1000</f>
        <v>197.24100000000001</v>
      </c>
      <c r="J1774" s="5">
        <v>197241</v>
      </c>
      <c r="K1774" s="1" t="s">
        <v>25</v>
      </c>
      <c r="L1774" s="5">
        <f>car_price_prediction_[[#This Row],[Price]]/100</f>
        <v>50773.03</v>
      </c>
      <c r="M1774">
        <v>5077303</v>
      </c>
      <c r="N1774" s="1" t="s">
        <v>47</v>
      </c>
      <c r="O1774" s="1">
        <f>IF(IFERROR(VLOOKUP(car_price_prediction_[[#This Row],[Car ID]],A1775:A4274,1,FALSE),0),1,0)</f>
        <v>0</v>
      </c>
    </row>
    <row r="1775" spans="1:15" x14ac:dyDescent="0.25">
      <c r="A1775">
        <v>1774</v>
      </c>
      <c r="B1775" s="1" t="s">
        <v>15</v>
      </c>
      <c r="C1775" s="1">
        <f>car_price_prediction_[[#This Row],[Year2]]</f>
        <v>2013</v>
      </c>
      <c r="D1775">
        <v>2013</v>
      </c>
      <c r="E1775">
        <f>car_price_prediction_[[#This Row],[Engine Size]]/10</f>
        <v>5.8</v>
      </c>
      <c r="F1775">
        <v>58</v>
      </c>
      <c r="G1775" s="1" t="s">
        <v>29</v>
      </c>
      <c r="H1775" s="1" t="s">
        <v>12</v>
      </c>
      <c r="I1775" s="12">
        <f>car_price_prediction_[[#This Row],[Mileage]]/1000</f>
        <v>193.529</v>
      </c>
      <c r="J1775" s="5">
        <v>193529</v>
      </c>
      <c r="K1775" s="1" t="s">
        <v>25</v>
      </c>
      <c r="L1775" s="5">
        <f>car_price_prediction_[[#This Row],[Price]]/100</f>
        <v>71259.92</v>
      </c>
      <c r="M1775">
        <v>7125992</v>
      </c>
      <c r="N1775" s="1" t="s">
        <v>51</v>
      </c>
      <c r="O1775" s="1">
        <f>IF(IFERROR(VLOOKUP(car_price_prediction_[[#This Row],[Car ID]],A1776:A4275,1,FALSE),0),1,0)</f>
        <v>0</v>
      </c>
    </row>
    <row r="1776" spans="1:15" x14ac:dyDescent="0.25">
      <c r="A1776">
        <v>1775</v>
      </c>
      <c r="B1776" s="1" t="s">
        <v>10</v>
      </c>
      <c r="C1776" s="1">
        <f>car_price_prediction_[[#This Row],[Year2]]</f>
        <v>2019</v>
      </c>
      <c r="D1776">
        <v>2019</v>
      </c>
      <c r="E1776">
        <f>car_price_prediction_[[#This Row],[Engine Size]]/10</f>
        <v>2.8</v>
      </c>
      <c r="F1776">
        <v>28</v>
      </c>
      <c r="G1776" s="1" t="s">
        <v>16</v>
      </c>
      <c r="H1776" s="1" t="s">
        <v>22</v>
      </c>
      <c r="I1776" s="12">
        <f>car_price_prediction_[[#This Row],[Mileage]]/1000</f>
        <v>249.863</v>
      </c>
      <c r="J1776" s="5">
        <v>249863</v>
      </c>
      <c r="K1776" s="1" t="s">
        <v>13</v>
      </c>
      <c r="L1776" s="5">
        <f>car_price_prediction_[[#This Row],[Price]]/100</f>
        <v>9963.15</v>
      </c>
      <c r="M1776">
        <v>996315</v>
      </c>
      <c r="N1776" s="1" t="s">
        <v>14</v>
      </c>
      <c r="O1776" s="1">
        <f>IF(IFERROR(VLOOKUP(car_price_prediction_[[#This Row],[Car ID]],A1777:A4276,1,FALSE),0),1,0)</f>
        <v>0</v>
      </c>
    </row>
    <row r="1777" spans="1:15" x14ac:dyDescent="0.25">
      <c r="A1777">
        <v>1776</v>
      </c>
      <c r="B1777" s="1" t="s">
        <v>24</v>
      </c>
      <c r="C1777" s="1">
        <f>car_price_prediction_[[#This Row],[Year2]]</f>
        <v>2020</v>
      </c>
      <c r="D1777">
        <v>2020</v>
      </c>
      <c r="E1777">
        <f>car_price_prediction_[[#This Row],[Engine Size]]/10</f>
        <v>1.2</v>
      </c>
      <c r="F1777">
        <v>12</v>
      </c>
      <c r="G1777" s="1" t="s">
        <v>21</v>
      </c>
      <c r="H1777" s="1" t="s">
        <v>12</v>
      </c>
      <c r="I1777" s="12">
        <f>car_price_prediction_[[#This Row],[Mileage]]/1000</f>
        <v>25.968</v>
      </c>
      <c r="J1777" s="5">
        <v>25968</v>
      </c>
      <c r="K1777" s="1" t="s">
        <v>25</v>
      </c>
      <c r="L1777" s="5">
        <f>car_price_prediction_[[#This Row],[Price]]/100</f>
        <v>5575.36</v>
      </c>
      <c r="M1777">
        <v>557536</v>
      </c>
      <c r="N1777" s="1" t="s">
        <v>32</v>
      </c>
      <c r="O1777" s="1">
        <f>IF(IFERROR(VLOOKUP(car_price_prediction_[[#This Row],[Car ID]],A1778:A4277,1,FALSE),0),1,0)</f>
        <v>0</v>
      </c>
    </row>
    <row r="1778" spans="1:15" x14ac:dyDescent="0.25">
      <c r="A1778">
        <v>1777</v>
      </c>
      <c r="B1778" s="1" t="s">
        <v>30</v>
      </c>
      <c r="C1778" s="1">
        <f>car_price_prediction_[[#This Row],[Year2]]</f>
        <v>2023</v>
      </c>
      <c r="D1778">
        <v>2023</v>
      </c>
      <c r="E1778">
        <f>car_price_prediction_[[#This Row],[Engine Size]]/10</f>
        <v>1.9</v>
      </c>
      <c r="F1778">
        <v>19</v>
      </c>
      <c r="G1778" s="1" t="s">
        <v>11</v>
      </c>
      <c r="H1778" s="1" t="s">
        <v>12</v>
      </c>
      <c r="I1778" s="12">
        <f>car_price_prediction_[[#This Row],[Mileage]]/1000</f>
        <v>62.508000000000003</v>
      </c>
      <c r="J1778" s="5">
        <v>62508</v>
      </c>
      <c r="K1778" s="1" t="s">
        <v>25</v>
      </c>
      <c r="L1778" s="5">
        <f>car_price_prediction_[[#This Row],[Price]]/100</f>
        <v>33620.019999999997</v>
      </c>
      <c r="M1778">
        <v>3362002</v>
      </c>
      <c r="N1778" s="1" t="s">
        <v>48</v>
      </c>
      <c r="O1778" s="1">
        <f>IF(IFERROR(VLOOKUP(car_price_prediction_[[#This Row],[Car ID]],A1779:A4278,1,FALSE),0),1,0)</f>
        <v>0</v>
      </c>
    </row>
    <row r="1779" spans="1:15" x14ac:dyDescent="0.25">
      <c r="A1779">
        <v>1778</v>
      </c>
      <c r="B1779" s="1" t="s">
        <v>43</v>
      </c>
      <c r="C1779" s="1">
        <f>car_price_prediction_[[#This Row],[Year2]]</f>
        <v>2014</v>
      </c>
      <c r="D1779">
        <v>2014</v>
      </c>
      <c r="E1779">
        <f>car_price_prediction_[[#This Row],[Engine Size]]/10</f>
        <v>3</v>
      </c>
      <c r="F1779">
        <v>30</v>
      </c>
      <c r="G1779" s="1" t="s">
        <v>11</v>
      </c>
      <c r="H1779" s="1" t="s">
        <v>22</v>
      </c>
      <c r="I1779" s="12">
        <f>car_price_prediction_[[#This Row],[Mileage]]/1000</f>
        <v>235.863</v>
      </c>
      <c r="J1779" s="5">
        <v>235863</v>
      </c>
      <c r="K1779" s="1" t="s">
        <v>17</v>
      </c>
      <c r="L1779" s="5">
        <f>car_price_prediction_[[#This Row],[Price]]/100</f>
        <v>32071.99</v>
      </c>
      <c r="M1779">
        <v>3207199</v>
      </c>
      <c r="N1779" s="1" t="s">
        <v>44</v>
      </c>
      <c r="O1779" s="1">
        <f>IF(IFERROR(VLOOKUP(car_price_prediction_[[#This Row],[Car ID]],A1780:A4279,1,FALSE),0),1,0)</f>
        <v>0</v>
      </c>
    </row>
    <row r="1780" spans="1:15" x14ac:dyDescent="0.25">
      <c r="A1780">
        <v>1779</v>
      </c>
      <c r="B1780" s="1" t="s">
        <v>19</v>
      </c>
      <c r="C1780" s="1">
        <f>car_price_prediction_[[#This Row],[Year2]]</f>
        <v>2021</v>
      </c>
      <c r="D1780">
        <v>2021</v>
      </c>
      <c r="E1780">
        <f>car_price_prediction_[[#This Row],[Engine Size]]/10</f>
        <v>5.7</v>
      </c>
      <c r="F1780">
        <v>57</v>
      </c>
      <c r="G1780" s="1" t="s">
        <v>16</v>
      </c>
      <c r="H1780" s="1" t="s">
        <v>22</v>
      </c>
      <c r="I1780" s="12">
        <f>car_price_prediction_[[#This Row],[Mileage]]/1000</f>
        <v>194.292</v>
      </c>
      <c r="J1780" s="5">
        <v>194292</v>
      </c>
      <c r="K1780" s="1" t="s">
        <v>13</v>
      </c>
      <c r="L1780" s="5">
        <f>car_price_prediction_[[#This Row],[Price]]/100</f>
        <v>42017.31</v>
      </c>
      <c r="M1780">
        <v>4201731</v>
      </c>
      <c r="N1780" s="1" t="s">
        <v>27</v>
      </c>
      <c r="O1780" s="1">
        <f>IF(IFERROR(VLOOKUP(car_price_prediction_[[#This Row],[Car ID]],A1781:A4280,1,FALSE),0),1,0)</f>
        <v>0</v>
      </c>
    </row>
    <row r="1781" spans="1:15" x14ac:dyDescent="0.25">
      <c r="A1781">
        <v>1780</v>
      </c>
      <c r="B1781" s="1" t="s">
        <v>30</v>
      </c>
      <c r="C1781" s="1">
        <f>car_price_prediction_[[#This Row],[Year2]]</f>
        <v>2003</v>
      </c>
      <c r="D1781">
        <v>2003</v>
      </c>
      <c r="E1781">
        <f>car_price_prediction_[[#This Row],[Engine Size]]/10</f>
        <v>1.7</v>
      </c>
      <c r="F1781">
        <v>17</v>
      </c>
      <c r="G1781" s="1" t="s">
        <v>16</v>
      </c>
      <c r="H1781" s="1" t="s">
        <v>22</v>
      </c>
      <c r="I1781" s="12">
        <f>car_price_prediction_[[#This Row],[Mileage]]/1000</f>
        <v>85.366</v>
      </c>
      <c r="J1781" s="5">
        <v>85366</v>
      </c>
      <c r="K1781" s="1" t="s">
        <v>25</v>
      </c>
      <c r="L1781" s="5">
        <f>car_price_prediction_[[#This Row],[Price]]/100</f>
        <v>5060.75</v>
      </c>
      <c r="M1781">
        <v>506075</v>
      </c>
      <c r="N1781" s="1" t="s">
        <v>45</v>
      </c>
      <c r="O1781" s="1">
        <f>IF(IFERROR(VLOOKUP(car_price_prediction_[[#This Row],[Car ID]],A1782:A4281,1,FALSE),0),1,0)</f>
        <v>0</v>
      </c>
    </row>
    <row r="1782" spans="1:15" x14ac:dyDescent="0.25">
      <c r="A1782">
        <v>1781</v>
      </c>
      <c r="B1782" s="1" t="s">
        <v>10</v>
      </c>
      <c r="C1782" s="1">
        <f>car_price_prediction_[[#This Row],[Year2]]</f>
        <v>2012</v>
      </c>
      <c r="D1782">
        <v>2012</v>
      </c>
      <c r="E1782">
        <f>car_price_prediction_[[#This Row],[Engine Size]]/10</f>
        <v>4.8</v>
      </c>
      <c r="F1782">
        <v>48</v>
      </c>
      <c r="G1782" s="1" t="s">
        <v>21</v>
      </c>
      <c r="H1782" s="1" t="s">
        <v>12</v>
      </c>
      <c r="I1782" s="12">
        <f>car_price_prediction_[[#This Row],[Mileage]]/1000</f>
        <v>5.7380000000000004</v>
      </c>
      <c r="J1782" s="5">
        <v>5738</v>
      </c>
      <c r="K1782" s="1" t="s">
        <v>25</v>
      </c>
      <c r="L1782" s="5">
        <f>car_price_prediction_[[#This Row],[Price]]/100</f>
        <v>49332.78</v>
      </c>
      <c r="M1782">
        <v>4933278</v>
      </c>
      <c r="N1782" s="1" t="s">
        <v>33</v>
      </c>
      <c r="O1782" s="1">
        <f>IF(IFERROR(VLOOKUP(car_price_prediction_[[#This Row],[Car ID]],A1783:A4282,1,FALSE),0),1,0)</f>
        <v>0</v>
      </c>
    </row>
    <row r="1783" spans="1:15" x14ac:dyDescent="0.25">
      <c r="A1783">
        <v>1782</v>
      </c>
      <c r="B1783" s="1" t="s">
        <v>30</v>
      </c>
      <c r="C1783" s="1">
        <f>car_price_prediction_[[#This Row],[Year2]]</f>
        <v>2022</v>
      </c>
      <c r="D1783">
        <v>2022</v>
      </c>
      <c r="E1783">
        <f>car_price_prediction_[[#This Row],[Engine Size]]/10</f>
        <v>1.5</v>
      </c>
      <c r="F1783">
        <v>15</v>
      </c>
      <c r="G1783" s="1" t="s">
        <v>29</v>
      </c>
      <c r="H1783" s="1" t="s">
        <v>12</v>
      </c>
      <c r="I1783" s="12">
        <f>car_price_prediction_[[#This Row],[Mileage]]/1000</f>
        <v>3.0979999999999999</v>
      </c>
      <c r="J1783" s="5">
        <v>3098</v>
      </c>
      <c r="K1783" s="1" t="s">
        <v>13</v>
      </c>
      <c r="L1783" s="5">
        <f>car_price_prediction_[[#This Row],[Price]]/100</f>
        <v>51223.83</v>
      </c>
      <c r="M1783">
        <v>5122383</v>
      </c>
      <c r="N1783" s="1" t="s">
        <v>31</v>
      </c>
      <c r="O1783" s="1">
        <f>IF(IFERROR(VLOOKUP(car_price_prediction_[[#This Row],[Car ID]],A1784:A4283,1,FALSE),0),1,0)</f>
        <v>0</v>
      </c>
    </row>
    <row r="1784" spans="1:15" x14ac:dyDescent="0.25">
      <c r="A1784">
        <v>1783</v>
      </c>
      <c r="B1784" s="1" t="s">
        <v>10</v>
      </c>
      <c r="C1784" s="1">
        <f>car_price_prediction_[[#This Row],[Year2]]</f>
        <v>2007</v>
      </c>
      <c r="D1784">
        <v>2007</v>
      </c>
      <c r="E1784">
        <f>car_price_prediction_[[#This Row],[Engine Size]]/10</f>
        <v>5.9</v>
      </c>
      <c r="F1784">
        <v>59</v>
      </c>
      <c r="G1784" s="1" t="s">
        <v>21</v>
      </c>
      <c r="H1784" s="1" t="s">
        <v>12</v>
      </c>
      <c r="I1784" s="12">
        <f>car_price_prediction_[[#This Row],[Mileage]]/1000</f>
        <v>95.424000000000007</v>
      </c>
      <c r="J1784" s="5">
        <v>95424</v>
      </c>
      <c r="K1784" s="1" t="s">
        <v>17</v>
      </c>
      <c r="L1784" s="5">
        <f>car_price_prediction_[[#This Row],[Price]]/100</f>
        <v>86997.440000000002</v>
      </c>
      <c r="M1784">
        <v>8699744</v>
      </c>
      <c r="N1784" s="1" t="s">
        <v>14</v>
      </c>
      <c r="O1784" s="1">
        <f>IF(IFERROR(VLOOKUP(car_price_prediction_[[#This Row],[Car ID]],A1785:A4284,1,FALSE),0),1,0)</f>
        <v>0</v>
      </c>
    </row>
    <row r="1785" spans="1:15" x14ac:dyDescent="0.25">
      <c r="A1785">
        <v>1784</v>
      </c>
      <c r="B1785" s="1" t="s">
        <v>43</v>
      </c>
      <c r="C1785" s="1">
        <f>car_price_prediction_[[#This Row],[Year2]]</f>
        <v>2017</v>
      </c>
      <c r="D1785">
        <v>2017</v>
      </c>
      <c r="E1785">
        <f>car_price_prediction_[[#This Row],[Engine Size]]/10</f>
        <v>2.9</v>
      </c>
      <c r="F1785">
        <v>29</v>
      </c>
      <c r="G1785" s="1" t="s">
        <v>11</v>
      </c>
      <c r="H1785" s="1" t="s">
        <v>12</v>
      </c>
      <c r="I1785" s="12">
        <f>car_price_prediction_[[#This Row],[Mileage]]/1000</f>
        <v>204.70500000000001</v>
      </c>
      <c r="J1785" s="5">
        <v>204705</v>
      </c>
      <c r="K1785" s="1" t="s">
        <v>13</v>
      </c>
      <c r="L1785" s="5">
        <f>car_price_prediction_[[#This Row],[Price]]/100</f>
        <v>47609.93</v>
      </c>
      <c r="M1785">
        <v>4760993</v>
      </c>
      <c r="N1785" s="1" t="s">
        <v>50</v>
      </c>
      <c r="O1785" s="1">
        <f>IF(IFERROR(VLOOKUP(car_price_prediction_[[#This Row],[Car ID]],A1786:A4285,1,FALSE),0),1,0)</f>
        <v>0</v>
      </c>
    </row>
    <row r="1786" spans="1:15" x14ac:dyDescent="0.25">
      <c r="A1786">
        <v>1785</v>
      </c>
      <c r="B1786" s="1" t="s">
        <v>10</v>
      </c>
      <c r="C1786" s="1">
        <f>car_price_prediction_[[#This Row],[Year2]]</f>
        <v>2011</v>
      </c>
      <c r="D1786">
        <v>2011</v>
      </c>
      <c r="E1786">
        <f>car_price_prediction_[[#This Row],[Engine Size]]/10</f>
        <v>4.9000000000000004</v>
      </c>
      <c r="F1786">
        <v>49</v>
      </c>
      <c r="G1786" s="1" t="s">
        <v>29</v>
      </c>
      <c r="H1786" s="1" t="s">
        <v>12</v>
      </c>
      <c r="I1786" s="12">
        <f>car_price_prediction_[[#This Row],[Mileage]]/1000</f>
        <v>78.671999999999997</v>
      </c>
      <c r="J1786" s="5">
        <v>78672</v>
      </c>
      <c r="K1786" s="1" t="s">
        <v>17</v>
      </c>
      <c r="L1786" s="5">
        <f>car_price_prediction_[[#This Row],[Price]]/100</f>
        <v>39537.85</v>
      </c>
      <c r="M1786">
        <v>3953785</v>
      </c>
      <c r="N1786" s="1" t="s">
        <v>14</v>
      </c>
      <c r="O1786" s="1">
        <f>IF(IFERROR(VLOOKUP(car_price_prediction_[[#This Row],[Car ID]],A1787:A4286,1,FALSE),0),1,0)</f>
        <v>0</v>
      </c>
    </row>
    <row r="1787" spans="1:15" x14ac:dyDescent="0.25">
      <c r="A1787">
        <v>1786</v>
      </c>
      <c r="B1787" s="1" t="s">
        <v>30</v>
      </c>
      <c r="C1787" s="1">
        <f>car_price_prediction_[[#This Row],[Year2]]</f>
        <v>2022</v>
      </c>
      <c r="D1787">
        <v>2022</v>
      </c>
      <c r="E1787">
        <f>car_price_prediction_[[#This Row],[Engine Size]]/10</f>
        <v>2.7</v>
      </c>
      <c r="F1787">
        <v>27</v>
      </c>
      <c r="G1787" s="1" t="s">
        <v>29</v>
      </c>
      <c r="H1787" s="1" t="s">
        <v>12</v>
      </c>
      <c r="I1787" s="12">
        <f>car_price_prediction_[[#This Row],[Mileage]]/1000</f>
        <v>139.32499999999999</v>
      </c>
      <c r="J1787" s="5">
        <v>139325</v>
      </c>
      <c r="K1787" s="1" t="s">
        <v>25</v>
      </c>
      <c r="L1787" s="5">
        <f>car_price_prediction_[[#This Row],[Price]]/100</f>
        <v>99500.97</v>
      </c>
      <c r="M1787">
        <v>9950097</v>
      </c>
      <c r="N1787" s="1" t="s">
        <v>31</v>
      </c>
      <c r="O1787" s="1">
        <f>IF(IFERROR(VLOOKUP(car_price_prediction_[[#This Row],[Car ID]],A1788:A4287,1,FALSE),0),1,0)</f>
        <v>0</v>
      </c>
    </row>
    <row r="1788" spans="1:15" x14ac:dyDescent="0.25">
      <c r="A1788">
        <v>1787</v>
      </c>
      <c r="B1788" s="1" t="s">
        <v>19</v>
      </c>
      <c r="C1788" s="1">
        <f>car_price_prediction_[[#This Row],[Year2]]</f>
        <v>2013</v>
      </c>
      <c r="D1788">
        <v>2013</v>
      </c>
      <c r="E1788">
        <f>car_price_prediction_[[#This Row],[Engine Size]]/10</f>
        <v>4.0999999999999996</v>
      </c>
      <c r="F1788">
        <v>41</v>
      </c>
      <c r="G1788" s="1" t="s">
        <v>29</v>
      </c>
      <c r="H1788" s="1" t="s">
        <v>22</v>
      </c>
      <c r="I1788" s="12">
        <f>car_price_prediction_[[#This Row],[Mileage]]/1000</f>
        <v>125.349</v>
      </c>
      <c r="J1788" s="5">
        <v>125349</v>
      </c>
      <c r="K1788" s="1" t="s">
        <v>17</v>
      </c>
      <c r="L1788" s="5">
        <f>car_price_prediction_[[#This Row],[Price]]/100</f>
        <v>59265.27</v>
      </c>
      <c r="M1788">
        <v>5926527</v>
      </c>
      <c r="N1788" s="1" t="s">
        <v>27</v>
      </c>
      <c r="O1788" s="1">
        <f>IF(IFERROR(VLOOKUP(car_price_prediction_[[#This Row],[Car ID]],A1789:A4288,1,FALSE),0),1,0)</f>
        <v>0</v>
      </c>
    </row>
    <row r="1789" spans="1:15" x14ac:dyDescent="0.25">
      <c r="A1789">
        <v>1788</v>
      </c>
      <c r="B1789" s="1" t="s">
        <v>36</v>
      </c>
      <c r="C1789" s="1">
        <f>car_price_prediction_[[#This Row],[Year2]]</f>
        <v>2001</v>
      </c>
      <c r="D1789">
        <v>2001</v>
      </c>
      <c r="E1789">
        <f>car_price_prediction_[[#This Row],[Engine Size]]/10</f>
        <v>2</v>
      </c>
      <c r="F1789">
        <v>20</v>
      </c>
      <c r="G1789" s="1" t="s">
        <v>21</v>
      </c>
      <c r="H1789" s="1" t="s">
        <v>12</v>
      </c>
      <c r="I1789" s="12">
        <f>car_price_prediction_[[#This Row],[Mileage]]/1000</f>
        <v>50.969000000000001</v>
      </c>
      <c r="J1789" s="5">
        <v>50969</v>
      </c>
      <c r="K1789" s="1" t="s">
        <v>17</v>
      </c>
      <c r="L1789" s="5">
        <f>car_price_prediction_[[#This Row],[Price]]/100</f>
        <v>49898.25</v>
      </c>
      <c r="M1789">
        <v>4989825</v>
      </c>
      <c r="N1789" s="1" t="s">
        <v>37</v>
      </c>
      <c r="O1789" s="1">
        <f>IF(IFERROR(VLOOKUP(car_price_prediction_[[#This Row],[Car ID]],A1790:A4289,1,FALSE),0),1,0)</f>
        <v>0</v>
      </c>
    </row>
    <row r="1790" spans="1:15" x14ac:dyDescent="0.25">
      <c r="A1790">
        <v>1789</v>
      </c>
      <c r="B1790" s="1" t="s">
        <v>30</v>
      </c>
      <c r="C1790" s="1">
        <f>car_price_prediction_[[#This Row],[Year2]]</f>
        <v>2017</v>
      </c>
      <c r="D1790">
        <v>2017</v>
      </c>
      <c r="E1790">
        <f>car_price_prediction_[[#This Row],[Engine Size]]/10</f>
        <v>1.7</v>
      </c>
      <c r="F1790">
        <v>17</v>
      </c>
      <c r="G1790" s="1" t="s">
        <v>11</v>
      </c>
      <c r="H1790" s="1" t="s">
        <v>22</v>
      </c>
      <c r="I1790" s="12">
        <f>car_price_prediction_[[#This Row],[Mileage]]/1000</f>
        <v>90.744</v>
      </c>
      <c r="J1790" s="5">
        <v>90744</v>
      </c>
      <c r="K1790" s="1" t="s">
        <v>13</v>
      </c>
      <c r="L1790" s="5">
        <f>car_price_prediction_[[#This Row],[Price]]/100</f>
        <v>5211.3900000000003</v>
      </c>
      <c r="M1790">
        <v>521139</v>
      </c>
      <c r="N1790" s="1" t="s">
        <v>48</v>
      </c>
      <c r="O1790" s="1">
        <f>IF(IFERROR(VLOOKUP(car_price_prediction_[[#This Row],[Car ID]],A1791:A4290,1,FALSE),0),1,0)</f>
        <v>0</v>
      </c>
    </row>
    <row r="1791" spans="1:15" x14ac:dyDescent="0.25">
      <c r="A1791">
        <v>1790</v>
      </c>
      <c r="B1791" s="1" t="s">
        <v>10</v>
      </c>
      <c r="C1791" s="1">
        <f>car_price_prediction_[[#This Row],[Year2]]</f>
        <v>2023</v>
      </c>
      <c r="D1791">
        <v>2023</v>
      </c>
      <c r="E1791">
        <f>car_price_prediction_[[#This Row],[Engine Size]]/10</f>
        <v>5.7</v>
      </c>
      <c r="F1791">
        <v>57</v>
      </c>
      <c r="G1791" s="1" t="s">
        <v>16</v>
      </c>
      <c r="H1791" s="1" t="s">
        <v>22</v>
      </c>
      <c r="I1791" s="12">
        <f>car_price_prediction_[[#This Row],[Mileage]]/1000</f>
        <v>201.495</v>
      </c>
      <c r="J1791" s="5">
        <v>201495</v>
      </c>
      <c r="K1791" s="1" t="s">
        <v>25</v>
      </c>
      <c r="L1791" s="5">
        <f>car_price_prediction_[[#This Row],[Price]]/100</f>
        <v>81872.22</v>
      </c>
      <c r="M1791">
        <v>8187222</v>
      </c>
      <c r="N1791" s="1" t="s">
        <v>33</v>
      </c>
      <c r="O1791" s="1">
        <f>IF(IFERROR(VLOOKUP(car_price_prediction_[[#This Row],[Car ID]],A1792:A4291,1,FALSE),0),1,0)</f>
        <v>0</v>
      </c>
    </row>
    <row r="1792" spans="1:15" x14ac:dyDescent="0.25">
      <c r="A1792">
        <v>1791</v>
      </c>
      <c r="B1792" s="1" t="s">
        <v>36</v>
      </c>
      <c r="C1792" s="1">
        <f>car_price_prediction_[[#This Row],[Year2]]</f>
        <v>2001</v>
      </c>
      <c r="D1792">
        <v>2001</v>
      </c>
      <c r="E1792">
        <f>car_price_prediction_[[#This Row],[Engine Size]]/10</f>
        <v>5.6</v>
      </c>
      <c r="F1792">
        <v>56</v>
      </c>
      <c r="G1792" s="1" t="s">
        <v>21</v>
      </c>
      <c r="H1792" s="1" t="s">
        <v>22</v>
      </c>
      <c r="I1792" s="12">
        <f>car_price_prediction_[[#This Row],[Mileage]]/1000</f>
        <v>117.286</v>
      </c>
      <c r="J1792" s="5">
        <v>117286</v>
      </c>
      <c r="K1792" s="1" t="s">
        <v>13</v>
      </c>
      <c r="L1792" s="5">
        <f>car_price_prediction_[[#This Row],[Price]]/100</f>
        <v>37364.26</v>
      </c>
      <c r="M1792">
        <v>3736426</v>
      </c>
      <c r="N1792" s="1" t="s">
        <v>40</v>
      </c>
      <c r="O1792" s="1">
        <f>IF(IFERROR(VLOOKUP(car_price_prediction_[[#This Row],[Car ID]],A1793:A4292,1,FALSE),0),1,0)</f>
        <v>0</v>
      </c>
    </row>
    <row r="1793" spans="1:15" x14ac:dyDescent="0.25">
      <c r="A1793">
        <v>1792</v>
      </c>
      <c r="B1793" s="1" t="s">
        <v>10</v>
      </c>
      <c r="C1793" s="1">
        <f>car_price_prediction_[[#This Row],[Year2]]</f>
        <v>2010</v>
      </c>
      <c r="D1793">
        <v>2010</v>
      </c>
      <c r="E1793">
        <f>car_price_prediction_[[#This Row],[Engine Size]]/10</f>
        <v>5.4</v>
      </c>
      <c r="F1793">
        <v>54</v>
      </c>
      <c r="G1793" s="1" t="s">
        <v>16</v>
      </c>
      <c r="H1793" s="1" t="s">
        <v>22</v>
      </c>
      <c r="I1793" s="12">
        <f>car_price_prediction_[[#This Row],[Mileage]]/1000</f>
        <v>75.028000000000006</v>
      </c>
      <c r="J1793" s="5">
        <v>75028</v>
      </c>
      <c r="K1793" s="1" t="s">
        <v>13</v>
      </c>
      <c r="L1793" s="5">
        <f>car_price_prediction_[[#This Row],[Price]]/100</f>
        <v>41970.239999999998</v>
      </c>
      <c r="M1793">
        <v>4197024</v>
      </c>
      <c r="N1793" s="1" t="s">
        <v>33</v>
      </c>
      <c r="O1793" s="1">
        <f>IF(IFERROR(VLOOKUP(car_price_prediction_[[#This Row],[Car ID]],A1794:A4293,1,FALSE),0),1,0)</f>
        <v>0</v>
      </c>
    </row>
    <row r="1794" spans="1:15" x14ac:dyDescent="0.25">
      <c r="A1794">
        <v>1793</v>
      </c>
      <c r="B1794" s="1" t="s">
        <v>19</v>
      </c>
      <c r="C1794" s="1">
        <f>car_price_prediction_[[#This Row],[Year2]]</f>
        <v>2008</v>
      </c>
      <c r="D1794">
        <v>2008</v>
      </c>
      <c r="E1794">
        <f>car_price_prediction_[[#This Row],[Engine Size]]/10</f>
        <v>4.0999999999999996</v>
      </c>
      <c r="F1794">
        <v>41</v>
      </c>
      <c r="G1794" s="1" t="s">
        <v>29</v>
      </c>
      <c r="H1794" s="1" t="s">
        <v>22</v>
      </c>
      <c r="I1794" s="12">
        <f>car_price_prediction_[[#This Row],[Mileage]]/1000</f>
        <v>297.565</v>
      </c>
      <c r="J1794" s="5">
        <v>297565</v>
      </c>
      <c r="K1794" s="1" t="s">
        <v>25</v>
      </c>
      <c r="L1794" s="5">
        <f>car_price_prediction_[[#This Row],[Price]]/100</f>
        <v>76807.97</v>
      </c>
      <c r="M1794">
        <v>7680797</v>
      </c>
      <c r="N1794" s="1" t="s">
        <v>38</v>
      </c>
      <c r="O1794" s="1">
        <f>IF(IFERROR(VLOOKUP(car_price_prediction_[[#This Row],[Car ID]],A1795:A4294,1,FALSE),0),1,0)</f>
        <v>0</v>
      </c>
    </row>
    <row r="1795" spans="1:15" x14ac:dyDescent="0.25">
      <c r="A1795">
        <v>1794</v>
      </c>
      <c r="B1795" s="1" t="s">
        <v>10</v>
      </c>
      <c r="C1795" s="1">
        <f>car_price_prediction_[[#This Row],[Year2]]</f>
        <v>2011</v>
      </c>
      <c r="D1795">
        <v>2011</v>
      </c>
      <c r="E1795">
        <f>car_price_prediction_[[#This Row],[Engine Size]]/10</f>
        <v>5</v>
      </c>
      <c r="F1795">
        <v>50</v>
      </c>
      <c r="G1795" s="1" t="s">
        <v>29</v>
      </c>
      <c r="H1795" s="1" t="s">
        <v>12</v>
      </c>
      <c r="I1795" s="12">
        <f>car_price_prediction_[[#This Row],[Mileage]]/1000</f>
        <v>38.575000000000003</v>
      </c>
      <c r="J1795" s="5">
        <v>38575</v>
      </c>
      <c r="K1795" s="1" t="s">
        <v>13</v>
      </c>
      <c r="L1795" s="5">
        <f>car_price_prediction_[[#This Row],[Price]]/100</f>
        <v>11933.46</v>
      </c>
      <c r="M1795">
        <v>1193346</v>
      </c>
      <c r="N1795" s="1" t="s">
        <v>33</v>
      </c>
      <c r="O1795" s="1">
        <f>IF(IFERROR(VLOOKUP(car_price_prediction_[[#This Row],[Car ID]],A1796:A4295,1,FALSE),0),1,0)</f>
        <v>0</v>
      </c>
    </row>
    <row r="1796" spans="1:15" x14ac:dyDescent="0.25">
      <c r="A1796">
        <v>1795</v>
      </c>
      <c r="B1796" s="1" t="s">
        <v>43</v>
      </c>
      <c r="C1796" s="1">
        <f>car_price_prediction_[[#This Row],[Year2]]</f>
        <v>2016</v>
      </c>
      <c r="D1796">
        <v>2016</v>
      </c>
      <c r="E1796">
        <f>car_price_prediction_[[#This Row],[Engine Size]]/10</f>
        <v>1.3</v>
      </c>
      <c r="F1796">
        <v>13</v>
      </c>
      <c r="G1796" s="1" t="s">
        <v>21</v>
      </c>
      <c r="H1796" s="1" t="s">
        <v>12</v>
      </c>
      <c r="I1796" s="12">
        <f>car_price_prediction_[[#This Row],[Mileage]]/1000</f>
        <v>3.1920000000000002</v>
      </c>
      <c r="J1796" s="5">
        <v>3192</v>
      </c>
      <c r="K1796" s="1" t="s">
        <v>13</v>
      </c>
      <c r="L1796" s="5">
        <f>car_price_prediction_[[#This Row],[Price]]/100</f>
        <v>87191.07</v>
      </c>
      <c r="M1796">
        <v>8719107</v>
      </c>
      <c r="N1796" s="1" t="s">
        <v>52</v>
      </c>
      <c r="O1796" s="1">
        <f>IF(IFERROR(VLOOKUP(car_price_prediction_[[#This Row],[Car ID]],A1797:A4296,1,FALSE),0),1,0)</f>
        <v>0</v>
      </c>
    </row>
    <row r="1797" spans="1:15" x14ac:dyDescent="0.25">
      <c r="A1797">
        <v>1796</v>
      </c>
      <c r="B1797" s="1" t="s">
        <v>24</v>
      </c>
      <c r="C1797" s="1">
        <f>car_price_prediction_[[#This Row],[Year2]]</f>
        <v>2014</v>
      </c>
      <c r="D1797">
        <v>2014</v>
      </c>
      <c r="E1797">
        <f>car_price_prediction_[[#This Row],[Engine Size]]/10</f>
        <v>2.7</v>
      </c>
      <c r="F1797">
        <v>27</v>
      </c>
      <c r="G1797" s="1" t="s">
        <v>11</v>
      </c>
      <c r="H1797" s="1" t="s">
        <v>12</v>
      </c>
      <c r="I1797" s="12">
        <f>car_price_prediction_[[#This Row],[Mileage]]/1000</f>
        <v>111.116</v>
      </c>
      <c r="J1797" s="5">
        <v>111116</v>
      </c>
      <c r="K1797" s="1" t="s">
        <v>17</v>
      </c>
      <c r="L1797" s="5">
        <f>car_price_prediction_[[#This Row],[Price]]/100</f>
        <v>45869.26</v>
      </c>
      <c r="M1797">
        <v>4586926</v>
      </c>
      <c r="N1797" s="1" t="s">
        <v>34</v>
      </c>
      <c r="O1797" s="1">
        <f>IF(IFERROR(VLOOKUP(car_price_prediction_[[#This Row],[Car ID]],A1798:A4297,1,FALSE),0),1,0)</f>
        <v>0</v>
      </c>
    </row>
    <row r="1798" spans="1:15" x14ac:dyDescent="0.25">
      <c r="A1798">
        <v>1797</v>
      </c>
      <c r="B1798" s="1" t="s">
        <v>30</v>
      </c>
      <c r="C1798" s="1">
        <f>car_price_prediction_[[#This Row],[Year2]]</f>
        <v>2016</v>
      </c>
      <c r="D1798">
        <v>2016</v>
      </c>
      <c r="E1798">
        <f>car_price_prediction_[[#This Row],[Engine Size]]/10</f>
        <v>2.6</v>
      </c>
      <c r="F1798">
        <v>26</v>
      </c>
      <c r="G1798" s="1" t="s">
        <v>29</v>
      </c>
      <c r="H1798" s="1" t="s">
        <v>12</v>
      </c>
      <c r="I1798" s="12">
        <f>car_price_prediction_[[#This Row],[Mileage]]/1000</f>
        <v>81.311000000000007</v>
      </c>
      <c r="J1798" s="5">
        <v>81311</v>
      </c>
      <c r="K1798" s="1" t="s">
        <v>13</v>
      </c>
      <c r="L1798" s="5">
        <f>car_price_prediction_[[#This Row],[Price]]/100</f>
        <v>60222.83</v>
      </c>
      <c r="M1798">
        <v>6022283</v>
      </c>
      <c r="N1798" s="1" t="s">
        <v>48</v>
      </c>
      <c r="O1798" s="1">
        <f>IF(IFERROR(VLOOKUP(car_price_prediction_[[#This Row],[Car ID]],A1799:A4298,1,FALSE),0),1,0)</f>
        <v>0</v>
      </c>
    </row>
    <row r="1799" spans="1:15" x14ac:dyDescent="0.25">
      <c r="A1799">
        <v>1798</v>
      </c>
      <c r="B1799" s="1" t="s">
        <v>24</v>
      </c>
      <c r="C1799" s="1">
        <f>car_price_prediction_[[#This Row],[Year2]]</f>
        <v>2017</v>
      </c>
      <c r="D1799">
        <v>2017</v>
      </c>
      <c r="E1799">
        <f>car_price_prediction_[[#This Row],[Engine Size]]/10</f>
        <v>4.2</v>
      </c>
      <c r="F1799">
        <v>42</v>
      </c>
      <c r="G1799" s="1" t="s">
        <v>16</v>
      </c>
      <c r="H1799" s="1" t="s">
        <v>22</v>
      </c>
      <c r="I1799" s="12">
        <f>car_price_prediction_[[#This Row],[Mileage]]/1000</f>
        <v>80.781000000000006</v>
      </c>
      <c r="J1799" s="5">
        <v>80781</v>
      </c>
      <c r="K1799" s="1" t="s">
        <v>25</v>
      </c>
      <c r="L1799" s="5">
        <f>car_price_prediction_[[#This Row],[Price]]/100</f>
        <v>76960.240000000005</v>
      </c>
      <c r="M1799">
        <v>7696024</v>
      </c>
      <c r="N1799" s="1" t="s">
        <v>34</v>
      </c>
      <c r="O1799" s="1">
        <f>IF(IFERROR(VLOOKUP(car_price_prediction_[[#This Row],[Car ID]],A1800:A4299,1,FALSE),0),1,0)</f>
        <v>0</v>
      </c>
    </row>
    <row r="1800" spans="1:15" x14ac:dyDescent="0.25">
      <c r="A1800">
        <v>1799</v>
      </c>
      <c r="B1800" s="1" t="s">
        <v>10</v>
      </c>
      <c r="C1800" s="1">
        <f>car_price_prediction_[[#This Row],[Year2]]</f>
        <v>2021</v>
      </c>
      <c r="D1800">
        <v>2021</v>
      </c>
      <c r="E1800">
        <f>car_price_prediction_[[#This Row],[Engine Size]]/10</f>
        <v>2.8</v>
      </c>
      <c r="F1800">
        <v>28</v>
      </c>
      <c r="G1800" s="1" t="s">
        <v>16</v>
      </c>
      <c r="H1800" s="1" t="s">
        <v>22</v>
      </c>
      <c r="I1800" s="12">
        <f>car_price_prediction_[[#This Row],[Mileage]]/1000</f>
        <v>36.527000000000001</v>
      </c>
      <c r="J1800" s="5">
        <v>36527</v>
      </c>
      <c r="K1800" s="1" t="s">
        <v>13</v>
      </c>
      <c r="L1800" s="5">
        <f>car_price_prediction_[[#This Row],[Price]]/100</f>
        <v>30274.93</v>
      </c>
      <c r="M1800">
        <v>3027493</v>
      </c>
      <c r="N1800" s="1" t="s">
        <v>23</v>
      </c>
      <c r="O1800" s="1">
        <f>IF(IFERROR(VLOOKUP(car_price_prediction_[[#This Row],[Car ID]],A1801:A4300,1,FALSE),0),1,0)</f>
        <v>0</v>
      </c>
    </row>
    <row r="1801" spans="1:15" x14ac:dyDescent="0.25">
      <c r="A1801">
        <v>1800</v>
      </c>
      <c r="B1801" s="1" t="s">
        <v>19</v>
      </c>
      <c r="C1801" s="1">
        <f>car_price_prediction_[[#This Row],[Year2]]</f>
        <v>2005</v>
      </c>
      <c r="D1801">
        <v>2005</v>
      </c>
      <c r="E1801">
        <f>car_price_prediction_[[#This Row],[Engine Size]]/10</f>
        <v>1.7</v>
      </c>
      <c r="F1801">
        <v>17</v>
      </c>
      <c r="G1801" s="1" t="s">
        <v>21</v>
      </c>
      <c r="H1801" s="1" t="s">
        <v>22</v>
      </c>
      <c r="I1801" s="12">
        <f>car_price_prediction_[[#This Row],[Mileage]]/1000</f>
        <v>52.180999999999997</v>
      </c>
      <c r="J1801" s="5">
        <v>52181</v>
      </c>
      <c r="K1801" s="1" t="s">
        <v>17</v>
      </c>
      <c r="L1801" s="5">
        <f>car_price_prediction_[[#This Row],[Price]]/100</f>
        <v>89579.85</v>
      </c>
      <c r="M1801">
        <v>8957985</v>
      </c>
      <c r="N1801" s="1" t="s">
        <v>20</v>
      </c>
      <c r="O1801" s="1">
        <f>IF(IFERROR(VLOOKUP(car_price_prediction_[[#This Row],[Car ID]],A1802:A4301,1,FALSE),0),1,0)</f>
        <v>0</v>
      </c>
    </row>
    <row r="1802" spans="1:15" x14ac:dyDescent="0.25">
      <c r="A1802">
        <v>1801</v>
      </c>
      <c r="B1802" s="1" t="s">
        <v>30</v>
      </c>
      <c r="C1802" s="1">
        <f>car_price_prediction_[[#This Row],[Year2]]</f>
        <v>2016</v>
      </c>
      <c r="D1802">
        <v>2016</v>
      </c>
      <c r="E1802">
        <f>car_price_prediction_[[#This Row],[Engine Size]]/10</f>
        <v>4</v>
      </c>
      <c r="F1802">
        <v>40</v>
      </c>
      <c r="G1802" s="1" t="s">
        <v>16</v>
      </c>
      <c r="H1802" s="1" t="s">
        <v>12</v>
      </c>
      <c r="I1802" s="12">
        <f>car_price_prediction_[[#This Row],[Mileage]]/1000</f>
        <v>91.471999999999994</v>
      </c>
      <c r="J1802" s="5">
        <v>91472</v>
      </c>
      <c r="K1802" s="1" t="s">
        <v>13</v>
      </c>
      <c r="L1802" s="5">
        <f>car_price_prediction_[[#This Row],[Price]]/100</f>
        <v>98026.37</v>
      </c>
      <c r="M1802">
        <v>9802637</v>
      </c>
      <c r="N1802" s="1" t="s">
        <v>45</v>
      </c>
      <c r="O1802" s="1">
        <f>IF(IFERROR(VLOOKUP(car_price_prediction_[[#This Row],[Car ID]],A1803:A4302,1,FALSE),0),1,0)</f>
        <v>0</v>
      </c>
    </row>
    <row r="1803" spans="1:15" x14ac:dyDescent="0.25">
      <c r="A1803">
        <v>1802</v>
      </c>
      <c r="B1803" s="1" t="s">
        <v>10</v>
      </c>
      <c r="C1803" s="1">
        <f>car_price_prediction_[[#This Row],[Year2]]</f>
        <v>2022</v>
      </c>
      <c r="D1803">
        <v>2022</v>
      </c>
      <c r="E1803">
        <f>car_price_prediction_[[#This Row],[Engine Size]]/10</f>
        <v>5.0999999999999996</v>
      </c>
      <c r="F1803">
        <v>51</v>
      </c>
      <c r="G1803" s="1" t="s">
        <v>11</v>
      </c>
      <c r="H1803" s="1" t="s">
        <v>12</v>
      </c>
      <c r="I1803" s="12">
        <f>car_price_prediction_[[#This Row],[Mileage]]/1000</f>
        <v>81.218999999999994</v>
      </c>
      <c r="J1803" s="5">
        <v>81219</v>
      </c>
      <c r="K1803" s="1" t="s">
        <v>13</v>
      </c>
      <c r="L1803" s="5">
        <f>car_price_prediction_[[#This Row],[Price]]/100</f>
        <v>51956.06</v>
      </c>
      <c r="M1803">
        <v>5195606</v>
      </c>
      <c r="N1803" s="1" t="s">
        <v>23</v>
      </c>
      <c r="O1803" s="1">
        <f>IF(IFERROR(VLOOKUP(car_price_prediction_[[#This Row],[Car ID]],A1804:A4303,1,FALSE),0),1,0)</f>
        <v>0</v>
      </c>
    </row>
    <row r="1804" spans="1:15" x14ac:dyDescent="0.25">
      <c r="A1804">
        <v>1803</v>
      </c>
      <c r="B1804" s="1" t="s">
        <v>36</v>
      </c>
      <c r="C1804" s="1">
        <f>car_price_prediction_[[#This Row],[Year2]]</f>
        <v>2023</v>
      </c>
      <c r="D1804">
        <v>2023</v>
      </c>
      <c r="E1804">
        <f>car_price_prediction_[[#This Row],[Engine Size]]/10</f>
        <v>2.9</v>
      </c>
      <c r="F1804">
        <v>29</v>
      </c>
      <c r="G1804" s="1" t="s">
        <v>29</v>
      </c>
      <c r="H1804" s="1" t="s">
        <v>12</v>
      </c>
      <c r="I1804" s="12">
        <f>car_price_prediction_[[#This Row],[Mileage]]/1000</f>
        <v>119.783</v>
      </c>
      <c r="J1804" s="5">
        <v>119783</v>
      </c>
      <c r="K1804" s="1" t="s">
        <v>13</v>
      </c>
      <c r="L1804" s="5">
        <f>car_price_prediction_[[#This Row],[Price]]/100</f>
        <v>94009.05</v>
      </c>
      <c r="M1804">
        <v>9400905</v>
      </c>
      <c r="N1804" s="1" t="s">
        <v>41</v>
      </c>
      <c r="O1804" s="1">
        <f>IF(IFERROR(VLOOKUP(car_price_prediction_[[#This Row],[Car ID]],A1805:A4304,1,FALSE),0),1,0)</f>
        <v>0</v>
      </c>
    </row>
    <row r="1805" spans="1:15" x14ac:dyDescent="0.25">
      <c r="A1805">
        <v>1804</v>
      </c>
      <c r="B1805" s="1" t="s">
        <v>15</v>
      </c>
      <c r="C1805" s="1">
        <f>car_price_prediction_[[#This Row],[Year2]]</f>
        <v>2017</v>
      </c>
      <c r="D1805">
        <v>2017</v>
      </c>
      <c r="E1805">
        <f>car_price_prediction_[[#This Row],[Engine Size]]/10</f>
        <v>1.7</v>
      </c>
      <c r="F1805">
        <v>17</v>
      </c>
      <c r="G1805" s="1" t="s">
        <v>16</v>
      </c>
      <c r="H1805" s="1" t="s">
        <v>12</v>
      </c>
      <c r="I1805" s="12">
        <f>car_price_prediction_[[#This Row],[Mileage]]/1000</f>
        <v>161.554</v>
      </c>
      <c r="J1805" s="5">
        <v>161554</v>
      </c>
      <c r="K1805" s="1" t="s">
        <v>17</v>
      </c>
      <c r="L1805" s="5">
        <f>car_price_prediction_[[#This Row],[Price]]/100</f>
        <v>5107.22</v>
      </c>
      <c r="M1805">
        <v>510722</v>
      </c>
      <c r="N1805" s="1" t="s">
        <v>39</v>
      </c>
      <c r="O1805" s="1">
        <f>IF(IFERROR(VLOOKUP(car_price_prediction_[[#This Row],[Car ID]],A1806:A4305,1,FALSE),0),1,0)</f>
        <v>0</v>
      </c>
    </row>
    <row r="1806" spans="1:15" x14ac:dyDescent="0.25">
      <c r="A1806">
        <v>1805</v>
      </c>
      <c r="B1806" s="1" t="s">
        <v>10</v>
      </c>
      <c r="C1806" s="1">
        <f>car_price_prediction_[[#This Row],[Year2]]</f>
        <v>2007</v>
      </c>
      <c r="D1806">
        <v>2007</v>
      </c>
      <c r="E1806">
        <f>car_price_prediction_[[#This Row],[Engine Size]]/10</f>
        <v>2</v>
      </c>
      <c r="F1806">
        <v>20</v>
      </c>
      <c r="G1806" s="1" t="s">
        <v>16</v>
      </c>
      <c r="H1806" s="1" t="s">
        <v>22</v>
      </c>
      <c r="I1806" s="12">
        <f>car_price_prediction_[[#This Row],[Mileage]]/1000</f>
        <v>179.3</v>
      </c>
      <c r="J1806" s="5">
        <v>179300</v>
      </c>
      <c r="K1806" s="1" t="s">
        <v>25</v>
      </c>
      <c r="L1806" s="5">
        <f>car_price_prediction_[[#This Row],[Price]]/100</f>
        <v>89952.59</v>
      </c>
      <c r="M1806">
        <v>8995259</v>
      </c>
      <c r="N1806" s="1" t="s">
        <v>23</v>
      </c>
      <c r="O1806" s="1">
        <f>IF(IFERROR(VLOOKUP(car_price_prediction_[[#This Row],[Car ID]],A1807:A4306,1,FALSE),0),1,0)</f>
        <v>0</v>
      </c>
    </row>
    <row r="1807" spans="1:15" x14ac:dyDescent="0.25">
      <c r="A1807">
        <v>1806</v>
      </c>
      <c r="B1807" s="1" t="s">
        <v>24</v>
      </c>
      <c r="C1807" s="1">
        <f>car_price_prediction_[[#This Row],[Year2]]</f>
        <v>2008</v>
      </c>
      <c r="D1807">
        <v>2008</v>
      </c>
      <c r="E1807">
        <f>car_price_prediction_[[#This Row],[Engine Size]]/10</f>
        <v>2.2000000000000002</v>
      </c>
      <c r="F1807">
        <v>22</v>
      </c>
      <c r="G1807" s="1" t="s">
        <v>29</v>
      </c>
      <c r="H1807" s="1" t="s">
        <v>22</v>
      </c>
      <c r="I1807" s="12">
        <f>car_price_prediction_[[#This Row],[Mileage]]/1000</f>
        <v>83.265000000000001</v>
      </c>
      <c r="J1807" s="5">
        <v>83265</v>
      </c>
      <c r="K1807" s="1" t="s">
        <v>25</v>
      </c>
      <c r="L1807" s="5">
        <f>car_price_prediction_[[#This Row],[Price]]/100</f>
        <v>34549.31</v>
      </c>
      <c r="M1807">
        <v>3454931</v>
      </c>
      <c r="N1807" s="1" t="s">
        <v>34</v>
      </c>
      <c r="O1807" s="1">
        <f>IF(IFERROR(VLOOKUP(car_price_prediction_[[#This Row],[Car ID]],A1808:A4307,1,FALSE),0),1,0)</f>
        <v>0</v>
      </c>
    </row>
    <row r="1808" spans="1:15" x14ac:dyDescent="0.25">
      <c r="A1808">
        <v>1807</v>
      </c>
      <c r="B1808" s="1" t="s">
        <v>30</v>
      </c>
      <c r="C1808" s="1">
        <f>car_price_prediction_[[#This Row],[Year2]]</f>
        <v>2005</v>
      </c>
      <c r="D1808">
        <v>2005</v>
      </c>
      <c r="E1808">
        <f>car_price_prediction_[[#This Row],[Engine Size]]/10</f>
        <v>2.5</v>
      </c>
      <c r="F1808">
        <v>25</v>
      </c>
      <c r="G1808" s="1" t="s">
        <v>21</v>
      </c>
      <c r="H1808" s="1" t="s">
        <v>12</v>
      </c>
      <c r="I1808" s="12">
        <f>car_price_prediction_[[#This Row],[Mileage]]/1000</f>
        <v>50.125999999999998</v>
      </c>
      <c r="J1808" s="5">
        <v>50126</v>
      </c>
      <c r="K1808" s="1" t="s">
        <v>17</v>
      </c>
      <c r="L1808" s="5">
        <f>car_price_prediction_[[#This Row],[Price]]/100</f>
        <v>34592.07</v>
      </c>
      <c r="M1808">
        <v>3459207</v>
      </c>
      <c r="N1808" s="1" t="s">
        <v>31</v>
      </c>
      <c r="O1808" s="1">
        <f>IF(IFERROR(VLOOKUP(car_price_prediction_[[#This Row],[Car ID]],A1809:A4308,1,FALSE),0),1,0)</f>
        <v>0</v>
      </c>
    </row>
    <row r="1809" spans="1:15" x14ac:dyDescent="0.25">
      <c r="A1809">
        <v>1808</v>
      </c>
      <c r="B1809" s="1" t="s">
        <v>24</v>
      </c>
      <c r="C1809" s="1">
        <f>car_price_prediction_[[#This Row],[Year2]]</f>
        <v>2004</v>
      </c>
      <c r="D1809">
        <v>2004</v>
      </c>
      <c r="E1809">
        <f>car_price_prediction_[[#This Row],[Engine Size]]/10</f>
        <v>4.2</v>
      </c>
      <c r="F1809">
        <v>42</v>
      </c>
      <c r="G1809" s="1" t="s">
        <v>16</v>
      </c>
      <c r="H1809" s="1" t="s">
        <v>12</v>
      </c>
      <c r="I1809" s="12">
        <f>car_price_prediction_[[#This Row],[Mileage]]/1000</f>
        <v>282.68900000000002</v>
      </c>
      <c r="J1809" s="5">
        <v>282689</v>
      </c>
      <c r="K1809" s="1" t="s">
        <v>17</v>
      </c>
      <c r="L1809" s="5">
        <f>car_price_prediction_[[#This Row],[Price]]/100</f>
        <v>26668.44</v>
      </c>
      <c r="M1809">
        <v>2666844</v>
      </c>
      <c r="N1809" s="1" t="s">
        <v>32</v>
      </c>
      <c r="O1809" s="1">
        <f>IF(IFERROR(VLOOKUP(car_price_prediction_[[#This Row],[Car ID]],A1810:A4309,1,FALSE),0),1,0)</f>
        <v>0</v>
      </c>
    </row>
    <row r="1810" spans="1:15" x14ac:dyDescent="0.25">
      <c r="A1810">
        <v>1809</v>
      </c>
      <c r="B1810" s="1" t="s">
        <v>30</v>
      </c>
      <c r="C1810" s="1">
        <f>car_price_prediction_[[#This Row],[Year2]]</f>
        <v>2011</v>
      </c>
      <c r="D1810">
        <v>2011</v>
      </c>
      <c r="E1810">
        <f>car_price_prediction_[[#This Row],[Engine Size]]/10</f>
        <v>4</v>
      </c>
      <c r="F1810">
        <v>40</v>
      </c>
      <c r="G1810" s="1" t="s">
        <v>21</v>
      </c>
      <c r="H1810" s="1" t="s">
        <v>22</v>
      </c>
      <c r="I1810" s="12">
        <f>car_price_prediction_[[#This Row],[Mileage]]/1000</f>
        <v>55.113999999999997</v>
      </c>
      <c r="J1810" s="5">
        <v>55114</v>
      </c>
      <c r="K1810" s="1" t="s">
        <v>13</v>
      </c>
      <c r="L1810" s="5">
        <f>car_price_prediction_[[#This Row],[Price]]/100</f>
        <v>35116.32</v>
      </c>
      <c r="M1810">
        <v>3511632</v>
      </c>
      <c r="N1810" s="1" t="s">
        <v>42</v>
      </c>
      <c r="O1810" s="1">
        <f>IF(IFERROR(VLOOKUP(car_price_prediction_[[#This Row],[Car ID]],A1811:A4310,1,FALSE),0),1,0)</f>
        <v>0</v>
      </c>
    </row>
    <row r="1811" spans="1:15" x14ac:dyDescent="0.25">
      <c r="A1811">
        <v>1810</v>
      </c>
      <c r="B1811" s="1" t="s">
        <v>10</v>
      </c>
      <c r="C1811" s="1">
        <f>car_price_prediction_[[#This Row],[Year2]]</f>
        <v>2010</v>
      </c>
      <c r="D1811">
        <v>2010</v>
      </c>
      <c r="E1811">
        <f>car_price_prediction_[[#This Row],[Engine Size]]/10</f>
        <v>4.5</v>
      </c>
      <c r="F1811">
        <v>45</v>
      </c>
      <c r="G1811" s="1" t="s">
        <v>21</v>
      </c>
      <c r="H1811" s="1" t="s">
        <v>22</v>
      </c>
      <c r="I1811" s="12">
        <f>car_price_prediction_[[#This Row],[Mileage]]/1000</f>
        <v>206.422</v>
      </c>
      <c r="J1811" s="5">
        <v>206422</v>
      </c>
      <c r="K1811" s="1" t="s">
        <v>25</v>
      </c>
      <c r="L1811" s="5">
        <f>car_price_prediction_[[#This Row],[Price]]/100</f>
        <v>25281.040000000001</v>
      </c>
      <c r="M1811">
        <v>2528104</v>
      </c>
      <c r="N1811" s="1" t="s">
        <v>14</v>
      </c>
      <c r="O1811" s="1">
        <f>IF(IFERROR(VLOOKUP(car_price_prediction_[[#This Row],[Car ID]],A1812:A4311,1,FALSE),0),1,0)</f>
        <v>0</v>
      </c>
    </row>
    <row r="1812" spans="1:15" x14ac:dyDescent="0.25">
      <c r="A1812">
        <v>1811</v>
      </c>
      <c r="B1812" s="1" t="s">
        <v>43</v>
      </c>
      <c r="C1812" s="1">
        <f>car_price_prediction_[[#This Row],[Year2]]</f>
        <v>2000</v>
      </c>
      <c r="D1812">
        <v>2000</v>
      </c>
      <c r="E1812">
        <f>car_price_prediction_[[#This Row],[Engine Size]]/10</f>
        <v>2.8</v>
      </c>
      <c r="F1812">
        <v>28</v>
      </c>
      <c r="G1812" s="1" t="s">
        <v>16</v>
      </c>
      <c r="H1812" s="1" t="s">
        <v>22</v>
      </c>
      <c r="I1812" s="12">
        <f>car_price_prediction_[[#This Row],[Mileage]]/1000</f>
        <v>188.87299999999999</v>
      </c>
      <c r="J1812" s="5">
        <v>188873</v>
      </c>
      <c r="K1812" s="1" t="s">
        <v>17</v>
      </c>
      <c r="L1812" s="5">
        <f>car_price_prediction_[[#This Row],[Price]]/100</f>
        <v>91057.57</v>
      </c>
      <c r="M1812">
        <v>9105757</v>
      </c>
      <c r="N1812" s="1" t="s">
        <v>47</v>
      </c>
      <c r="O1812" s="1">
        <f>IF(IFERROR(VLOOKUP(car_price_prediction_[[#This Row],[Car ID]],A1813:A4312,1,FALSE),0),1,0)</f>
        <v>0</v>
      </c>
    </row>
    <row r="1813" spans="1:15" x14ac:dyDescent="0.25">
      <c r="A1813">
        <v>1812</v>
      </c>
      <c r="B1813" s="1" t="s">
        <v>36</v>
      </c>
      <c r="C1813" s="1">
        <f>car_price_prediction_[[#This Row],[Year2]]</f>
        <v>2010</v>
      </c>
      <c r="D1813">
        <v>2010</v>
      </c>
      <c r="E1813">
        <f>car_price_prediction_[[#This Row],[Engine Size]]/10</f>
        <v>5.0999999999999996</v>
      </c>
      <c r="F1813">
        <v>51</v>
      </c>
      <c r="G1813" s="1" t="s">
        <v>11</v>
      </c>
      <c r="H1813" s="1" t="s">
        <v>22</v>
      </c>
      <c r="I1813" s="12">
        <f>car_price_prediction_[[#This Row],[Mileage]]/1000</f>
        <v>276.03399999999999</v>
      </c>
      <c r="J1813" s="5">
        <v>276034</v>
      </c>
      <c r="K1813" s="1" t="s">
        <v>25</v>
      </c>
      <c r="L1813" s="5">
        <f>car_price_prediction_[[#This Row],[Price]]/100</f>
        <v>90407.25</v>
      </c>
      <c r="M1813">
        <v>9040725</v>
      </c>
      <c r="N1813" s="1" t="s">
        <v>46</v>
      </c>
      <c r="O1813" s="1">
        <f>IF(IFERROR(VLOOKUP(car_price_prediction_[[#This Row],[Car ID]],A1814:A4313,1,FALSE),0),1,0)</f>
        <v>0</v>
      </c>
    </row>
    <row r="1814" spans="1:15" x14ac:dyDescent="0.25">
      <c r="A1814">
        <v>1813</v>
      </c>
      <c r="B1814" s="1" t="s">
        <v>10</v>
      </c>
      <c r="C1814" s="1">
        <f>car_price_prediction_[[#This Row],[Year2]]</f>
        <v>2018</v>
      </c>
      <c r="D1814">
        <v>2018</v>
      </c>
      <c r="E1814">
        <f>car_price_prediction_[[#This Row],[Engine Size]]/10</f>
        <v>2</v>
      </c>
      <c r="F1814">
        <v>20</v>
      </c>
      <c r="G1814" s="1" t="s">
        <v>21</v>
      </c>
      <c r="H1814" s="1" t="s">
        <v>12</v>
      </c>
      <c r="I1814" s="12">
        <f>car_price_prediction_[[#This Row],[Mileage]]/1000</f>
        <v>121.28400000000001</v>
      </c>
      <c r="J1814" s="5">
        <v>121284</v>
      </c>
      <c r="K1814" s="1" t="s">
        <v>13</v>
      </c>
      <c r="L1814" s="5">
        <f>car_price_prediction_[[#This Row],[Price]]/100</f>
        <v>14710.07</v>
      </c>
      <c r="M1814">
        <v>1471007</v>
      </c>
      <c r="N1814" s="1" t="s">
        <v>49</v>
      </c>
      <c r="O1814" s="1">
        <f>IF(IFERROR(VLOOKUP(car_price_prediction_[[#This Row],[Car ID]],A1815:A4314,1,FALSE),0),1,0)</f>
        <v>0</v>
      </c>
    </row>
    <row r="1815" spans="1:15" x14ac:dyDescent="0.25">
      <c r="A1815">
        <v>1814</v>
      </c>
      <c r="B1815" s="1" t="s">
        <v>24</v>
      </c>
      <c r="C1815" s="1">
        <f>car_price_prediction_[[#This Row],[Year2]]</f>
        <v>2008</v>
      </c>
      <c r="D1815">
        <v>2008</v>
      </c>
      <c r="E1815">
        <f>car_price_prediction_[[#This Row],[Engine Size]]/10</f>
        <v>3.3</v>
      </c>
      <c r="F1815">
        <v>33</v>
      </c>
      <c r="G1815" s="1" t="s">
        <v>16</v>
      </c>
      <c r="H1815" s="1" t="s">
        <v>22</v>
      </c>
      <c r="I1815" s="12">
        <f>car_price_prediction_[[#This Row],[Mileage]]/1000</f>
        <v>194.46899999999999</v>
      </c>
      <c r="J1815" s="5">
        <v>194469</v>
      </c>
      <c r="K1815" s="1" t="s">
        <v>17</v>
      </c>
      <c r="L1815" s="5">
        <f>car_price_prediction_[[#This Row],[Price]]/100</f>
        <v>18571.55</v>
      </c>
      <c r="M1815">
        <v>1857155</v>
      </c>
      <c r="N1815" s="1" t="s">
        <v>34</v>
      </c>
      <c r="O1815" s="1">
        <f>IF(IFERROR(VLOOKUP(car_price_prediction_[[#This Row],[Car ID]],A1816:A4315,1,FALSE),0),1,0)</f>
        <v>0</v>
      </c>
    </row>
    <row r="1816" spans="1:15" x14ac:dyDescent="0.25">
      <c r="A1816">
        <v>1815</v>
      </c>
      <c r="B1816" s="1" t="s">
        <v>15</v>
      </c>
      <c r="C1816" s="1">
        <f>car_price_prediction_[[#This Row],[Year2]]</f>
        <v>2001</v>
      </c>
      <c r="D1816">
        <v>2001</v>
      </c>
      <c r="E1816">
        <f>car_price_prediction_[[#This Row],[Engine Size]]/10</f>
        <v>5</v>
      </c>
      <c r="F1816">
        <v>50</v>
      </c>
      <c r="G1816" s="1" t="s">
        <v>21</v>
      </c>
      <c r="H1816" s="1" t="s">
        <v>22</v>
      </c>
      <c r="I1816" s="12">
        <f>car_price_prediction_[[#This Row],[Mileage]]/1000</f>
        <v>142.29</v>
      </c>
      <c r="J1816" s="5">
        <v>142290</v>
      </c>
      <c r="K1816" s="1" t="s">
        <v>25</v>
      </c>
      <c r="L1816" s="5">
        <f>car_price_prediction_[[#This Row],[Price]]/100</f>
        <v>86891.77</v>
      </c>
      <c r="M1816">
        <v>8689177</v>
      </c>
      <c r="N1816" s="1" t="s">
        <v>18</v>
      </c>
      <c r="O1816" s="1">
        <f>IF(IFERROR(VLOOKUP(car_price_prediction_[[#This Row],[Car ID]],A1817:A4316,1,FALSE),0),1,0)</f>
        <v>0</v>
      </c>
    </row>
    <row r="1817" spans="1:15" x14ac:dyDescent="0.25">
      <c r="A1817">
        <v>1816</v>
      </c>
      <c r="B1817" s="1" t="s">
        <v>15</v>
      </c>
      <c r="C1817" s="1">
        <f>car_price_prediction_[[#This Row],[Year2]]</f>
        <v>2011</v>
      </c>
      <c r="D1817">
        <v>2011</v>
      </c>
      <c r="E1817">
        <f>car_price_prediction_[[#This Row],[Engine Size]]/10</f>
        <v>1.9</v>
      </c>
      <c r="F1817">
        <v>19</v>
      </c>
      <c r="G1817" s="1" t="s">
        <v>29</v>
      </c>
      <c r="H1817" s="1" t="s">
        <v>22</v>
      </c>
      <c r="I1817" s="12">
        <f>car_price_prediction_[[#This Row],[Mileage]]/1000</f>
        <v>88.241</v>
      </c>
      <c r="J1817" s="5">
        <v>88241</v>
      </c>
      <c r="K1817" s="1" t="s">
        <v>25</v>
      </c>
      <c r="L1817" s="5">
        <f>car_price_prediction_[[#This Row],[Price]]/100</f>
        <v>42899.09</v>
      </c>
      <c r="M1817">
        <v>4289909</v>
      </c>
      <c r="N1817" s="1" t="s">
        <v>35</v>
      </c>
      <c r="O1817" s="1">
        <f>IF(IFERROR(VLOOKUP(car_price_prediction_[[#This Row],[Car ID]],A1818:A4317,1,FALSE),0),1,0)</f>
        <v>0</v>
      </c>
    </row>
    <row r="1818" spans="1:15" x14ac:dyDescent="0.25">
      <c r="A1818">
        <v>1817</v>
      </c>
      <c r="B1818" s="1" t="s">
        <v>19</v>
      </c>
      <c r="C1818" s="1">
        <f>car_price_prediction_[[#This Row],[Year2]]</f>
        <v>2003</v>
      </c>
      <c r="D1818">
        <v>2003</v>
      </c>
      <c r="E1818">
        <f>car_price_prediction_[[#This Row],[Engine Size]]/10</f>
        <v>1.5</v>
      </c>
      <c r="F1818">
        <v>15</v>
      </c>
      <c r="G1818" s="1" t="s">
        <v>11</v>
      </c>
      <c r="H1818" s="1" t="s">
        <v>22</v>
      </c>
      <c r="I1818" s="12">
        <f>car_price_prediction_[[#This Row],[Mileage]]/1000</f>
        <v>296.86599999999999</v>
      </c>
      <c r="J1818" s="5">
        <v>296866</v>
      </c>
      <c r="K1818" s="1" t="s">
        <v>13</v>
      </c>
      <c r="L1818" s="5">
        <f>car_price_prediction_[[#This Row],[Price]]/100</f>
        <v>21080.81</v>
      </c>
      <c r="M1818">
        <v>2108081</v>
      </c>
      <c r="N1818" s="1" t="s">
        <v>27</v>
      </c>
      <c r="O1818" s="1">
        <f>IF(IFERROR(VLOOKUP(car_price_prediction_[[#This Row],[Car ID]],A1819:A4318,1,FALSE),0),1,0)</f>
        <v>0</v>
      </c>
    </row>
    <row r="1819" spans="1:15" x14ac:dyDescent="0.25">
      <c r="A1819">
        <v>1818</v>
      </c>
      <c r="B1819" s="1" t="s">
        <v>30</v>
      </c>
      <c r="C1819" s="1">
        <f>car_price_prediction_[[#This Row],[Year2]]</f>
        <v>2003</v>
      </c>
      <c r="D1819">
        <v>2003</v>
      </c>
      <c r="E1819">
        <f>car_price_prediction_[[#This Row],[Engine Size]]/10</f>
        <v>5.4</v>
      </c>
      <c r="F1819">
        <v>54</v>
      </c>
      <c r="G1819" s="1" t="s">
        <v>11</v>
      </c>
      <c r="H1819" s="1" t="s">
        <v>12</v>
      </c>
      <c r="I1819" s="12">
        <f>car_price_prediction_[[#This Row],[Mileage]]/1000</f>
        <v>182.61500000000001</v>
      </c>
      <c r="J1819" s="5">
        <v>182615</v>
      </c>
      <c r="K1819" s="1" t="s">
        <v>17</v>
      </c>
      <c r="L1819" s="5">
        <f>car_price_prediction_[[#This Row],[Price]]/100</f>
        <v>53513.59</v>
      </c>
      <c r="M1819">
        <v>5351359</v>
      </c>
      <c r="N1819" s="1" t="s">
        <v>42</v>
      </c>
      <c r="O1819" s="1">
        <f>IF(IFERROR(VLOOKUP(car_price_prediction_[[#This Row],[Car ID]],A1820:A4319,1,FALSE),0),1,0)</f>
        <v>0</v>
      </c>
    </row>
    <row r="1820" spans="1:15" x14ac:dyDescent="0.25">
      <c r="A1820">
        <v>1819</v>
      </c>
      <c r="B1820" s="1" t="s">
        <v>24</v>
      </c>
      <c r="C1820" s="1">
        <f>car_price_prediction_[[#This Row],[Year2]]</f>
        <v>2017</v>
      </c>
      <c r="D1820">
        <v>2017</v>
      </c>
      <c r="E1820">
        <f>car_price_prediction_[[#This Row],[Engine Size]]/10</f>
        <v>2.7</v>
      </c>
      <c r="F1820">
        <v>27</v>
      </c>
      <c r="G1820" s="1" t="s">
        <v>29</v>
      </c>
      <c r="H1820" s="1" t="s">
        <v>12</v>
      </c>
      <c r="I1820" s="12">
        <f>car_price_prediction_[[#This Row],[Mileage]]/1000</f>
        <v>30.920999999999999</v>
      </c>
      <c r="J1820" s="5">
        <v>30921</v>
      </c>
      <c r="K1820" s="1" t="s">
        <v>25</v>
      </c>
      <c r="L1820" s="5">
        <f>car_price_prediction_[[#This Row],[Price]]/100</f>
        <v>44583.46</v>
      </c>
      <c r="M1820">
        <v>4458346</v>
      </c>
      <c r="N1820" s="1" t="s">
        <v>34</v>
      </c>
      <c r="O1820" s="1">
        <f>IF(IFERROR(VLOOKUP(car_price_prediction_[[#This Row],[Car ID]],A1821:A4320,1,FALSE),0),1,0)</f>
        <v>0</v>
      </c>
    </row>
    <row r="1821" spans="1:15" x14ac:dyDescent="0.25">
      <c r="A1821">
        <v>1820</v>
      </c>
      <c r="B1821" s="1" t="s">
        <v>19</v>
      </c>
      <c r="C1821" s="1">
        <f>car_price_prediction_[[#This Row],[Year2]]</f>
        <v>2014</v>
      </c>
      <c r="D1821">
        <v>2014</v>
      </c>
      <c r="E1821">
        <f>car_price_prediction_[[#This Row],[Engine Size]]/10</f>
        <v>4.4000000000000004</v>
      </c>
      <c r="F1821">
        <v>44</v>
      </c>
      <c r="G1821" s="1" t="s">
        <v>29</v>
      </c>
      <c r="H1821" s="1" t="s">
        <v>12</v>
      </c>
      <c r="I1821" s="12">
        <f>car_price_prediction_[[#This Row],[Mileage]]/1000</f>
        <v>161.68600000000001</v>
      </c>
      <c r="J1821" s="5">
        <v>161686</v>
      </c>
      <c r="K1821" s="1" t="s">
        <v>13</v>
      </c>
      <c r="L1821" s="5">
        <f>car_price_prediction_[[#This Row],[Price]]/100</f>
        <v>25820.35</v>
      </c>
      <c r="M1821">
        <v>2582035</v>
      </c>
      <c r="N1821" s="1" t="s">
        <v>38</v>
      </c>
      <c r="O1821" s="1">
        <f>IF(IFERROR(VLOOKUP(car_price_prediction_[[#This Row],[Car ID]],A1822:A4321,1,FALSE),0),1,0)</f>
        <v>0</v>
      </c>
    </row>
    <row r="1822" spans="1:15" x14ac:dyDescent="0.25">
      <c r="A1822">
        <v>1821</v>
      </c>
      <c r="B1822" s="1" t="s">
        <v>24</v>
      </c>
      <c r="C1822" s="1">
        <f>car_price_prediction_[[#This Row],[Year2]]</f>
        <v>2018</v>
      </c>
      <c r="D1822">
        <v>2018</v>
      </c>
      <c r="E1822">
        <f>car_price_prediction_[[#This Row],[Engine Size]]/10</f>
        <v>1.1000000000000001</v>
      </c>
      <c r="F1822">
        <v>11</v>
      </c>
      <c r="G1822" s="1" t="s">
        <v>21</v>
      </c>
      <c r="H1822" s="1" t="s">
        <v>12</v>
      </c>
      <c r="I1822" s="12">
        <f>car_price_prediction_[[#This Row],[Mileage]]/1000</f>
        <v>192.261</v>
      </c>
      <c r="J1822" s="5">
        <v>192261</v>
      </c>
      <c r="K1822" s="1" t="s">
        <v>25</v>
      </c>
      <c r="L1822" s="5">
        <f>car_price_prediction_[[#This Row],[Price]]/100</f>
        <v>73471.460000000006</v>
      </c>
      <c r="M1822">
        <v>7347146</v>
      </c>
      <c r="N1822" s="1" t="s">
        <v>53</v>
      </c>
      <c r="O1822" s="1">
        <f>IF(IFERROR(VLOOKUP(car_price_prediction_[[#This Row],[Car ID]],A1823:A4322,1,FALSE),0),1,0)</f>
        <v>0</v>
      </c>
    </row>
    <row r="1823" spans="1:15" x14ac:dyDescent="0.25">
      <c r="A1823">
        <v>1822</v>
      </c>
      <c r="B1823" s="1" t="s">
        <v>30</v>
      </c>
      <c r="C1823" s="1">
        <f>car_price_prediction_[[#This Row],[Year2]]</f>
        <v>2012</v>
      </c>
      <c r="D1823">
        <v>2012</v>
      </c>
      <c r="E1823">
        <f>car_price_prediction_[[#This Row],[Engine Size]]/10</f>
        <v>4.5</v>
      </c>
      <c r="F1823">
        <v>45</v>
      </c>
      <c r="G1823" s="1" t="s">
        <v>29</v>
      </c>
      <c r="H1823" s="1" t="s">
        <v>12</v>
      </c>
      <c r="I1823" s="12">
        <f>car_price_prediction_[[#This Row],[Mileage]]/1000</f>
        <v>17.600999999999999</v>
      </c>
      <c r="J1823" s="5">
        <v>17601</v>
      </c>
      <c r="K1823" s="1" t="s">
        <v>13</v>
      </c>
      <c r="L1823" s="5">
        <f>car_price_prediction_[[#This Row],[Price]]/100</f>
        <v>64972.480000000003</v>
      </c>
      <c r="M1823">
        <v>6497248</v>
      </c>
      <c r="N1823" s="1" t="s">
        <v>48</v>
      </c>
      <c r="O1823" s="1">
        <f>IF(IFERROR(VLOOKUP(car_price_prediction_[[#This Row],[Car ID]],A1824:A4323,1,FALSE),0),1,0)</f>
        <v>0</v>
      </c>
    </row>
    <row r="1824" spans="1:15" x14ac:dyDescent="0.25">
      <c r="A1824">
        <v>1823</v>
      </c>
      <c r="B1824" s="1" t="s">
        <v>10</v>
      </c>
      <c r="C1824" s="1">
        <f>car_price_prediction_[[#This Row],[Year2]]</f>
        <v>2018</v>
      </c>
      <c r="D1824">
        <v>2018</v>
      </c>
      <c r="E1824">
        <f>car_price_prediction_[[#This Row],[Engine Size]]/10</f>
        <v>2.6</v>
      </c>
      <c r="F1824">
        <v>26</v>
      </c>
      <c r="G1824" s="1" t="s">
        <v>11</v>
      </c>
      <c r="H1824" s="1" t="s">
        <v>12</v>
      </c>
      <c r="I1824" s="12">
        <f>car_price_prediction_[[#This Row],[Mileage]]/1000</f>
        <v>93.331999999999994</v>
      </c>
      <c r="J1824" s="5">
        <v>93332</v>
      </c>
      <c r="K1824" s="1" t="s">
        <v>25</v>
      </c>
      <c r="L1824" s="5">
        <f>car_price_prediction_[[#This Row],[Price]]/100</f>
        <v>14467.85</v>
      </c>
      <c r="M1824">
        <v>1446785</v>
      </c>
      <c r="N1824" s="1" t="s">
        <v>14</v>
      </c>
      <c r="O1824" s="1">
        <f>IF(IFERROR(VLOOKUP(car_price_prediction_[[#This Row],[Car ID]],A1825:A4324,1,FALSE),0),1,0)</f>
        <v>0</v>
      </c>
    </row>
    <row r="1825" spans="1:15" x14ac:dyDescent="0.25">
      <c r="A1825">
        <v>1824</v>
      </c>
      <c r="B1825" s="1" t="s">
        <v>10</v>
      </c>
      <c r="C1825" s="1">
        <f>car_price_prediction_[[#This Row],[Year2]]</f>
        <v>2016</v>
      </c>
      <c r="D1825">
        <v>2016</v>
      </c>
      <c r="E1825">
        <f>car_price_prediction_[[#This Row],[Engine Size]]/10</f>
        <v>1.3</v>
      </c>
      <c r="F1825">
        <v>13</v>
      </c>
      <c r="G1825" s="1" t="s">
        <v>29</v>
      </c>
      <c r="H1825" s="1" t="s">
        <v>22</v>
      </c>
      <c r="I1825" s="12">
        <f>car_price_prediction_[[#This Row],[Mileage]]/1000</f>
        <v>202.61500000000001</v>
      </c>
      <c r="J1825" s="5">
        <v>202615</v>
      </c>
      <c r="K1825" s="1" t="s">
        <v>25</v>
      </c>
      <c r="L1825" s="5">
        <f>car_price_prediction_[[#This Row],[Price]]/100</f>
        <v>92911.74</v>
      </c>
      <c r="M1825">
        <v>9291174</v>
      </c>
      <c r="N1825" s="1" t="s">
        <v>33</v>
      </c>
      <c r="O1825" s="1">
        <f>IF(IFERROR(VLOOKUP(car_price_prediction_[[#This Row],[Car ID]],A1826:A4325,1,FALSE),0),1,0)</f>
        <v>0</v>
      </c>
    </row>
    <row r="1826" spans="1:15" x14ac:dyDescent="0.25">
      <c r="A1826">
        <v>1825</v>
      </c>
      <c r="B1826" s="1" t="s">
        <v>15</v>
      </c>
      <c r="C1826" s="1">
        <f>car_price_prediction_[[#This Row],[Year2]]</f>
        <v>2005</v>
      </c>
      <c r="D1826">
        <v>2005</v>
      </c>
      <c r="E1826">
        <f>car_price_prediction_[[#This Row],[Engine Size]]/10</f>
        <v>4</v>
      </c>
      <c r="F1826">
        <v>40</v>
      </c>
      <c r="G1826" s="1" t="s">
        <v>16</v>
      </c>
      <c r="H1826" s="1" t="s">
        <v>22</v>
      </c>
      <c r="I1826" s="12">
        <f>car_price_prediction_[[#This Row],[Mileage]]/1000</f>
        <v>235.572</v>
      </c>
      <c r="J1826" s="5">
        <v>235572</v>
      </c>
      <c r="K1826" s="1" t="s">
        <v>13</v>
      </c>
      <c r="L1826" s="5">
        <f>car_price_prediction_[[#This Row],[Price]]/100</f>
        <v>58054.65</v>
      </c>
      <c r="M1826">
        <v>5805465</v>
      </c>
      <c r="N1826" s="1" t="s">
        <v>18</v>
      </c>
      <c r="O1826" s="1">
        <f>IF(IFERROR(VLOOKUP(car_price_prediction_[[#This Row],[Car ID]],A1827:A4326,1,FALSE),0),1,0)</f>
        <v>0</v>
      </c>
    </row>
    <row r="1827" spans="1:15" x14ac:dyDescent="0.25">
      <c r="A1827">
        <v>1826</v>
      </c>
      <c r="B1827" s="1" t="s">
        <v>10</v>
      </c>
      <c r="C1827" s="1">
        <f>car_price_prediction_[[#This Row],[Year2]]</f>
        <v>2015</v>
      </c>
      <c r="D1827">
        <v>2015</v>
      </c>
      <c r="E1827">
        <f>car_price_prediction_[[#This Row],[Engine Size]]/10</f>
        <v>2.2000000000000002</v>
      </c>
      <c r="F1827">
        <v>22</v>
      </c>
      <c r="G1827" s="1" t="s">
        <v>16</v>
      </c>
      <c r="H1827" s="1" t="s">
        <v>22</v>
      </c>
      <c r="I1827" s="12">
        <f>car_price_prediction_[[#This Row],[Mileage]]/1000</f>
        <v>290.14400000000001</v>
      </c>
      <c r="J1827" s="5">
        <v>290144</v>
      </c>
      <c r="K1827" s="1" t="s">
        <v>17</v>
      </c>
      <c r="L1827" s="5">
        <f>car_price_prediction_[[#This Row],[Price]]/100</f>
        <v>28769.43</v>
      </c>
      <c r="M1827">
        <v>2876943</v>
      </c>
      <c r="N1827" s="1" t="s">
        <v>14</v>
      </c>
      <c r="O1827" s="1">
        <f>IF(IFERROR(VLOOKUP(car_price_prediction_[[#This Row],[Car ID]],A1828:A4327,1,FALSE),0),1,0)</f>
        <v>0</v>
      </c>
    </row>
    <row r="1828" spans="1:15" x14ac:dyDescent="0.25">
      <c r="A1828">
        <v>1827</v>
      </c>
      <c r="B1828" s="1" t="s">
        <v>10</v>
      </c>
      <c r="C1828" s="1">
        <f>car_price_prediction_[[#This Row],[Year2]]</f>
        <v>2023</v>
      </c>
      <c r="D1828">
        <v>2023</v>
      </c>
      <c r="E1828">
        <f>car_price_prediction_[[#This Row],[Engine Size]]/10</f>
        <v>2.9</v>
      </c>
      <c r="F1828">
        <v>29</v>
      </c>
      <c r="G1828" s="1" t="s">
        <v>21</v>
      </c>
      <c r="H1828" s="1" t="s">
        <v>22</v>
      </c>
      <c r="I1828" s="12">
        <f>car_price_prediction_[[#This Row],[Mileage]]/1000</f>
        <v>130.43899999999999</v>
      </c>
      <c r="J1828" s="5">
        <v>130439</v>
      </c>
      <c r="K1828" s="1" t="s">
        <v>13</v>
      </c>
      <c r="L1828" s="5">
        <f>car_price_prediction_[[#This Row],[Price]]/100</f>
        <v>24597.72</v>
      </c>
      <c r="M1828">
        <v>2459772</v>
      </c>
      <c r="N1828" s="1" t="s">
        <v>33</v>
      </c>
      <c r="O1828" s="1">
        <f>IF(IFERROR(VLOOKUP(car_price_prediction_[[#This Row],[Car ID]],A1829:A4328,1,FALSE),0),1,0)</f>
        <v>0</v>
      </c>
    </row>
    <row r="1829" spans="1:15" x14ac:dyDescent="0.25">
      <c r="A1829">
        <v>1828</v>
      </c>
      <c r="B1829" s="1" t="s">
        <v>43</v>
      </c>
      <c r="C1829" s="1">
        <f>car_price_prediction_[[#This Row],[Year2]]</f>
        <v>2011</v>
      </c>
      <c r="D1829">
        <v>2011</v>
      </c>
      <c r="E1829">
        <f>car_price_prediction_[[#This Row],[Engine Size]]/10</f>
        <v>1.4</v>
      </c>
      <c r="F1829">
        <v>14</v>
      </c>
      <c r="G1829" s="1" t="s">
        <v>11</v>
      </c>
      <c r="H1829" s="1" t="s">
        <v>12</v>
      </c>
      <c r="I1829" s="12">
        <f>car_price_prediction_[[#This Row],[Mileage]]/1000</f>
        <v>239.691</v>
      </c>
      <c r="J1829" s="5">
        <v>239691</v>
      </c>
      <c r="K1829" s="1" t="s">
        <v>17</v>
      </c>
      <c r="L1829" s="5">
        <f>car_price_prediction_[[#This Row],[Price]]/100</f>
        <v>17915.060000000001</v>
      </c>
      <c r="M1829">
        <v>1791506</v>
      </c>
      <c r="N1829" s="1" t="s">
        <v>52</v>
      </c>
      <c r="O1829" s="1">
        <f>IF(IFERROR(VLOOKUP(car_price_prediction_[[#This Row],[Car ID]],A1830:A4329,1,FALSE),0),1,0)</f>
        <v>0</v>
      </c>
    </row>
    <row r="1830" spans="1:15" x14ac:dyDescent="0.25">
      <c r="A1830">
        <v>1829</v>
      </c>
      <c r="B1830" s="1" t="s">
        <v>15</v>
      </c>
      <c r="C1830" s="1">
        <f>car_price_prediction_[[#This Row],[Year2]]</f>
        <v>2018</v>
      </c>
      <c r="D1830">
        <v>2018</v>
      </c>
      <c r="E1830">
        <f>car_price_prediction_[[#This Row],[Engine Size]]/10</f>
        <v>1.7</v>
      </c>
      <c r="F1830">
        <v>17</v>
      </c>
      <c r="G1830" s="1" t="s">
        <v>16</v>
      </c>
      <c r="H1830" s="1" t="s">
        <v>22</v>
      </c>
      <c r="I1830" s="12">
        <f>car_price_prediction_[[#This Row],[Mileage]]/1000</f>
        <v>119.277</v>
      </c>
      <c r="J1830" s="5">
        <v>119277</v>
      </c>
      <c r="K1830" s="1" t="s">
        <v>25</v>
      </c>
      <c r="L1830" s="5">
        <f>car_price_prediction_[[#This Row],[Price]]/100</f>
        <v>45340.55</v>
      </c>
      <c r="M1830">
        <v>4534055</v>
      </c>
      <c r="N1830" s="1" t="s">
        <v>39</v>
      </c>
      <c r="O1830" s="1">
        <f>IF(IFERROR(VLOOKUP(car_price_prediction_[[#This Row],[Car ID]],A1831:A4330,1,FALSE),0),1,0)</f>
        <v>0</v>
      </c>
    </row>
    <row r="1831" spans="1:15" x14ac:dyDescent="0.25">
      <c r="A1831">
        <v>1830</v>
      </c>
      <c r="B1831" s="1" t="s">
        <v>19</v>
      </c>
      <c r="C1831" s="1">
        <f>car_price_prediction_[[#This Row],[Year2]]</f>
        <v>2004</v>
      </c>
      <c r="D1831">
        <v>2004</v>
      </c>
      <c r="E1831">
        <f>car_price_prediction_[[#This Row],[Engine Size]]/10</f>
        <v>2.5</v>
      </c>
      <c r="F1831">
        <v>25</v>
      </c>
      <c r="G1831" s="1" t="s">
        <v>29</v>
      </c>
      <c r="H1831" s="1" t="s">
        <v>12</v>
      </c>
      <c r="I1831" s="12">
        <f>car_price_prediction_[[#This Row],[Mileage]]/1000</f>
        <v>292.52699999999999</v>
      </c>
      <c r="J1831" s="5">
        <v>292527</v>
      </c>
      <c r="K1831" s="1" t="s">
        <v>25</v>
      </c>
      <c r="L1831" s="5">
        <f>car_price_prediction_[[#This Row],[Price]]/100</f>
        <v>1787.64</v>
      </c>
      <c r="M1831">
        <v>178764</v>
      </c>
      <c r="N1831" s="1" t="s">
        <v>38</v>
      </c>
      <c r="O1831" s="1">
        <f>IF(IFERROR(VLOOKUP(car_price_prediction_[[#This Row],[Car ID]],A1832:A4331,1,FALSE),0),1,0)</f>
        <v>0</v>
      </c>
    </row>
    <row r="1832" spans="1:15" x14ac:dyDescent="0.25">
      <c r="A1832">
        <v>1831</v>
      </c>
      <c r="B1832" s="1" t="s">
        <v>36</v>
      </c>
      <c r="C1832" s="1">
        <f>car_price_prediction_[[#This Row],[Year2]]</f>
        <v>2016</v>
      </c>
      <c r="D1832">
        <v>2016</v>
      </c>
      <c r="E1832">
        <f>car_price_prediction_[[#This Row],[Engine Size]]/10</f>
        <v>1.4</v>
      </c>
      <c r="F1832">
        <v>14</v>
      </c>
      <c r="G1832" s="1" t="s">
        <v>16</v>
      </c>
      <c r="H1832" s="1" t="s">
        <v>22</v>
      </c>
      <c r="I1832" s="12">
        <f>car_price_prediction_[[#This Row],[Mileage]]/1000</f>
        <v>142.857</v>
      </c>
      <c r="J1832" s="5">
        <v>142857</v>
      </c>
      <c r="K1832" s="1" t="s">
        <v>13</v>
      </c>
      <c r="L1832" s="5">
        <f>car_price_prediction_[[#This Row],[Price]]/100</f>
        <v>44502.559999999998</v>
      </c>
      <c r="M1832">
        <v>4450256</v>
      </c>
      <c r="N1832" s="1" t="s">
        <v>37</v>
      </c>
      <c r="O1832" s="1">
        <f>IF(IFERROR(VLOOKUP(car_price_prediction_[[#This Row],[Car ID]],A1833:A4332,1,FALSE),0),1,0)</f>
        <v>0</v>
      </c>
    </row>
    <row r="1833" spans="1:15" x14ac:dyDescent="0.25">
      <c r="A1833">
        <v>1832</v>
      </c>
      <c r="B1833" s="1" t="s">
        <v>43</v>
      </c>
      <c r="C1833" s="1">
        <f>car_price_prediction_[[#This Row],[Year2]]</f>
        <v>2022</v>
      </c>
      <c r="D1833">
        <v>2022</v>
      </c>
      <c r="E1833">
        <f>car_price_prediction_[[#This Row],[Engine Size]]/10</f>
        <v>5.6</v>
      </c>
      <c r="F1833">
        <v>56</v>
      </c>
      <c r="G1833" s="1" t="s">
        <v>16</v>
      </c>
      <c r="H1833" s="1" t="s">
        <v>22</v>
      </c>
      <c r="I1833" s="12">
        <f>car_price_prediction_[[#This Row],[Mileage]]/1000</f>
        <v>40.909999999999997</v>
      </c>
      <c r="J1833" s="5">
        <v>40910</v>
      </c>
      <c r="K1833" s="1" t="s">
        <v>13</v>
      </c>
      <c r="L1833" s="5">
        <f>car_price_prediction_[[#This Row],[Price]]/100</f>
        <v>19133.189999999999</v>
      </c>
      <c r="M1833">
        <v>1913319</v>
      </c>
      <c r="N1833" s="1" t="s">
        <v>50</v>
      </c>
      <c r="O1833" s="1">
        <f>IF(IFERROR(VLOOKUP(car_price_prediction_[[#This Row],[Car ID]],A1834:A4333,1,FALSE),0),1,0)</f>
        <v>0</v>
      </c>
    </row>
    <row r="1834" spans="1:15" x14ac:dyDescent="0.25">
      <c r="A1834">
        <v>1833</v>
      </c>
      <c r="B1834" s="1" t="s">
        <v>19</v>
      </c>
      <c r="C1834" s="1">
        <f>car_price_prediction_[[#This Row],[Year2]]</f>
        <v>2000</v>
      </c>
      <c r="D1834">
        <v>2000</v>
      </c>
      <c r="E1834">
        <f>car_price_prediction_[[#This Row],[Engine Size]]/10</f>
        <v>1</v>
      </c>
      <c r="F1834">
        <v>10</v>
      </c>
      <c r="G1834" s="1" t="s">
        <v>21</v>
      </c>
      <c r="H1834" s="1" t="s">
        <v>22</v>
      </c>
      <c r="I1834" s="12">
        <f>car_price_prediction_[[#This Row],[Mileage]]/1000</f>
        <v>170.1</v>
      </c>
      <c r="J1834" s="5">
        <v>170100</v>
      </c>
      <c r="K1834" s="1" t="s">
        <v>17</v>
      </c>
      <c r="L1834" s="5">
        <f>car_price_prediction_[[#This Row],[Price]]/100</f>
        <v>67396.710000000006</v>
      </c>
      <c r="M1834">
        <v>6739671</v>
      </c>
      <c r="N1834" s="1" t="s">
        <v>28</v>
      </c>
      <c r="O1834" s="1">
        <f>IF(IFERROR(VLOOKUP(car_price_prediction_[[#This Row],[Car ID]],A1835:A4334,1,FALSE),0),1,0)</f>
        <v>0</v>
      </c>
    </row>
    <row r="1835" spans="1:15" x14ac:dyDescent="0.25">
      <c r="A1835">
        <v>1834</v>
      </c>
      <c r="B1835" s="1" t="s">
        <v>30</v>
      </c>
      <c r="C1835" s="1">
        <f>car_price_prediction_[[#This Row],[Year2]]</f>
        <v>2023</v>
      </c>
      <c r="D1835">
        <v>2023</v>
      </c>
      <c r="E1835">
        <f>car_price_prediction_[[#This Row],[Engine Size]]/10</f>
        <v>3.4</v>
      </c>
      <c r="F1835">
        <v>34</v>
      </c>
      <c r="G1835" s="1" t="s">
        <v>29</v>
      </c>
      <c r="H1835" s="1" t="s">
        <v>12</v>
      </c>
      <c r="I1835" s="12">
        <f>car_price_prediction_[[#This Row],[Mileage]]/1000</f>
        <v>155.92699999999999</v>
      </c>
      <c r="J1835" s="5">
        <v>155927</v>
      </c>
      <c r="K1835" s="1" t="s">
        <v>17</v>
      </c>
      <c r="L1835" s="5">
        <f>car_price_prediction_[[#This Row],[Price]]/100</f>
        <v>79597.990000000005</v>
      </c>
      <c r="M1835">
        <v>7959799</v>
      </c>
      <c r="N1835" s="1" t="s">
        <v>45</v>
      </c>
      <c r="O1835" s="1">
        <f>IF(IFERROR(VLOOKUP(car_price_prediction_[[#This Row],[Car ID]],A1836:A4335,1,FALSE),0),1,0)</f>
        <v>0</v>
      </c>
    </row>
    <row r="1836" spans="1:15" x14ac:dyDescent="0.25">
      <c r="A1836">
        <v>1835</v>
      </c>
      <c r="B1836" s="1" t="s">
        <v>43</v>
      </c>
      <c r="C1836" s="1">
        <f>car_price_prediction_[[#This Row],[Year2]]</f>
        <v>2022</v>
      </c>
      <c r="D1836">
        <v>2022</v>
      </c>
      <c r="E1836">
        <f>car_price_prediction_[[#This Row],[Engine Size]]/10</f>
        <v>1.6</v>
      </c>
      <c r="F1836">
        <v>16</v>
      </c>
      <c r="G1836" s="1" t="s">
        <v>29</v>
      </c>
      <c r="H1836" s="1" t="s">
        <v>22</v>
      </c>
      <c r="I1836" s="12">
        <f>car_price_prediction_[[#This Row],[Mileage]]/1000</f>
        <v>286.42500000000001</v>
      </c>
      <c r="J1836" s="5">
        <v>286425</v>
      </c>
      <c r="K1836" s="1" t="s">
        <v>17</v>
      </c>
      <c r="L1836" s="5">
        <f>car_price_prediction_[[#This Row],[Price]]/100</f>
        <v>57204.66</v>
      </c>
      <c r="M1836">
        <v>5720466</v>
      </c>
      <c r="N1836" s="1" t="s">
        <v>44</v>
      </c>
      <c r="O1836" s="1">
        <f>IF(IFERROR(VLOOKUP(car_price_prediction_[[#This Row],[Car ID]],A1837:A4336,1,FALSE),0),1,0)</f>
        <v>0</v>
      </c>
    </row>
    <row r="1837" spans="1:15" x14ac:dyDescent="0.25">
      <c r="A1837">
        <v>1836</v>
      </c>
      <c r="B1837" s="1" t="s">
        <v>19</v>
      </c>
      <c r="C1837" s="1">
        <f>car_price_prediction_[[#This Row],[Year2]]</f>
        <v>2009</v>
      </c>
      <c r="D1837">
        <v>2009</v>
      </c>
      <c r="E1837">
        <f>car_price_prediction_[[#This Row],[Engine Size]]/10</f>
        <v>2.5</v>
      </c>
      <c r="F1837">
        <v>25</v>
      </c>
      <c r="G1837" s="1" t="s">
        <v>29</v>
      </c>
      <c r="H1837" s="1" t="s">
        <v>12</v>
      </c>
      <c r="I1837" s="12">
        <f>car_price_prediction_[[#This Row],[Mileage]]/1000</f>
        <v>4.8410000000000002</v>
      </c>
      <c r="J1837" s="5">
        <v>4841</v>
      </c>
      <c r="K1837" s="1" t="s">
        <v>13</v>
      </c>
      <c r="L1837" s="5">
        <f>car_price_prediction_[[#This Row],[Price]]/100</f>
        <v>6960.54</v>
      </c>
      <c r="M1837">
        <v>696054</v>
      </c>
      <c r="N1837" s="1" t="s">
        <v>20</v>
      </c>
      <c r="O1837" s="1">
        <f>IF(IFERROR(VLOOKUP(car_price_prediction_[[#This Row],[Car ID]],A1838:A4337,1,FALSE),0),1,0)</f>
        <v>0</v>
      </c>
    </row>
    <row r="1838" spans="1:15" x14ac:dyDescent="0.25">
      <c r="A1838">
        <v>1837</v>
      </c>
      <c r="B1838" s="1" t="s">
        <v>30</v>
      </c>
      <c r="C1838" s="1">
        <f>car_price_prediction_[[#This Row],[Year2]]</f>
        <v>2014</v>
      </c>
      <c r="D1838">
        <v>2014</v>
      </c>
      <c r="E1838">
        <f>car_price_prediction_[[#This Row],[Engine Size]]/10</f>
        <v>5.6</v>
      </c>
      <c r="F1838">
        <v>56</v>
      </c>
      <c r="G1838" s="1" t="s">
        <v>21</v>
      </c>
      <c r="H1838" s="1" t="s">
        <v>12</v>
      </c>
      <c r="I1838" s="12">
        <f>car_price_prediction_[[#This Row],[Mileage]]/1000</f>
        <v>97.203999999999994</v>
      </c>
      <c r="J1838" s="5">
        <v>97204</v>
      </c>
      <c r="K1838" s="1" t="s">
        <v>25</v>
      </c>
      <c r="L1838" s="5">
        <f>car_price_prediction_[[#This Row],[Price]]/100</f>
        <v>94145.98</v>
      </c>
      <c r="M1838">
        <v>9414598</v>
      </c>
      <c r="N1838" s="1" t="s">
        <v>48</v>
      </c>
      <c r="O1838" s="1">
        <f>IF(IFERROR(VLOOKUP(car_price_prediction_[[#This Row],[Car ID]],A1839:A4338,1,FALSE),0),1,0)</f>
        <v>0</v>
      </c>
    </row>
    <row r="1839" spans="1:15" x14ac:dyDescent="0.25">
      <c r="A1839">
        <v>1838</v>
      </c>
      <c r="B1839" s="1" t="s">
        <v>15</v>
      </c>
      <c r="C1839" s="1">
        <f>car_price_prediction_[[#This Row],[Year2]]</f>
        <v>2022</v>
      </c>
      <c r="D1839">
        <v>2022</v>
      </c>
      <c r="E1839">
        <f>car_price_prediction_[[#This Row],[Engine Size]]/10</f>
        <v>1.8</v>
      </c>
      <c r="F1839">
        <v>18</v>
      </c>
      <c r="G1839" s="1" t="s">
        <v>29</v>
      </c>
      <c r="H1839" s="1" t="s">
        <v>22</v>
      </c>
      <c r="I1839" s="12">
        <f>car_price_prediction_[[#This Row],[Mileage]]/1000</f>
        <v>60.155000000000001</v>
      </c>
      <c r="J1839" s="5">
        <v>60155</v>
      </c>
      <c r="K1839" s="1" t="s">
        <v>13</v>
      </c>
      <c r="L1839" s="5">
        <f>car_price_prediction_[[#This Row],[Price]]/100</f>
        <v>6564.53</v>
      </c>
      <c r="M1839">
        <v>656453</v>
      </c>
      <c r="N1839" s="1" t="s">
        <v>51</v>
      </c>
      <c r="O1839" s="1">
        <f>IF(IFERROR(VLOOKUP(car_price_prediction_[[#This Row],[Car ID]],A1840:A4339,1,FALSE),0),1,0)</f>
        <v>0</v>
      </c>
    </row>
    <row r="1840" spans="1:15" x14ac:dyDescent="0.25">
      <c r="A1840">
        <v>1839</v>
      </c>
      <c r="B1840" s="1" t="s">
        <v>36</v>
      </c>
      <c r="C1840" s="1">
        <f>car_price_prediction_[[#This Row],[Year2]]</f>
        <v>2020</v>
      </c>
      <c r="D1840">
        <v>2020</v>
      </c>
      <c r="E1840">
        <f>car_price_prediction_[[#This Row],[Engine Size]]/10</f>
        <v>5.8</v>
      </c>
      <c r="F1840">
        <v>58</v>
      </c>
      <c r="G1840" s="1" t="s">
        <v>29</v>
      </c>
      <c r="H1840" s="1" t="s">
        <v>12</v>
      </c>
      <c r="I1840" s="12">
        <f>car_price_prediction_[[#This Row],[Mileage]]/1000</f>
        <v>259.589</v>
      </c>
      <c r="J1840" s="5">
        <v>259589</v>
      </c>
      <c r="K1840" s="1" t="s">
        <v>25</v>
      </c>
      <c r="L1840" s="5">
        <f>car_price_prediction_[[#This Row],[Price]]/100</f>
        <v>39595.03</v>
      </c>
      <c r="M1840">
        <v>3959503</v>
      </c>
      <c r="N1840" s="1" t="s">
        <v>41</v>
      </c>
      <c r="O1840" s="1">
        <f>IF(IFERROR(VLOOKUP(car_price_prediction_[[#This Row],[Car ID]],A1841:A4340,1,FALSE),0),1,0)</f>
        <v>0</v>
      </c>
    </row>
    <row r="1841" spans="1:15" x14ac:dyDescent="0.25">
      <c r="A1841">
        <v>1840</v>
      </c>
      <c r="B1841" s="1" t="s">
        <v>30</v>
      </c>
      <c r="C1841" s="1">
        <f>car_price_prediction_[[#This Row],[Year2]]</f>
        <v>2020</v>
      </c>
      <c r="D1841">
        <v>2020</v>
      </c>
      <c r="E1841">
        <f>car_price_prediction_[[#This Row],[Engine Size]]/10</f>
        <v>2</v>
      </c>
      <c r="F1841">
        <v>20</v>
      </c>
      <c r="G1841" s="1" t="s">
        <v>16</v>
      </c>
      <c r="H1841" s="1" t="s">
        <v>12</v>
      </c>
      <c r="I1841" s="12">
        <f>car_price_prediction_[[#This Row],[Mileage]]/1000</f>
        <v>261.14</v>
      </c>
      <c r="J1841" s="5">
        <v>261140</v>
      </c>
      <c r="K1841" s="1" t="s">
        <v>13</v>
      </c>
      <c r="L1841" s="5">
        <f>car_price_prediction_[[#This Row],[Price]]/100</f>
        <v>47700.62</v>
      </c>
      <c r="M1841">
        <v>4770062</v>
      </c>
      <c r="N1841" s="1" t="s">
        <v>31</v>
      </c>
      <c r="O1841" s="1">
        <f>IF(IFERROR(VLOOKUP(car_price_prediction_[[#This Row],[Car ID]],A1842:A4341,1,FALSE),0),1,0)</f>
        <v>0</v>
      </c>
    </row>
    <row r="1842" spans="1:15" x14ac:dyDescent="0.25">
      <c r="A1842">
        <v>1841</v>
      </c>
      <c r="B1842" s="1" t="s">
        <v>10</v>
      </c>
      <c r="C1842" s="1">
        <f>car_price_prediction_[[#This Row],[Year2]]</f>
        <v>2010</v>
      </c>
      <c r="D1842">
        <v>2010</v>
      </c>
      <c r="E1842">
        <f>car_price_prediction_[[#This Row],[Engine Size]]/10</f>
        <v>4.7</v>
      </c>
      <c r="F1842">
        <v>47</v>
      </c>
      <c r="G1842" s="1" t="s">
        <v>16</v>
      </c>
      <c r="H1842" s="1" t="s">
        <v>22</v>
      </c>
      <c r="I1842" s="12">
        <f>car_price_prediction_[[#This Row],[Mileage]]/1000</f>
        <v>148.51499999999999</v>
      </c>
      <c r="J1842" s="5">
        <v>148515</v>
      </c>
      <c r="K1842" s="1" t="s">
        <v>13</v>
      </c>
      <c r="L1842" s="5">
        <f>car_price_prediction_[[#This Row],[Price]]/100</f>
        <v>8674.99</v>
      </c>
      <c r="M1842">
        <v>867499</v>
      </c>
      <c r="N1842" s="1" t="s">
        <v>23</v>
      </c>
      <c r="O1842" s="1">
        <f>IF(IFERROR(VLOOKUP(car_price_prediction_[[#This Row],[Car ID]],A1843:A4342,1,FALSE),0),1,0)</f>
        <v>0</v>
      </c>
    </row>
    <row r="1843" spans="1:15" x14ac:dyDescent="0.25">
      <c r="A1843">
        <v>1842</v>
      </c>
      <c r="B1843" s="1" t="s">
        <v>24</v>
      </c>
      <c r="C1843" s="1">
        <f>car_price_prediction_[[#This Row],[Year2]]</f>
        <v>2012</v>
      </c>
      <c r="D1843">
        <v>2012</v>
      </c>
      <c r="E1843">
        <f>car_price_prediction_[[#This Row],[Engine Size]]/10</f>
        <v>3.7</v>
      </c>
      <c r="F1843">
        <v>37</v>
      </c>
      <c r="G1843" s="1" t="s">
        <v>29</v>
      </c>
      <c r="H1843" s="1" t="s">
        <v>22</v>
      </c>
      <c r="I1843" s="12">
        <f>car_price_prediction_[[#This Row],[Mileage]]/1000</f>
        <v>132.994</v>
      </c>
      <c r="J1843" s="5">
        <v>132994</v>
      </c>
      <c r="K1843" s="1" t="s">
        <v>17</v>
      </c>
      <c r="L1843" s="5">
        <f>car_price_prediction_[[#This Row],[Price]]/100</f>
        <v>17418.43</v>
      </c>
      <c r="M1843">
        <v>1741843</v>
      </c>
      <c r="N1843" s="1" t="s">
        <v>34</v>
      </c>
      <c r="O1843" s="1">
        <f>IF(IFERROR(VLOOKUP(car_price_prediction_[[#This Row],[Car ID]],A1844:A4343,1,FALSE),0),1,0)</f>
        <v>0</v>
      </c>
    </row>
    <row r="1844" spans="1:15" x14ac:dyDescent="0.25">
      <c r="A1844">
        <v>1843</v>
      </c>
      <c r="B1844" s="1" t="s">
        <v>30</v>
      </c>
      <c r="C1844" s="1">
        <f>car_price_prediction_[[#This Row],[Year2]]</f>
        <v>2004</v>
      </c>
      <c r="D1844">
        <v>2004</v>
      </c>
      <c r="E1844">
        <f>car_price_prediction_[[#This Row],[Engine Size]]/10</f>
        <v>5.4</v>
      </c>
      <c r="F1844">
        <v>54</v>
      </c>
      <c r="G1844" s="1" t="s">
        <v>11</v>
      </c>
      <c r="H1844" s="1" t="s">
        <v>22</v>
      </c>
      <c r="I1844" s="12">
        <f>car_price_prediction_[[#This Row],[Mileage]]/1000</f>
        <v>294.12</v>
      </c>
      <c r="J1844" s="5">
        <v>294120</v>
      </c>
      <c r="K1844" s="1" t="s">
        <v>25</v>
      </c>
      <c r="L1844" s="5">
        <f>car_price_prediction_[[#This Row],[Price]]/100</f>
        <v>35945.019999999997</v>
      </c>
      <c r="M1844">
        <v>3594502</v>
      </c>
      <c r="N1844" s="1" t="s">
        <v>45</v>
      </c>
      <c r="O1844" s="1">
        <f>IF(IFERROR(VLOOKUP(car_price_prediction_[[#This Row],[Car ID]],A1845:A4344,1,FALSE),0),1,0)</f>
        <v>0</v>
      </c>
    </row>
    <row r="1845" spans="1:15" x14ac:dyDescent="0.25">
      <c r="A1845">
        <v>1844</v>
      </c>
      <c r="B1845" s="1" t="s">
        <v>30</v>
      </c>
      <c r="C1845" s="1">
        <f>car_price_prediction_[[#This Row],[Year2]]</f>
        <v>2000</v>
      </c>
      <c r="D1845">
        <v>2000</v>
      </c>
      <c r="E1845">
        <f>car_price_prediction_[[#This Row],[Engine Size]]/10</f>
        <v>3.8</v>
      </c>
      <c r="F1845">
        <v>38</v>
      </c>
      <c r="G1845" s="1" t="s">
        <v>11</v>
      </c>
      <c r="H1845" s="1" t="s">
        <v>22</v>
      </c>
      <c r="I1845" s="12">
        <f>car_price_prediction_[[#This Row],[Mileage]]/1000</f>
        <v>143.06299999999999</v>
      </c>
      <c r="J1845" s="5">
        <v>143063</v>
      </c>
      <c r="K1845" s="1" t="s">
        <v>13</v>
      </c>
      <c r="L1845" s="5">
        <f>car_price_prediction_[[#This Row],[Price]]/100</f>
        <v>59841.61</v>
      </c>
      <c r="M1845">
        <v>5984161</v>
      </c>
      <c r="N1845" s="1" t="s">
        <v>42</v>
      </c>
      <c r="O1845" s="1">
        <f>IF(IFERROR(VLOOKUP(car_price_prediction_[[#This Row],[Car ID]],A1846:A4345,1,FALSE),0),1,0)</f>
        <v>0</v>
      </c>
    </row>
    <row r="1846" spans="1:15" x14ac:dyDescent="0.25">
      <c r="A1846">
        <v>1845</v>
      </c>
      <c r="B1846" s="1" t="s">
        <v>36</v>
      </c>
      <c r="C1846" s="1">
        <f>car_price_prediction_[[#This Row],[Year2]]</f>
        <v>2023</v>
      </c>
      <c r="D1846">
        <v>2023</v>
      </c>
      <c r="E1846">
        <f>car_price_prediction_[[#This Row],[Engine Size]]/10</f>
        <v>3.7</v>
      </c>
      <c r="F1846">
        <v>37</v>
      </c>
      <c r="G1846" s="1" t="s">
        <v>29</v>
      </c>
      <c r="H1846" s="1" t="s">
        <v>22</v>
      </c>
      <c r="I1846" s="12">
        <f>car_price_prediction_[[#This Row],[Mileage]]/1000</f>
        <v>104.405</v>
      </c>
      <c r="J1846" s="5">
        <v>104405</v>
      </c>
      <c r="K1846" s="1" t="s">
        <v>13</v>
      </c>
      <c r="L1846" s="5">
        <f>car_price_prediction_[[#This Row],[Price]]/100</f>
        <v>69257.009999999995</v>
      </c>
      <c r="M1846">
        <v>6925701</v>
      </c>
      <c r="N1846" s="1" t="s">
        <v>46</v>
      </c>
      <c r="O1846" s="1">
        <f>IF(IFERROR(VLOOKUP(car_price_prediction_[[#This Row],[Car ID]],A1847:A4346,1,FALSE),0),1,0)</f>
        <v>0</v>
      </c>
    </row>
    <row r="1847" spans="1:15" x14ac:dyDescent="0.25">
      <c r="A1847">
        <v>1846</v>
      </c>
      <c r="B1847" s="1" t="s">
        <v>24</v>
      </c>
      <c r="C1847" s="1">
        <f>car_price_prediction_[[#This Row],[Year2]]</f>
        <v>2011</v>
      </c>
      <c r="D1847">
        <v>2011</v>
      </c>
      <c r="E1847">
        <f>car_price_prediction_[[#This Row],[Engine Size]]/10</f>
        <v>2</v>
      </c>
      <c r="F1847">
        <v>20</v>
      </c>
      <c r="G1847" s="1" t="s">
        <v>11</v>
      </c>
      <c r="H1847" s="1" t="s">
        <v>22</v>
      </c>
      <c r="I1847" s="12">
        <f>car_price_prediction_[[#This Row],[Mileage]]/1000</f>
        <v>53.744</v>
      </c>
      <c r="J1847" s="5">
        <v>53744</v>
      </c>
      <c r="K1847" s="1" t="s">
        <v>25</v>
      </c>
      <c r="L1847" s="5">
        <f>car_price_prediction_[[#This Row],[Price]]/100</f>
        <v>77532.41</v>
      </c>
      <c r="M1847">
        <v>7753241</v>
      </c>
      <c r="N1847" s="1" t="s">
        <v>53</v>
      </c>
      <c r="O1847" s="1">
        <f>IF(IFERROR(VLOOKUP(car_price_prediction_[[#This Row],[Car ID]],A1848:A4347,1,FALSE),0),1,0)</f>
        <v>0</v>
      </c>
    </row>
    <row r="1848" spans="1:15" x14ac:dyDescent="0.25">
      <c r="A1848">
        <v>1847</v>
      </c>
      <c r="B1848" s="1" t="s">
        <v>10</v>
      </c>
      <c r="C1848" s="1">
        <f>car_price_prediction_[[#This Row],[Year2]]</f>
        <v>2010</v>
      </c>
      <c r="D1848">
        <v>2010</v>
      </c>
      <c r="E1848">
        <f>car_price_prediction_[[#This Row],[Engine Size]]/10</f>
        <v>1.8</v>
      </c>
      <c r="F1848">
        <v>18</v>
      </c>
      <c r="G1848" s="1" t="s">
        <v>21</v>
      </c>
      <c r="H1848" s="1" t="s">
        <v>12</v>
      </c>
      <c r="I1848" s="12">
        <f>car_price_prediction_[[#This Row],[Mileage]]/1000</f>
        <v>2.4729999999999999</v>
      </c>
      <c r="J1848" s="5">
        <v>2473</v>
      </c>
      <c r="K1848" s="1" t="s">
        <v>13</v>
      </c>
      <c r="L1848" s="5">
        <f>car_price_prediction_[[#This Row],[Price]]/100</f>
        <v>35229.65</v>
      </c>
      <c r="M1848">
        <v>3522965</v>
      </c>
      <c r="N1848" s="1" t="s">
        <v>33</v>
      </c>
      <c r="O1848" s="1">
        <f>IF(IFERROR(VLOOKUP(car_price_prediction_[[#This Row],[Car ID]],A1849:A4348,1,FALSE),0),1,0)</f>
        <v>0</v>
      </c>
    </row>
    <row r="1849" spans="1:15" x14ac:dyDescent="0.25">
      <c r="A1849">
        <v>1848</v>
      </c>
      <c r="B1849" s="1" t="s">
        <v>19</v>
      </c>
      <c r="C1849" s="1">
        <f>car_price_prediction_[[#This Row],[Year2]]</f>
        <v>2016</v>
      </c>
      <c r="D1849">
        <v>2016</v>
      </c>
      <c r="E1849">
        <f>car_price_prediction_[[#This Row],[Engine Size]]/10</f>
        <v>5.6</v>
      </c>
      <c r="F1849">
        <v>56</v>
      </c>
      <c r="G1849" s="1" t="s">
        <v>16</v>
      </c>
      <c r="H1849" s="1" t="s">
        <v>22</v>
      </c>
      <c r="I1849" s="12">
        <f>car_price_prediction_[[#This Row],[Mileage]]/1000</f>
        <v>139.18</v>
      </c>
      <c r="J1849" s="5">
        <v>139180</v>
      </c>
      <c r="K1849" s="1" t="s">
        <v>25</v>
      </c>
      <c r="L1849" s="5">
        <f>car_price_prediction_[[#This Row],[Price]]/100</f>
        <v>18856.62</v>
      </c>
      <c r="M1849">
        <v>1885662</v>
      </c>
      <c r="N1849" s="1" t="s">
        <v>38</v>
      </c>
      <c r="O1849" s="1">
        <f>IF(IFERROR(VLOOKUP(car_price_prediction_[[#This Row],[Car ID]],A1850:A4349,1,FALSE),0),1,0)</f>
        <v>0</v>
      </c>
    </row>
    <row r="1850" spans="1:15" x14ac:dyDescent="0.25">
      <c r="A1850">
        <v>1849</v>
      </c>
      <c r="B1850" s="1" t="s">
        <v>19</v>
      </c>
      <c r="C1850" s="1">
        <f>car_price_prediction_[[#This Row],[Year2]]</f>
        <v>2003</v>
      </c>
      <c r="D1850">
        <v>2003</v>
      </c>
      <c r="E1850">
        <f>car_price_prediction_[[#This Row],[Engine Size]]/10</f>
        <v>2.6</v>
      </c>
      <c r="F1850">
        <v>26</v>
      </c>
      <c r="G1850" s="1" t="s">
        <v>21</v>
      </c>
      <c r="H1850" s="1" t="s">
        <v>22</v>
      </c>
      <c r="I1850" s="12">
        <f>car_price_prediction_[[#This Row],[Mileage]]/1000</f>
        <v>28.715</v>
      </c>
      <c r="J1850" s="5">
        <v>28715</v>
      </c>
      <c r="K1850" s="1" t="s">
        <v>17</v>
      </c>
      <c r="L1850" s="5">
        <f>car_price_prediction_[[#This Row],[Price]]/100</f>
        <v>95709.72</v>
      </c>
      <c r="M1850">
        <v>9570972</v>
      </c>
      <c r="N1850" s="1" t="s">
        <v>38</v>
      </c>
      <c r="O1850" s="1">
        <f>IF(IFERROR(VLOOKUP(car_price_prediction_[[#This Row],[Car ID]],A1851:A4350,1,FALSE),0),1,0)</f>
        <v>0</v>
      </c>
    </row>
    <row r="1851" spans="1:15" x14ac:dyDescent="0.25">
      <c r="A1851">
        <v>1850</v>
      </c>
      <c r="B1851" s="1" t="s">
        <v>30</v>
      </c>
      <c r="C1851" s="1">
        <f>car_price_prediction_[[#This Row],[Year2]]</f>
        <v>2014</v>
      </c>
      <c r="D1851">
        <v>2014</v>
      </c>
      <c r="E1851">
        <f>car_price_prediction_[[#This Row],[Engine Size]]/10</f>
        <v>2.9</v>
      </c>
      <c r="F1851">
        <v>29</v>
      </c>
      <c r="G1851" s="1" t="s">
        <v>16</v>
      </c>
      <c r="H1851" s="1" t="s">
        <v>12</v>
      </c>
      <c r="I1851" s="12">
        <f>car_price_prediction_[[#This Row],[Mileage]]/1000</f>
        <v>244.82599999999999</v>
      </c>
      <c r="J1851" s="5">
        <v>244826</v>
      </c>
      <c r="K1851" s="1" t="s">
        <v>17</v>
      </c>
      <c r="L1851" s="5">
        <f>car_price_prediction_[[#This Row],[Price]]/100</f>
        <v>12257.26</v>
      </c>
      <c r="M1851">
        <v>1225726</v>
      </c>
      <c r="N1851" s="1" t="s">
        <v>31</v>
      </c>
      <c r="O1851" s="1">
        <f>IF(IFERROR(VLOOKUP(car_price_prediction_[[#This Row],[Car ID]],A1852:A4351,1,FALSE),0),1,0)</f>
        <v>0</v>
      </c>
    </row>
    <row r="1852" spans="1:15" x14ac:dyDescent="0.25">
      <c r="A1852">
        <v>1851</v>
      </c>
      <c r="B1852" s="1" t="s">
        <v>24</v>
      </c>
      <c r="C1852" s="1">
        <f>car_price_prediction_[[#This Row],[Year2]]</f>
        <v>2008</v>
      </c>
      <c r="D1852">
        <v>2008</v>
      </c>
      <c r="E1852">
        <f>car_price_prediction_[[#This Row],[Engine Size]]/10</f>
        <v>4.8</v>
      </c>
      <c r="F1852">
        <v>48</v>
      </c>
      <c r="G1852" s="1" t="s">
        <v>11</v>
      </c>
      <c r="H1852" s="1" t="s">
        <v>22</v>
      </c>
      <c r="I1852" s="12">
        <f>car_price_prediction_[[#This Row],[Mileage]]/1000</f>
        <v>253.85599999999999</v>
      </c>
      <c r="J1852" s="5">
        <v>253856</v>
      </c>
      <c r="K1852" s="1" t="s">
        <v>25</v>
      </c>
      <c r="L1852" s="5">
        <f>car_price_prediction_[[#This Row],[Price]]/100</f>
        <v>14101.51</v>
      </c>
      <c r="M1852">
        <v>1410151</v>
      </c>
      <c r="N1852" s="1" t="s">
        <v>26</v>
      </c>
      <c r="O1852" s="1">
        <f>IF(IFERROR(VLOOKUP(car_price_prediction_[[#This Row],[Car ID]],A1853:A4352,1,FALSE),0),1,0)</f>
        <v>0</v>
      </c>
    </row>
    <row r="1853" spans="1:15" x14ac:dyDescent="0.25">
      <c r="A1853">
        <v>1852</v>
      </c>
      <c r="B1853" s="1" t="s">
        <v>24</v>
      </c>
      <c r="C1853" s="1">
        <f>car_price_prediction_[[#This Row],[Year2]]</f>
        <v>2020</v>
      </c>
      <c r="D1853">
        <v>2020</v>
      </c>
      <c r="E1853">
        <f>car_price_prediction_[[#This Row],[Engine Size]]/10</f>
        <v>2.7</v>
      </c>
      <c r="F1853">
        <v>27</v>
      </c>
      <c r="G1853" s="1" t="s">
        <v>11</v>
      </c>
      <c r="H1853" s="1" t="s">
        <v>12</v>
      </c>
      <c r="I1853" s="12">
        <f>car_price_prediction_[[#This Row],[Mileage]]/1000</f>
        <v>239.41900000000001</v>
      </c>
      <c r="J1853" s="5">
        <v>239419</v>
      </c>
      <c r="K1853" s="1" t="s">
        <v>17</v>
      </c>
      <c r="L1853" s="5">
        <f>car_price_prediction_[[#This Row],[Price]]/100</f>
        <v>52019.54</v>
      </c>
      <c r="M1853">
        <v>5201954</v>
      </c>
      <c r="N1853" s="1" t="s">
        <v>34</v>
      </c>
      <c r="O1853" s="1">
        <f>IF(IFERROR(VLOOKUP(car_price_prediction_[[#This Row],[Car ID]],A1854:A4353,1,FALSE),0),1,0)</f>
        <v>0</v>
      </c>
    </row>
    <row r="1854" spans="1:15" x14ac:dyDescent="0.25">
      <c r="A1854">
        <v>1853</v>
      </c>
      <c r="B1854" s="1" t="s">
        <v>10</v>
      </c>
      <c r="C1854" s="1">
        <f>car_price_prediction_[[#This Row],[Year2]]</f>
        <v>2019</v>
      </c>
      <c r="D1854">
        <v>2019</v>
      </c>
      <c r="E1854">
        <f>car_price_prediction_[[#This Row],[Engine Size]]/10</f>
        <v>5.8</v>
      </c>
      <c r="F1854">
        <v>58</v>
      </c>
      <c r="G1854" s="1" t="s">
        <v>29</v>
      </c>
      <c r="H1854" s="1" t="s">
        <v>22</v>
      </c>
      <c r="I1854" s="12">
        <f>car_price_prediction_[[#This Row],[Mileage]]/1000</f>
        <v>252.50800000000001</v>
      </c>
      <c r="J1854" s="5">
        <v>252508</v>
      </c>
      <c r="K1854" s="1" t="s">
        <v>25</v>
      </c>
      <c r="L1854" s="5">
        <f>car_price_prediction_[[#This Row],[Price]]/100</f>
        <v>82830.75</v>
      </c>
      <c r="M1854">
        <v>8283075</v>
      </c>
      <c r="N1854" s="1" t="s">
        <v>49</v>
      </c>
      <c r="O1854" s="1">
        <f>IF(IFERROR(VLOOKUP(car_price_prediction_[[#This Row],[Car ID]],A1855:A4354,1,FALSE),0),1,0)</f>
        <v>0</v>
      </c>
    </row>
    <row r="1855" spans="1:15" x14ac:dyDescent="0.25">
      <c r="A1855">
        <v>1854</v>
      </c>
      <c r="B1855" s="1" t="s">
        <v>36</v>
      </c>
      <c r="C1855" s="1">
        <f>car_price_prediction_[[#This Row],[Year2]]</f>
        <v>2018</v>
      </c>
      <c r="D1855">
        <v>2018</v>
      </c>
      <c r="E1855">
        <f>car_price_prediction_[[#This Row],[Engine Size]]/10</f>
        <v>4.7</v>
      </c>
      <c r="F1855">
        <v>47</v>
      </c>
      <c r="G1855" s="1" t="s">
        <v>11</v>
      </c>
      <c r="H1855" s="1" t="s">
        <v>22</v>
      </c>
      <c r="I1855" s="12">
        <f>car_price_prediction_[[#This Row],[Mileage]]/1000</f>
        <v>299.46100000000001</v>
      </c>
      <c r="J1855" s="5">
        <v>299461</v>
      </c>
      <c r="K1855" s="1" t="s">
        <v>13</v>
      </c>
      <c r="L1855" s="5">
        <f>car_price_prediction_[[#This Row],[Price]]/100</f>
        <v>78577.89</v>
      </c>
      <c r="M1855">
        <v>7857789</v>
      </c>
      <c r="N1855" s="1" t="s">
        <v>41</v>
      </c>
      <c r="O1855" s="1">
        <f>IF(IFERROR(VLOOKUP(car_price_prediction_[[#This Row],[Car ID]],A1856:A4355,1,FALSE),0),1,0)</f>
        <v>0</v>
      </c>
    </row>
    <row r="1856" spans="1:15" x14ac:dyDescent="0.25">
      <c r="A1856">
        <v>1855</v>
      </c>
      <c r="B1856" s="1" t="s">
        <v>15</v>
      </c>
      <c r="C1856" s="1">
        <f>car_price_prediction_[[#This Row],[Year2]]</f>
        <v>2018</v>
      </c>
      <c r="D1856">
        <v>2018</v>
      </c>
      <c r="E1856">
        <f>car_price_prediction_[[#This Row],[Engine Size]]/10</f>
        <v>4</v>
      </c>
      <c r="F1856">
        <v>40</v>
      </c>
      <c r="G1856" s="1" t="s">
        <v>11</v>
      </c>
      <c r="H1856" s="1" t="s">
        <v>12</v>
      </c>
      <c r="I1856" s="12">
        <f>car_price_prediction_[[#This Row],[Mileage]]/1000</f>
        <v>164.434</v>
      </c>
      <c r="J1856" s="5">
        <v>164434</v>
      </c>
      <c r="K1856" s="1" t="s">
        <v>13</v>
      </c>
      <c r="L1856" s="5">
        <f>car_price_prediction_[[#This Row],[Price]]/100</f>
        <v>94081.43</v>
      </c>
      <c r="M1856">
        <v>9408143</v>
      </c>
      <c r="N1856" s="1" t="s">
        <v>39</v>
      </c>
      <c r="O1856" s="1">
        <f>IF(IFERROR(VLOOKUP(car_price_prediction_[[#This Row],[Car ID]],A1857:A4356,1,FALSE),0),1,0)</f>
        <v>0</v>
      </c>
    </row>
    <row r="1857" spans="1:15" x14ac:dyDescent="0.25">
      <c r="A1857">
        <v>1856</v>
      </c>
      <c r="B1857" s="1" t="s">
        <v>19</v>
      </c>
      <c r="C1857" s="1">
        <f>car_price_prediction_[[#This Row],[Year2]]</f>
        <v>2011</v>
      </c>
      <c r="D1857">
        <v>2011</v>
      </c>
      <c r="E1857">
        <f>car_price_prediction_[[#This Row],[Engine Size]]/10</f>
        <v>5.4</v>
      </c>
      <c r="F1857">
        <v>54</v>
      </c>
      <c r="G1857" s="1" t="s">
        <v>29</v>
      </c>
      <c r="H1857" s="1" t="s">
        <v>22</v>
      </c>
      <c r="I1857" s="12">
        <f>car_price_prediction_[[#This Row],[Mileage]]/1000</f>
        <v>54.603999999999999</v>
      </c>
      <c r="J1857" s="5">
        <v>54604</v>
      </c>
      <c r="K1857" s="1" t="s">
        <v>25</v>
      </c>
      <c r="L1857" s="5">
        <f>car_price_prediction_[[#This Row],[Price]]/100</f>
        <v>18452.240000000002</v>
      </c>
      <c r="M1857">
        <v>1845224</v>
      </c>
      <c r="N1857" s="1" t="s">
        <v>20</v>
      </c>
      <c r="O1857" s="1">
        <f>IF(IFERROR(VLOOKUP(car_price_prediction_[[#This Row],[Car ID]],A1858:A4357,1,FALSE),0),1,0)</f>
        <v>0</v>
      </c>
    </row>
    <row r="1858" spans="1:15" x14ac:dyDescent="0.25">
      <c r="A1858">
        <v>1857</v>
      </c>
      <c r="B1858" s="1" t="s">
        <v>36</v>
      </c>
      <c r="C1858" s="1">
        <f>car_price_prediction_[[#This Row],[Year2]]</f>
        <v>2004</v>
      </c>
      <c r="D1858">
        <v>2004</v>
      </c>
      <c r="E1858">
        <f>car_price_prediction_[[#This Row],[Engine Size]]/10</f>
        <v>1.2</v>
      </c>
      <c r="F1858">
        <v>12</v>
      </c>
      <c r="G1858" s="1" t="s">
        <v>29</v>
      </c>
      <c r="H1858" s="1" t="s">
        <v>12</v>
      </c>
      <c r="I1858" s="12">
        <f>car_price_prediction_[[#This Row],[Mileage]]/1000</f>
        <v>4.8890000000000002</v>
      </c>
      <c r="J1858" s="5">
        <v>4889</v>
      </c>
      <c r="K1858" s="1" t="s">
        <v>13</v>
      </c>
      <c r="L1858" s="5">
        <f>car_price_prediction_[[#This Row],[Price]]/100</f>
        <v>40694.089999999997</v>
      </c>
      <c r="M1858">
        <v>4069409</v>
      </c>
      <c r="N1858" s="1" t="s">
        <v>40</v>
      </c>
      <c r="O1858" s="1">
        <f>IF(IFERROR(VLOOKUP(car_price_prediction_[[#This Row],[Car ID]],A1859:A4358,1,FALSE),0),1,0)</f>
        <v>0</v>
      </c>
    </row>
    <row r="1859" spans="1:15" x14ac:dyDescent="0.25">
      <c r="A1859">
        <v>1858</v>
      </c>
      <c r="B1859" s="1" t="s">
        <v>43</v>
      </c>
      <c r="C1859" s="1">
        <f>car_price_prediction_[[#This Row],[Year2]]</f>
        <v>2009</v>
      </c>
      <c r="D1859">
        <v>2009</v>
      </c>
      <c r="E1859">
        <f>car_price_prediction_[[#This Row],[Engine Size]]/10</f>
        <v>2.2999999999999998</v>
      </c>
      <c r="F1859">
        <v>23</v>
      </c>
      <c r="G1859" s="1" t="s">
        <v>16</v>
      </c>
      <c r="H1859" s="1" t="s">
        <v>22</v>
      </c>
      <c r="I1859" s="12">
        <f>car_price_prediction_[[#This Row],[Mileage]]/1000</f>
        <v>220.62899999999999</v>
      </c>
      <c r="J1859" s="5">
        <v>220629</v>
      </c>
      <c r="K1859" s="1" t="s">
        <v>17</v>
      </c>
      <c r="L1859" s="5">
        <f>car_price_prediction_[[#This Row],[Price]]/100</f>
        <v>3180.35</v>
      </c>
      <c r="M1859">
        <v>318035</v>
      </c>
      <c r="N1859" s="1" t="s">
        <v>50</v>
      </c>
      <c r="O1859" s="1">
        <f>IF(IFERROR(VLOOKUP(car_price_prediction_[[#This Row],[Car ID]],A1860:A4359,1,FALSE),0),1,0)</f>
        <v>0</v>
      </c>
    </row>
    <row r="1860" spans="1:15" x14ac:dyDescent="0.25">
      <c r="A1860">
        <v>1859</v>
      </c>
      <c r="B1860" s="1" t="s">
        <v>19</v>
      </c>
      <c r="C1860" s="1">
        <f>car_price_prediction_[[#This Row],[Year2]]</f>
        <v>2016</v>
      </c>
      <c r="D1860">
        <v>2016</v>
      </c>
      <c r="E1860">
        <f>car_price_prediction_[[#This Row],[Engine Size]]/10</f>
        <v>3.3</v>
      </c>
      <c r="F1860">
        <v>33</v>
      </c>
      <c r="G1860" s="1" t="s">
        <v>11</v>
      </c>
      <c r="H1860" s="1" t="s">
        <v>22</v>
      </c>
      <c r="I1860" s="12">
        <f>car_price_prediction_[[#This Row],[Mileage]]/1000</f>
        <v>294.11500000000001</v>
      </c>
      <c r="J1860" s="5">
        <v>294115</v>
      </c>
      <c r="K1860" s="1" t="s">
        <v>13</v>
      </c>
      <c r="L1860" s="5">
        <f>car_price_prediction_[[#This Row],[Price]]/100</f>
        <v>86782.66</v>
      </c>
      <c r="M1860">
        <v>8678266</v>
      </c>
      <c r="N1860" s="1" t="s">
        <v>27</v>
      </c>
      <c r="O1860" s="1">
        <f>IF(IFERROR(VLOOKUP(car_price_prediction_[[#This Row],[Car ID]],A1861:A4360,1,FALSE),0),1,0)</f>
        <v>0</v>
      </c>
    </row>
    <row r="1861" spans="1:15" x14ac:dyDescent="0.25">
      <c r="A1861">
        <v>1860</v>
      </c>
      <c r="B1861" s="1" t="s">
        <v>36</v>
      </c>
      <c r="C1861" s="1">
        <f>car_price_prediction_[[#This Row],[Year2]]</f>
        <v>2004</v>
      </c>
      <c r="D1861">
        <v>2004</v>
      </c>
      <c r="E1861">
        <f>car_price_prediction_[[#This Row],[Engine Size]]/10</f>
        <v>2.1</v>
      </c>
      <c r="F1861">
        <v>21</v>
      </c>
      <c r="G1861" s="1" t="s">
        <v>16</v>
      </c>
      <c r="H1861" s="1" t="s">
        <v>12</v>
      </c>
      <c r="I1861" s="12">
        <f>car_price_prediction_[[#This Row],[Mileage]]/1000</f>
        <v>50.551000000000002</v>
      </c>
      <c r="J1861" s="5">
        <v>50551</v>
      </c>
      <c r="K1861" s="1" t="s">
        <v>13</v>
      </c>
      <c r="L1861" s="5">
        <f>car_price_prediction_[[#This Row],[Price]]/100</f>
        <v>51393.69</v>
      </c>
      <c r="M1861">
        <v>5139369</v>
      </c>
      <c r="N1861" s="1" t="s">
        <v>40</v>
      </c>
      <c r="O1861" s="1">
        <f>IF(IFERROR(VLOOKUP(car_price_prediction_[[#This Row],[Car ID]],A1862:A4361,1,FALSE),0),1,0)</f>
        <v>0</v>
      </c>
    </row>
    <row r="1862" spans="1:15" x14ac:dyDescent="0.25">
      <c r="A1862">
        <v>1861</v>
      </c>
      <c r="B1862" s="1" t="s">
        <v>19</v>
      </c>
      <c r="C1862" s="1">
        <f>car_price_prediction_[[#This Row],[Year2]]</f>
        <v>2021</v>
      </c>
      <c r="D1862">
        <v>2021</v>
      </c>
      <c r="E1862">
        <f>car_price_prediction_[[#This Row],[Engine Size]]/10</f>
        <v>4.7</v>
      </c>
      <c r="F1862">
        <v>47</v>
      </c>
      <c r="G1862" s="1" t="s">
        <v>16</v>
      </c>
      <c r="H1862" s="1" t="s">
        <v>22</v>
      </c>
      <c r="I1862" s="12">
        <f>car_price_prediction_[[#This Row],[Mileage]]/1000</f>
        <v>134.273</v>
      </c>
      <c r="J1862" s="5">
        <v>134273</v>
      </c>
      <c r="K1862" s="1" t="s">
        <v>25</v>
      </c>
      <c r="L1862" s="5">
        <f>car_price_prediction_[[#This Row],[Price]]/100</f>
        <v>7550.55</v>
      </c>
      <c r="M1862">
        <v>755055</v>
      </c>
      <c r="N1862" s="1" t="s">
        <v>27</v>
      </c>
      <c r="O1862" s="1">
        <f>IF(IFERROR(VLOOKUP(car_price_prediction_[[#This Row],[Car ID]],A1863:A4362,1,FALSE),0),1,0)</f>
        <v>0</v>
      </c>
    </row>
    <row r="1863" spans="1:15" x14ac:dyDescent="0.25">
      <c r="A1863">
        <v>1862</v>
      </c>
      <c r="B1863" s="1" t="s">
        <v>15</v>
      </c>
      <c r="C1863" s="1">
        <f>car_price_prediction_[[#This Row],[Year2]]</f>
        <v>2015</v>
      </c>
      <c r="D1863">
        <v>2015</v>
      </c>
      <c r="E1863">
        <f>car_price_prediction_[[#This Row],[Engine Size]]/10</f>
        <v>5.6</v>
      </c>
      <c r="F1863">
        <v>56</v>
      </c>
      <c r="G1863" s="1" t="s">
        <v>21</v>
      </c>
      <c r="H1863" s="1" t="s">
        <v>22</v>
      </c>
      <c r="I1863" s="12">
        <f>car_price_prediction_[[#This Row],[Mileage]]/1000</f>
        <v>237.23</v>
      </c>
      <c r="J1863" s="5">
        <v>237230</v>
      </c>
      <c r="K1863" s="1" t="s">
        <v>17</v>
      </c>
      <c r="L1863" s="5">
        <f>car_price_prediction_[[#This Row],[Price]]/100</f>
        <v>72256.62</v>
      </c>
      <c r="M1863">
        <v>7225662</v>
      </c>
      <c r="N1863" s="1" t="s">
        <v>51</v>
      </c>
      <c r="O1863" s="1">
        <f>IF(IFERROR(VLOOKUP(car_price_prediction_[[#This Row],[Car ID]],A1864:A4363,1,FALSE),0),1,0)</f>
        <v>0</v>
      </c>
    </row>
    <row r="1864" spans="1:15" x14ac:dyDescent="0.25">
      <c r="A1864">
        <v>1863</v>
      </c>
      <c r="B1864" s="1" t="s">
        <v>43</v>
      </c>
      <c r="C1864" s="1">
        <f>car_price_prediction_[[#This Row],[Year2]]</f>
        <v>2006</v>
      </c>
      <c r="D1864">
        <v>2006</v>
      </c>
      <c r="E1864">
        <f>car_price_prediction_[[#This Row],[Engine Size]]/10</f>
        <v>3.1</v>
      </c>
      <c r="F1864">
        <v>31</v>
      </c>
      <c r="G1864" s="1" t="s">
        <v>11</v>
      </c>
      <c r="H1864" s="1" t="s">
        <v>12</v>
      </c>
      <c r="I1864" s="12">
        <f>car_price_prediction_[[#This Row],[Mileage]]/1000</f>
        <v>236.13900000000001</v>
      </c>
      <c r="J1864" s="5">
        <v>236139</v>
      </c>
      <c r="K1864" s="1" t="s">
        <v>13</v>
      </c>
      <c r="L1864" s="5">
        <f>car_price_prediction_[[#This Row],[Price]]/100</f>
        <v>41926.32</v>
      </c>
      <c r="M1864">
        <v>4192632</v>
      </c>
      <c r="N1864" s="1" t="s">
        <v>44</v>
      </c>
      <c r="O1864" s="1">
        <f>IF(IFERROR(VLOOKUP(car_price_prediction_[[#This Row],[Car ID]],A1865:A4364,1,FALSE),0),1,0)</f>
        <v>0</v>
      </c>
    </row>
    <row r="1865" spans="1:15" x14ac:dyDescent="0.25">
      <c r="A1865">
        <v>1864</v>
      </c>
      <c r="B1865" s="1" t="s">
        <v>15</v>
      </c>
      <c r="C1865" s="1">
        <f>car_price_prediction_[[#This Row],[Year2]]</f>
        <v>2008</v>
      </c>
      <c r="D1865">
        <v>2008</v>
      </c>
      <c r="E1865">
        <f>car_price_prediction_[[#This Row],[Engine Size]]/10</f>
        <v>2.7</v>
      </c>
      <c r="F1865">
        <v>27</v>
      </c>
      <c r="G1865" s="1" t="s">
        <v>11</v>
      </c>
      <c r="H1865" s="1" t="s">
        <v>22</v>
      </c>
      <c r="I1865" s="12">
        <f>car_price_prediction_[[#This Row],[Mileage]]/1000</f>
        <v>108.95699999999999</v>
      </c>
      <c r="J1865" s="5">
        <v>108957</v>
      </c>
      <c r="K1865" s="1" t="s">
        <v>13</v>
      </c>
      <c r="L1865" s="5">
        <f>car_price_prediction_[[#This Row],[Price]]/100</f>
        <v>55458.94</v>
      </c>
      <c r="M1865">
        <v>5545894</v>
      </c>
      <c r="N1865" s="1" t="s">
        <v>18</v>
      </c>
      <c r="O1865" s="1">
        <f>IF(IFERROR(VLOOKUP(car_price_prediction_[[#This Row],[Car ID]],A1866:A4365,1,FALSE),0),1,0)</f>
        <v>0</v>
      </c>
    </row>
    <row r="1866" spans="1:15" x14ac:dyDescent="0.25">
      <c r="A1866">
        <v>1865</v>
      </c>
      <c r="B1866" s="1" t="s">
        <v>10</v>
      </c>
      <c r="C1866" s="1">
        <f>car_price_prediction_[[#This Row],[Year2]]</f>
        <v>2002</v>
      </c>
      <c r="D1866">
        <v>2002</v>
      </c>
      <c r="E1866">
        <f>car_price_prediction_[[#This Row],[Engine Size]]/10</f>
        <v>5.8</v>
      </c>
      <c r="F1866">
        <v>58</v>
      </c>
      <c r="G1866" s="1" t="s">
        <v>21</v>
      </c>
      <c r="H1866" s="1" t="s">
        <v>12</v>
      </c>
      <c r="I1866" s="12">
        <f>car_price_prediction_[[#This Row],[Mileage]]/1000</f>
        <v>89.882000000000005</v>
      </c>
      <c r="J1866" s="5">
        <v>89882</v>
      </c>
      <c r="K1866" s="1" t="s">
        <v>25</v>
      </c>
      <c r="L1866" s="5">
        <f>car_price_prediction_[[#This Row],[Price]]/100</f>
        <v>89909.81</v>
      </c>
      <c r="M1866">
        <v>8990981</v>
      </c>
      <c r="N1866" s="1" t="s">
        <v>14</v>
      </c>
      <c r="O1866" s="1">
        <f>IF(IFERROR(VLOOKUP(car_price_prediction_[[#This Row],[Car ID]],A1867:A4366,1,FALSE),0),1,0)</f>
        <v>0</v>
      </c>
    </row>
    <row r="1867" spans="1:15" x14ac:dyDescent="0.25">
      <c r="A1867">
        <v>1866</v>
      </c>
      <c r="B1867" s="1" t="s">
        <v>43</v>
      </c>
      <c r="C1867" s="1">
        <f>car_price_prediction_[[#This Row],[Year2]]</f>
        <v>2014</v>
      </c>
      <c r="D1867">
        <v>2014</v>
      </c>
      <c r="E1867">
        <f>car_price_prediction_[[#This Row],[Engine Size]]/10</f>
        <v>3.2</v>
      </c>
      <c r="F1867">
        <v>32</v>
      </c>
      <c r="G1867" s="1" t="s">
        <v>16</v>
      </c>
      <c r="H1867" s="1" t="s">
        <v>22</v>
      </c>
      <c r="I1867" s="12">
        <f>car_price_prediction_[[#This Row],[Mileage]]/1000</f>
        <v>210.32300000000001</v>
      </c>
      <c r="J1867" s="5">
        <v>210323</v>
      </c>
      <c r="K1867" s="1" t="s">
        <v>25</v>
      </c>
      <c r="L1867" s="5">
        <f>car_price_prediction_[[#This Row],[Price]]/100</f>
        <v>29390.09</v>
      </c>
      <c r="M1867">
        <v>2939009</v>
      </c>
      <c r="N1867" s="1" t="s">
        <v>52</v>
      </c>
      <c r="O1867" s="1">
        <f>IF(IFERROR(VLOOKUP(car_price_prediction_[[#This Row],[Car ID]],A1868:A4367,1,FALSE),0),1,0)</f>
        <v>0</v>
      </c>
    </row>
    <row r="1868" spans="1:15" x14ac:dyDescent="0.25">
      <c r="A1868">
        <v>1867</v>
      </c>
      <c r="B1868" s="1" t="s">
        <v>30</v>
      </c>
      <c r="C1868" s="1">
        <f>car_price_prediction_[[#This Row],[Year2]]</f>
        <v>2015</v>
      </c>
      <c r="D1868">
        <v>2015</v>
      </c>
      <c r="E1868">
        <f>car_price_prediction_[[#This Row],[Engine Size]]/10</f>
        <v>3.4</v>
      </c>
      <c r="F1868">
        <v>34</v>
      </c>
      <c r="G1868" s="1" t="s">
        <v>11</v>
      </c>
      <c r="H1868" s="1" t="s">
        <v>12</v>
      </c>
      <c r="I1868" s="12">
        <f>car_price_prediction_[[#This Row],[Mileage]]/1000</f>
        <v>267.82499999999999</v>
      </c>
      <c r="J1868" s="5">
        <v>267825</v>
      </c>
      <c r="K1868" s="1" t="s">
        <v>17</v>
      </c>
      <c r="L1868" s="5">
        <f>car_price_prediction_[[#This Row],[Price]]/100</f>
        <v>27825.14</v>
      </c>
      <c r="M1868">
        <v>2782514</v>
      </c>
      <c r="N1868" s="1" t="s">
        <v>45</v>
      </c>
      <c r="O1868" s="1">
        <f>IF(IFERROR(VLOOKUP(car_price_prediction_[[#This Row],[Car ID]],A1869:A4368,1,FALSE),0),1,0)</f>
        <v>0</v>
      </c>
    </row>
    <row r="1869" spans="1:15" x14ac:dyDescent="0.25">
      <c r="A1869">
        <v>1868</v>
      </c>
      <c r="B1869" s="1" t="s">
        <v>36</v>
      </c>
      <c r="C1869" s="1">
        <f>car_price_prediction_[[#This Row],[Year2]]</f>
        <v>2017</v>
      </c>
      <c r="D1869">
        <v>2017</v>
      </c>
      <c r="E1869">
        <f>car_price_prediction_[[#This Row],[Engine Size]]/10</f>
        <v>2.8</v>
      </c>
      <c r="F1869">
        <v>28</v>
      </c>
      <c r="G1869" s="1" t="s">
        <v>16</v>
      </c>
      <c r="H1869" s="1" t="s">
        <v>22</v>
      </c>
      <c r="I1869" s="12">
        <f>car_price_prediction_[[#This Row],[Mileage]]/1000</f>
        <v>101.982</v>
      </c>
      <c r="J1869" s="5">
        <v>101982</v>
      </c>
      <c r="K1869" s="1" t="s">
        <v>13</v>
      </c>
      <c r="L1869" s="5">
        <f>car_price_prediction_[[#This Row],[Price]]/100</f>
        <v>30003.29</v>
      </c>
      <c r="M1869">
        <v>3000329</v>
      </c>
      <c r="N1869" s="1" t="s">
        <v>41</v>
      </c>
      <c r="O1869" s="1">
        <f>IF(IFERROR(VLOOKUP(car_price_prediction_[[#This Row],[Car ID]],A1870:A4369,1,FALSE),0),1,0)</f>
        <v>0</v>
      </c>
    </row>
    <row r="1870" spans="1:15" x14ac:dyDescent="0.25">
      <c r="A1870">
        <v>1869</v>
      </c>
      <c r="B1870" s="1" t="s">
        <v>43</v>
      </c>
      <c r="C1870" s="1">
        <f>car_price_prediction_[[#This Row],[Year2]]</f>
        <v>2013</v>
      </c>
      <c r="D1870">
        <v>2013</v>
      </c>
      <c r="E1870">
        <f>car_price_prediction_[[#This Row],[Engine Size]]/10</f>
        <v>5.5</v>
      </c>
      <c r="F1870">
        <v>55</v>
      </c>
      <c r="G1870" s="1" t="s">
        <v>21</v>
      </c>
      <c r="H1870" s="1" t="s">
        <v>12</v>
      </c>
      <c r="I1870" s="12">
        <f>car_price_prediction_[[#This Row],[Mileage]]/1000</f>
        <v>46.87</v>
      </c>
      <c r="J1870" s="5">
        <v>46870</v>
      </c>
      <c r="K1870" s="1" t="s">
        <v>25</v>
      </c>
      <c r="L1870" s="5">
        <f>car_price_prediction_[[#This Row],[Price]]/100</f>
        <v>37120.26</v>
      </c>
      <c r="M1870">
        <v>3712026</v>
      </c>
      <c r="N1870" s="1" t="s">
        <v>50</v>
      </c>
      <c r="O1870" s="1">
        <f>IF(IFERROR(VLOOKUP(car_price_prediction_[[#This Row],[Car ID]],A1871:A4370,1,FALSE),0),1,0)</f>
        <v>0</v>
      </c>
    </row>
    <row r="1871" spans="1:15" x14ac:dyDescent="0.25">
      <c r="A1871">
        <v>1870</v>
      </c>
      <c r="B1871" s="1" t="s">
        <v>10</v>
      </c>
      <c r="C1871" s="1">
        <f>car_price_prediction_[[#This Row],[Year2]]</f>
        <v>2002</v>
      </c>
      <c r="D1871">
        <v>2002</v>
      </c>
      <c r="E1871">
        <f>car_price_prediction_[[#This Row],[Engine Size]]/10</f>
        <v>3.8</v>
      </c>
      <c r="F1871">
        <v>38</v>
      </c>
      <c r="G1871" s="1" t="s">
        <v>29</v>
      </c>
      <c r="H1871" s="1" t="s">
        <v>12</v>
      </c>
      <c r="I1871" s="12">
        <f>car_price_prediction_[[#This Row],[Mileage]]/1000</f>
        <v>213.328</v>
      </c>
      <c r="J1871" s="5">
        <v>213328</v>
      </c>
      <c r="K1871" s="1" t="s">
        <v>25</v>
      </c>
      <c r="L1871" s="5">
        <f>car_price_prediction_[[#This Row],[Price]]/100</f>
        <v>15198.63</v>
      </c>
      <c r="M1871">
        <v>1519863</v>
      </c>
      <c r="N1871" s="1" t="s">
        <v>14</v>
      </c>
      <c r="O1871" s="1">
        <f>IF(IFERROR(VLOOKUP(car_price_prediction_[[#This Row],[Car ID]],A1872:A4371,1,FALSE),0),1,0)</f>
        <v>0</v>
      </c>
    </row>
    <row r="1872" spans="1:15" x14ac:dyDescent="0.25">
      <c r="A1872">
        <v>1871</v>
      </c>
      <c r="B1872" s="1" t="s">
        <v>10</v>
      </c>
      <c r="C1872" s="1">
        <f>car_price_prediction_[[#This Row],[Year2]]</f>
        <v>2011</v>
      </c>
      <c r="D1872">
        <v>2011</v>
      </c>
      <c r="E1872">
        <f>car_price_prediction_[[#This Row],[Engine Size]]/10</f>
        <v>4.8</v>
      </c>
      <c r="F1872">
        <v>48</v>
      </c>
      <c r="G1872" s="1" t="s">
        <v>16</v>
      </c>
      <c r="H1872" s="1" t="s">
        <v>22</v>
      </c>
      <c r="I1872" s="12">
        <f>car_price_prediction_[[#This Row],[Mileage]]/1000</f>
        <v>159.22399999999999</v>
      </c>
      <c r="J1872" s="5">
        <v>159224</v>
      </c>
      <c r="K1872" s="1" t="s">
        <v>25</v>
      </c>
      <c r="L1872" s="5">
        <f>car_price_prediction_[[#This Row],[Price]]/100</f>
        <v>71235.87</v>
      </c>
      <c r="M1872">
        <v>7123587</v>
      </c>
      <c r="N1872" s="1" t="s">
        <v>23</v>
      </c>
      <c r="O1872" s="1">
        <f>IF(IFERROR(VLOOKUP(car_price_prediction_[[#This Row],[Car ID]],A1873:A4372,1,FALSE),0),1,0)</f>
        <v>0</v>
      </c>
    </row>
    <row r="1873" spans="1:15" x14ac:dyDescent="0.25">
      <c r="A1873">
        <v>1872</v>
      </c>
      <c r="B1873" s="1" t="s">
        <v>15</v>
      </c>
      <c r="C1873" s="1">
        <f>car_price_prediction_[[#This Row],[Year2]]</f>
        <v>2008</v>
      </c>
      <c r="D1873">
        <v>2008</v>
      </c>
      <c r="E1873">
        <f>car_price_prediction_[[#This Row],[Engine Size]]/10</f>
        <v>5.0999999999999996</v>
      </c>
      <c r="F1873">
        <v>51</v>
      </c>
      <c r="G1873" s="1" t="s">
        <v>11</v>
      </c>
      <c r="H1873" s="1" t="s">
        <v>22</v>
      </c>
      <c r="I1873" s="12">
        <f>car_price_prediction_[[#This Row],[Mileage]]/1000</f>
        <v>50.061</v>
      </c>
      <c r="J1873" s="5">
        <v>50061</v>
      </c>
      <c r="K1873" s="1" t="s">
        <v>17</v>
      </c>
      <c r="L1873" s="5">
        <f>car_price_prediction_[[#This Row],[Price]]/100</f>
        <v>24702.880000000001</v>
      </c>
      <c r="M1873">
        <v>2470288</v>
      </c>
      <c r="N1873" s="1" t="s">
        <v>51</v>
      </c>
      <c r="O1873" s="1">
        <f>IF(IFERROR(VLOOKUP(car_price_prediction_[[#This Row],[Car ID]],A1874:A4373,1,FALSE),0),1,0)</f>
        <v>0</v>
      </c>
    </row>
    <row r="1874" spans="1:15" x14ac:dyDescent="0.25">
      <c r="A1874">
        <v>1873</v>
      </c>
      <c r="B1874" s="1" t="s">
        <v>19</v>
      </c>
      <c r="C1874" s="1">
        <f>car_price_prediction_[[#This Row],[Year2]]</f>
        <v>2006</v>
      </c>
      <c r="D1874">
        <v>2006</v>
      </c>
      <c r="E1874">
        <f>car_price_prediction_[[#This Row],[Engine Size]]/10</f>
        <v>2.7</v>
      </c>
      <c r="F1874">
        <v>27</v>
      </c>
      <c r="G1874" s="1" t="s">
        <v>29</v>
      </c>
      <c r="H1874" s="1" t="s">
        <v>12</v>
      </c>
      <c r="I1874" s="12">
        <f>car_price_prediction_[[#This Row],[Mileage]]/1000</f>
        <v>188.691</v>
      </c>
      <c r="J1874" s="5">
        <v>188691</v>
      </c>
      <c r="K1874" s="1" t="s">
        <v>25</v>
      </c>
      <c r="L1874" s="5">
        <f>car_price_prediction_[[#This Row],[Price]]/100</f>
        <v>92983.85</v>
      </c>
      <c r="M1874">
        <v>9298385</v>
      </c>
      <c r="N1874" s="1" t="s">
        <v>20</v>
      </c>
      <c r="O1874" s="1">
        <f>IF(IFERROR(VLOOKUP(car_price_prediction_[[#This Row],[Car ID]],A1875:A4374,1,FALSE),0),1,0)</f>
        <v>0</v>
      </c>
    </row>
    <row r="1875" spans="1:15" x14ac:dyDescent="0.25">
      <c r="A1875">
        <v>1874</v>
      </c>
      <c r="B1875" s="1" t="s">
        <v>43</v>
      </c>
      <c r="C1875" s="1">
        <f>car_price_prediction_[[#This Row],[Year2]]</f>
        <v>2008</v>
      </c>
      <c r="D1875">
        <v>2008</v>
      </c>
      <c r="E1875">
        <f>car_price_prediction_[[#This Row],[Engine Size]]/10</f>
        <v>3.2</v>
      </c>
      <c r="F1875">
        <v>32</v>
      </c>
      <c r="G1875" s="1" t="s">
        <v>16</v>
      </c>
      <c r="H1875" s="1" t="s">
        <v>22</v>
      </c>
      <c r="I1875" s="12">
        <f>car_price_prediction_[[#This Row],[Mileage]]/1000</f>
        <v>58.234999999999999</v>
      </c>
      <c r="J1875" s="5">
        <v>58235</v>
      </c>
      <c r="K1875" s="1" t="s">
        <v>17</v>
      </c>
      <c r="L1875" s="5">
        <f>car_price_prediction_[[#This Row],[Price]]/100</f>
        <v>2549.02</v>
      </c>
      <c r="M1875">
        <v>254902</v>
      </c>
      <c r="N1875" s="1" t="s">
        <v>47</v>
      </c>
      <c r="O1875" s="1">
        <f>IF(IFERROR(VLOOKUP(car_price_prediction_[[#This Row],[Car ID]],A1876:A4375,1,FALSE),0),1,0)</f>
        <v>0</v>
      </c>
    </row>
    <row r="1876" spans="1:15" x14ac:dyDescent="0.25">
      <c r="A1876">
        <v>1875</v>
      </c>
      <c r="B1876" s="1" t="s">
        <v>36</v>
      </c>
      <c r="C1876" s="1">
        <f>car_price_prediction_[[#This Row],[Year2]]</f>
        <v>2012</v>
      </c>
      <c r="D1876">
        <v>2012</v>
      </c>
      <c r="E1876">
        <f>car_price_prediction_[[#This Row],[Engine Size]]/10</f>
        <v>5.2</v>
      </c>
      <c r="F1876">
        <v>52</v>
      </c>
      <c r="G1876" s="1" t="s">
        <v>16</v>
      </c>
      <c r="H1876" s="1" t="s">
        <v>12</v>
      </c>
      <c r="I1876" s="12">
        <f>car_price_prediction_[[#This Row],[Mileage]]/1000</f>
        <v>90.072999999999993</v>
      </c>
      <c r="J1876" s="5">
        <v>90073</v>
      </c>
      <c r="K1876" s="1" t="s">
        <v>17</v>
      </c>
      <c r="L1876" s="5">
        <f>car_price_prediction_[[#This Row],[Price]]/100</f>
        <v>29285.99</v>
      </c>
      <c r="M1876">
        <v>2928599</v>
      </c>
      <c r="N1876" s="1" t="s">
        <v>40</v>
      </c>
      <c r="O1876" s="1">
        <f>IF(IFERROR(VLOOKUP(car_price_prediction_[[#This Row],[Car ID]],A1877:A4376,1,FALSE),0),1,0)</f>
        <v>0</v>
      </c>
    </row>
    <row r="1877" spans="1:15" x14ac:dyDescent="0.25">
      <c r="A1877">
        <v>1876</v>
      </c>
      <c r="B1877" s="1" t="s">
        <v>43</v>
      </c>
      <c r="C1877" s="1">
        <f>car_price_prediction_[[#This Row],[Year2]]</f>
        <v>2017</v>
      </c>
      <c r="D1877">
        <v>2017</v>
      </c>
      <c r="E1877">
        <f>car_price_prediction_[[#This Row],[Engine Size]]/10</f>
        <v>2.8</v>
      </c>
      <c r="F1877">
        <v>28</v>
      </c>
      <c r="G1877" s="1" t="s">
        <v>29</v>
      </c>
      <c r="H1877" s="1" t="s">
        <v>22</v>
      </c>
      <c r="I1877" s="12">
        <f>car_price_prediction_[[#This Row],[Mileage]]/1000</f>
        <v>11.217000000000001</v>
      </c>
      <c r="J1877" s="5">
        <v>11217</v>
      </c>
      <c r="K1877" s="1" t="s">
        <v>13</v>
      </c>
      <c r="L1877" s="5">
        <f>car_price_prediction_[[#This Row],[Price]]/100</f>
        <v>33216.92</v>
      </c>
      <c r="M1877">
        <v>3321692</v>
      </c>
      <c r="N1877" s="1" t="s">
        <v>52</v>
      </c>
      <c r="O1877" s="1">
        <f>IF(IFERROR(VLOOKUP(car_price_prediction_[[#This Row],[Car ID]],A1878:A4377,1,FALSE),0),1,0)</f>
        <v>0</v>
      </c>
    </row>
    <row r="1878" spans="1:15" x14ac:dyDescent="0.25">
      <c r="A1878">
        <v>1877</v>
      </c>
      <c r="B1878" s="1" t="s">
        <v>24</v>
      </c>
      <c r="C1878" s="1">
        <f>car_price_prediction_[[#This Row],[Year2]]</f>
        <v>2004</v>
      </c>
      <c r="D1878">
        <v>2004</v>
      </c>
      <c r="E1878">
        <f>car_price_prediction_[[#This Row],[Engine Size]]/10</f>
        <v>5</v>
      </c>
      <c r="F1878">
        <v>50</v>
      </c>
      <c r="G1878" s="1" t="s">
        <v>29</v>
      </c>
      <c r="H1878" s="1" t="s">
        <v>22</v>
      </c>
      <c r="I1878" s="12">
        <f>car_price_prediction_[[#This Row],[Mileage]]/1000</f>
        <v>295.88499999999999</v>
      </c>
      <c r="J1878" s="5">
        <v>295885</v>
      </c>
      <c r="K1878" s="1" t="s">
        <v>13</v>
      </c>
      <c r="L1878" s="5">
        <f>car_price_prediction_[[#This Row],[Price]]/100</f>
        <v>78011.12</v>
      </c>
      <c r="M1878">
        <v>7801112</v>
      </c>
      <c r="N1878" s="1" t="s">
        <v>26</v>
      </c>
      <c r="O1878" s="1">
        <f>IF(IFERROR(VLOOKUP(car_price_prediction_[[#This Row],[Car ID]],A1879:A4378,1,FALSE),0),1,0)</f>
        <v>0</v>
      </c>
    </row>
    <row r="1879" spans="1:15" x14ac:dyDescent="0.25">
      <c r="A1879">
        <v>1878</v>
      </c>
      <c r="B1879" s="1" t="s">
        <v>19</v>
      </c>
      <c r="C1879" s="1">
        <f>car_price_prediction_[[#This Row],[Year2]]</f>
        <v>2012</v>
      </c>
      <c r="D1879">
        <v>2012</v>
      </c>
      <c r="E1879">
        <f>car_price_prediction_[[#This Row],[Engine Size]]/10</f>
        <v>5.7</v>
      </c>
      <c r="F1879">
        <v>57</v>
      </c>
      <c r="G1879" s="1" t="s">
        <v>29</v>
      </c>
      <c r="H1879" s="1" t="s">
        <v>12</v>
      </c>
      <c r="I1879" s="12">
        <f>car_price_prediction_[[#This Row],[Mileage]]/1000</f>
        <v>192.386</v>
      </c>
      <c r="J1879" s="5">
        <v>192386</v>
      </c>
      <c r="K1879" s="1" t="s">
        <v>17</v>
      </c>
      <c r="L1879" s="5">
        <f>car_price_prediction_[[#This Row],[Price]]/100</f>
        <v>45622.62</v>
      </c>
      <c r="M1879">
        <v>4562262</v>
      </c>
      <c r="N1879" s="1" t="s">
        <v>28</v>
      </c>
      <c r="O1879" s="1">
        <f>IF(IFERROR(VLOOKUP(car_price_prediction_[[#This Row],[Car ID]],A1880:A4379,1,FALSE),0),1,0)</f>
        <v>0</v>
      </c>
    </row>
    <row r="1880" spans="1:15" x14ac:dyDescent="0.25">
      <c r="A1880">
        <v>1879</v>
      </c>
      <c r="B1880" s="1" t="s">
        <v>36</v>
      </c>
      <c r="C1880" s="1">
        <f>car_price_prediction_[[#This Row],[Year2]]</f>
        <v>2003</v>
      </c>
      <c r="D1880">
        <v>2003</v>
      </c>
      <c r="E1880">
        <f>car_price_prediction_[[#This Row],[Engine Size]]/10</f>
        <v>4.0999999999999996</v>
      </c>
      <c r="F1880">
        <v>41</v>
      </c>
      <c r="G1880" s="1" t="s">
        <v>11</v>
      </c>
      <c r="H1880" s="1" t="s">
        <v>12</v>
      </c>
      <c r="I1880" s="12">
        <f>car_price_prediction_[[#This Row],[Mileage]]/1000</f>
        <v>263.55200000000002</v>
      </c>
      <c r="J1880" s="5">
        <v>263552</v>
      </c>
      <c r="K1880" s="1" t="s">
        <v>13</v>
      </c>
      <c r="L1880" s="5">
        <f>car_price_prediction_[[#This Row],[Price]]/100</f>
        <v>82836.789999999994</v>
      </c>
      <c r="M1880">
        <v>8283679</v>
      </c>
      <c r="N1880" s="1" t="s">
        <v>46</v>
      </c>
      <c r="O1880" s="1">
        <f>IF(IFERROR(VLOOKUP(car_price_prediction_[[#This Row],[Car ID]],A1881:A4380,1,FALSE),0),1,0)</f>
        <v>0</v>
      </c>
    </row>
    <row r="1881" spans="1:15" x14ac:dyDescent="0.25">
      <c r="A1881">
        <v>1880</v>
      </c>
      <c r="B1881" s="1" t="s">
        <v>36</v>
      </c>
      <c r="C1881" s="1">
        <f>car_price_prediction_[[#This Row],[Year2]]</f>
        <v>2001</v>
      </c>
      <c r="D1881">
        <v>2001</v>
      </c>
      <c r="E1881">
        <f>car_price_prediction_[[#This Row],[Engine Size]]/10</f>
        <v>4.7</v>
      </c>
      <c r="F1881">
        <v>47</v>
      </c>
      <c r="G1881" s="1" t="s">
        <v>11</v>
      </c>
      <c r="H1881" s="1" t="s">
        <v>22</v>
      </c>
      <c r="I1881" s="12">
        <f>car_price_prediction_[[#This Row],[Mileage]]/1000</f>
        <v>42.902999999999999</v>
      </c>
      <c r="J1881" s="5">
        <v>42903</v>
      </c>
      <c r="K1881" s="1" t="s">
        <v>13</v>
      </c>
      <c r="L1881" s="5">
        <f>car_price_prediction_[[#This Row],[Price]]/100</f>
        <v>7956.11</v>
      </c>
      <c r="M1881">
        <v>795611</v>
      </c>
      <c r="N1881" s="1" t="s">
        <v>37</v>
      </c>
      <c r="O1881" s="1">
        <f>IF(IFERROR(VLOOKUP(car_price_prediction_[[#This Row],[Car ID]],A1882:A4381,1,FALSE),0),1,0)</f>
        <v>0</v>
      </c>
    </row>
    <row r="1882" spans="1:15" x14ac:dyDescent="0.25">
      <c r="A1882">
        <v>1881</v>
      </c>
      <c r="B1882" s="1" t="s">
        <v>30</v>
      </c>
      <c r="C1882" s="1">
        <f>car_price_prediction_[[#This Row],[Year2]]</f>
        <v>2015</v>
      </c>
      <c r="D1882">
        <v>2015</v>
      </c>
      <c r="E1882">
        <f>car_price_prediction_[[#This Row],[Engine Size]]/10</f>
        <v>5</v>
      </c>
      <c r="F1882">
        <v>50</v>
      </c>
      <c r="G1882" s="1" t="s">
        <v>16</v>
      </c>
      <c r="H1882" s="1" t="s">
        <v>22</v>
      </c>
      <c r="I1882" s="12">
        <f>car_price_prediction_[[#This Row],[Mileage]]/1000</f>
        <v>215.28</v>
      </c>
      <c r="J1882" s="5">
        <v>215280</v>
      </c>
      <c r="K1882" s="1" t="s">
        <v>25</v>
      </c>
      <c r="L1882" s="5">
        <f>car_price_prediction_[[#This Row],[Price]]/100</f>
        <v>93301.59</v>
      </c>
      <c r="M1882">
        <v>9330159</v>
      </c>
      <c r="N1882" s="1" t="s">
        <v>45</v>
      </c>
      <c r="O1882" s="1">
        <f>IF(IFERROR(VLOOKUP(car_price_prediction_[[#This Row],[Car ID]],A1883:A4382,1,FALSE),0),1,0)</f>
        <v>0</v>
      </c>
    </row>
    <row r="1883" spans="1:15" x14ac:dyDescent="0.25">
      <c r="A1883">
        <v>1882</v>
      </c>
      <c r="B1883" s="1" t="s">
        <v>15</v>
      </c>
      <c r="C1883" s="1">
        <f>car_price_prediction_[[#This Row],[Year2]]</f>
        <v>2008</v>
      </c>
      <c r="D1883">
        <v>2008</v>
      </c>
      <c r="E1883">
        <f>car_price_prediction_[[#This Row],[Engine Size]]/10</f>
        <v>5.2</v>
      </c>
      <c r="F1883">
        <v>52</v>
      </c>
      <c r="G1883" s="1" t="s">
        <v>16</v>
      </c>
      <c r="H1883" s="1" t="s">
        <v>22</v>
      </c>
      <c r="I1883" s="12">
        <f>car_price_prediction_[[#This Row],[Mileage]]/1000</f>
        <v>107.042</v>
      </c>
      <c r="J1883" s="5">
        <v>107042</v>
      </c>
      <c r="K1883" s="1" t="s">
        <v>13</v>
      </c>
      <c r="L1883" s="5">
        <f>car_price_prediction_[[#This Row],[Price]]/100</f>
        <v>76877.39</v>
      </c>
      <c r="M1883">
        <v>7687739</v>
      </c>
      <c r="N1883" s="1" t="s">
        <v>51</v>
      </c>
      <c r="O1883" s="1">
        <f>IF(IFERROR(VLOOKUP(car_price_prediction_[[#This Row],[Car ID]],A1884:A4383,1,FALSE),0),1,0)</f>
        <v>0</v>
      </c>
    </row>
    <row r="1884" spans="1:15" x14ac:dyDescent="0.25">
      <c r="A1884">
        <v>1883</v>
      </c>
      <c r="B1884" s="1" t="s">
        <v>30</v>
      </c>
      <c r="C1884" s="1">
        <f>car_price_prediction_[[#This Row],[Year2]]</f>
        <v>2008</v>
      </c>
      <c r="D1884">
        <v>2008</v>
      </c>
      <c r="E1884">
        <f>car_price_prediction_[[#This Row],[Engine Size]]/10</f>
        <v>3</v>
      </c>
      <c r="F1884">
        <v>30</v>
      </c>
      <c r="G1884" s="1" t="s">
        <v>21</v>
      </c>
      <c r="H1884" s="1" t="s">
        <v>22</v>
      </c>
      <c r="I1884" s="12">
        <f>car_price_prediction_[[#This Row],[Mileage]]/1000</f>
        <v>243.72499999999999</v>
      </c>
      <c r="J1884" s="5">
        <v>243725</v>
      </c>
      <c r="K1884" s="1" t="s">
        <v>17</v>
      </c>
      <c r="L1884" s="5">
        <f>car_price_prediction_[[#This Row],[Price]]/100</f>
        <v>9931.56</v>
      </c>
      <c r="M1884">
        <v>993156</v>
      </c>
      <c r="N1884" s="1" t="s">
        <v>42</v>
      </c>
      <c r="O1884" s="1">
        <f>IF(IFERROR(VLOOKUP(car_price_prediction_[[#This Row],[Car ID]],A1885:A4384,1,FALSE),0),1,0)</f>
        <v>0</v>
      </c>
    </row>
    <row r="1885" spans="1:15" x14ac:dyDescent="0.25">
      <c r="A1885">
        <v>1884</v>
      </c>
      <c r="B1885" s="1" t="s">
        <v>36</v>
      </c>
      <c r="C1885" s="1">
        <f>car_price_prediction_[[#This Row],[Year2]]</f>
        <v>2005</v>
      </c>
      <c r="D1885">
        <v>2005</v>
      </c>
      <c r="E1885">
        <f>car_price_prediction_[[#This Row],[Engine Size]]/10</f>
        <v>1.3</v>
      </c>
      <c r="F1885">
        <v>13</v>
      </c>
      <c r="G1885" s="1" t="s">
        <v>11</v>
      </c>
      <c r="H1885" s="1" t="s">
        <v>22</v>
      </c>
      <c r="I1885" s="12">
        <f>car_price_prediction_[[#This Row],[Mileage]]/1000</f>
        <v>132.29</v>
      </c>
      <c r="J1885" s="5">
        <v>132290</v>
      </c>
      <c r="K1885" s="1" t="s">
        <v>13</v>
      </c>
      <c r="L1885" s="5">
        <f>car_price_prediction_[[#This Row],[Price]]/100</f>
        <v>84541.72</v>
      </c>
      <c r="M1885">
        <v>8454172</v>
      </c>
      <c r="N1885" s="1" t="s">
        <v>41</v>
      </c>
      <c r="O1885" s="1">
        <f>IF(IFERROR(VLOOKUP(car_price_prediction_[[#This Row],[Car ID]],A1886:A4385,1,FALSE),0),1,0)</f>
        <v>0</v>
      </c>
    </row>
    <row r="1886" spans="1:15" x14ac:dyDescent="0.25">
      <c r="A1886">
        <v>1885</v>
      </c>
      <c r="B1886" s="1" t="s">
        <v>19</v>
      </c>
      <c r="C1886" s="1">
        <f>car_price_prediction_[[#This Row],[Year2]]</f>
        <v>2010</v>
      </c>
      <c r="D1886">
        <v>2010</v>
      </c>
      <c r="E1886">
        <f>car_price_prediction_[[#This Row],[Engine Size]]/10</f>
        <v>3</v>
      </c>
      <c r="F1886">
        <v>30</v>
      </c>
      <c r="G1886" s="1" t="s">
        <v>16</v>
      </c>
      <c r="H1886" s="1" t="s">
        <v>12</v>
      </c>
      <c r="I1886" s="12">
        <f>car_price_prediction_[[#This Row],[Mileage]]/1000</f>
        <v>181.64400000000001</v>
      </c>
      <c r="J1886" s="5">
        <v>181644</v>
      </c>
      <c r="K1886" s="1" t="s">
        <v>25</v>
      </c>
      <c r="L1886" s="5">
        <f>car_price_prediction_[[#This Row],[Price]]/100</f>
        <v>9411.69</v>
      </c>
      <c r="M1886">
        <v>941169</v>
      </c>
      <c r="N1886" s="1" t="s">
        <v>28</v>
      </c>
      <c r="O1886" s="1">
        <f>IF(IFERROR(VLOOKUP(car_price_prediction_[[#This Row],[Car ID]],A1887:A4386,1,FALSE),0),1,0)</f>
        <v>0</v>
      </c>
    </row>
    <row r="1887" spans="1:15" x14ac:dyDescent="0.25">
      <c r="A1887">
        <v>1886</v>
      </c>
      <c r="B1887" s="1" t="s">
        <v>43</v>
      </c>
      <c r="C1887" s="1">
        <f>car_price_prediction_[[#This Row],[Year2]]</f>
        <v>2021</v>
      </c>
      <c r="D1887">
        <v>2021</v>
      </c>
      <c r="E1887">
        <f>car_price_prediction_[[#This Row],[Engine Size]]/10</f>
        <v>4.4000000000000004</v>
      </c>
      <c r="F1887">
        <v>44</v>
      </c>
      <c r="G1887" s="1" t="s">
        <v>29</v>
      </c>
      <c r="H1887" s="1" t="s">
        <v>22</v>
      </c>
      <c r="I1887" s="12">
        <f>car_price_prediction_[[#This Row],[Mileage]]/1000</f>
        <v>109.268</v>
      </c>
      <c r="J1887" s="5">
        <v>109268</v>
      </c>
      <c r="K1887" s="1" t="s">
        <v>17</v>
      </c>
      <c r="L1887" s="5">
        <f>car_price_prediction_[[#This Row],[Price]]/100</f>
        <v>99400.47</v>
      </c>
      <c r="M1887">
        <v>9940047</v>
      </c>
      <c r="N1887" s="1" t="s">
        <v>44</v>
      </c>
      <c r="O1887" s="1">
        <f>IF(IFERROR(VLOOKUP(car_price_prediction_[[#This Row],[Car ID]],A1888:A4387,1,FALSE),0),1,0)</f>
        <v>0</v>
      </c>
    </row>
    <row r="1888" spans="1:15" x14ac:dyDescent="0.25">
      <c r="A1888">
        <v>1887</v>
      </c>
      <c r="B1888" s="1" t="s">
        <v>43</v>
      </c>
      <c r="C1888" s="1">
        <f>car_price_prediction_[[#This Row],[Year2]]</f>
        <v>2023</v>
      </c>
      <c r="D1888">
        <v>2023</v>
      </c>
      <c r="E1888">
        <f>car_price_prediction_[[#This Row],[Engine Size]]/10</f>
        <v>3.3</v>
      </c>
      <c r="F1888">
        <v>33</v>
      </c>
      <c r="G1888" s="1" t="s">
        <v>29</v>
      </c>
      <c r="H1888" s="1" t="s">
        <v>22</v>
      </c>
      <c r="I1888" s="12">
        <f>car_price_prediction_[[#This Row],[Mileage]]/1000</f>
        <v>30.105</v>
      </c>
      <c r="J1888" s="5">
        <v>30105</v>
      </c>
      <c r="K1888" s="1" t="s">
        <v>13</v>
      </c>
      <c r="L1888" s="5">
        <f>car_price_prediction_[[#This Row],[Price]]/100</f>
        <v>16900.419999999998</v>
      </c>
      <c r="M1888">
        <v>1690042</v>
      </c>
      <c r="N1888" s="1" t="s">
        <v>47</v>
      </c>
      <c r="O1888" s="1">
        <f>IF(IFERROR(VLOOKUP(car_price_prediction_[[#This Row],[Car ID]],A1889:A4388,1,FALSE),0),1,0)</f>
        <v>0</v>
      </c>
    </row>
    <row r="1889" spans="1:15" x14ac:dyDescent="0.25">
      <c r="A1889">
        <v>1888</v>
      </c>
      <c r="B1889" s="1" t="s">
        <v>19</v>
      </c>
      <c r="C1889" s="1">
        <f>car_price_prediction_[[#This Row],[Year2]]</f>
        <v>2021</v>
      </c>
      <c r="D1889">
        <v>2021</v>
      </c>
      <c r="E1889">
        <f>car_price_prediction_[[#This Row],[Engine Size]]/10</f>
        <v>4.7</v>
      </c>
      <c r="F1889">
        <v>47</v>
      </c>
      <c r="G1889" s="1" t="s">
        <v>11</v>
      </c>
      <c r="H1889" s="1" t="s">
        <v>12</v>
      </c>
      <c r="I1889" s="12">
        <f>car_price_prediction_[[#This Row],[Mileage]]/1000</f>
        <v>69.634</v>
      </c>
      <c r="J1889" s="5">
        <v>69634</v>
      </c>
      <c r="K1889" s="1" t="s">
        <v>17</v>
      </c>
      <c r="L1889" s="5">
        <f>car_price_prediction_[[#This Row],[Price]]/100</f>
        <v>63260.959999999999</v>
      </c>
      <c r="M1889">
        <v>6326096</v>
      </c>
      <c r="N1889" s="1" t="s">
        <v>20</v>
      </c>
      <c r="O1889" s="1">
        <f>IF(IFERROR(VLOOKUP(car_price_prediction_[[#This Row],[Car ID]],A1890:A4389,1,FALSE),0),1,0)</f>
        <v>0</v>
      </c>
    </row>
    <row r="1890" spans="1:15" x14ac:dyDescent="0.25">
      <c r="A1890">
        <v>1889</v>
      </c>
      <c r="B1890" s="1" t="s">
        <v>36</v>
      </c>
      <c r="C1890" s="1">
        <f>car_price_prediction_[[#This Row],[Year2]]</f>
        <v>2000</v>
      </c>
      <c r="D1890">
        <v>2000</v>
      </c>
      <c r="E1890">
        <f>car_price_prediction_[[#This Row],[Engine Size]]/10</f>
        <v>2.8</v>
      </c>
      <c r="F1890">
        <v>28</v>
      </c>
      <c r="G1890" s="1" t="s">
        <v>29</v>
      </c>
      <c r="H1890" s="1" t="s">
        <v>12</v>
      </c>
      <c r="I1890" s="12">
        <f>car_price_prediction_[[#This Row],[Mileage]]/1000</f>
        <v>138.691</v>
      </c>
      <c r="J1890" s="5">
        <v>138691</v>
      </c>
      <c r="K1890" s="1" t="s">
        <v>13</v>
      </c>
      <c r="L1890" s="5">
        <f>car_price_prediction_[[#This Row],[Price]]/100</f>
        <v>23948.57</v>
      </c>
      <c r="M1890">
        <v>2394857</v>
      </c>
      <c r="N1890" s="1" t="s">
        <v>41</v>
      </c>
      <c r="O1890" s="1">
        <f>IF(IFERROR(VLOOKUP(car_price_prediction_[[#This Row],[Car ID]],A1891:A4390,1,FALSE),0),1,0)</f>
        <v>0</v>
      </c>
    </row>
    <row r="1891" spans="1:15" x14ac:dyDescent="0.25">
      <c r="A1891">
        <v>1890</v>
      </c>
      <c r="B1891" s="1" t="s">
        <v>10</v>
      </c>
      <c r="C1891" s="1">
        <f>car_price_prediction_[[#This Row],[Year2]]</f>
        <v>2003</v>
      </c>
      <c r="D1891">
        <v>2003</v>
      </c>
      <c r="E1891">
        <f>car_price_prediction_[[#This Row],[Engine Size]]/10</f>
        <v>4.2</v>
      </c>
      <c r="F1891">
        <v>42</v>
      </c>
      <c r="G1891" s="1" t="s">
        <v>21</v>
      </c>
      <c r="H1891" s="1" t="s">
        <v>12</v>
      </c>
      <c r="I1891" s="12">
        <f>car_price_prediction_[[#This Row],[Mileage]]/1000</f>
        <v>18.225999999999999</v>
      </c>
      <c r="J1891" s="5">
        <v>18226</v>
      </c>
      <c r="K1891" s="1" t="s">
        <v>25</v>
      </c>
      <c r="L1891" s="5">
        <f>car_price_prediction_[[#This Row],[Price]]/100</f>
        <v>29938.42</v>
      </c>
      <c r="M1891">
        <v>2993842</v>
      </c>
      <c r="N1891" s="1" t="s">
        <v>33</v>
      </c>
      <c r="O1891" s="1">
        <f>IF(IFERROR(VLOOKUP(car_price_prediction_[[#This Row],[Car ID]],A1892:A4391,1,FALSE),0),1,0)</f>
        <v>0</v>
      </c>
    </row>
    <row r="1892" spans="1:15" x14ac:dyDescent="0.25">
      <c r="A1892">
        <v>1891</v>
      </c>
      <c r="B1892" s="1" t="s">
        <v>43</v>
      </c>
      <c r="C1892" s="1">
        <f>car_price_prediction_[[#This Row],[Year2]]</f>
        <v>2012</v>
      </c>
      <c r="D1892">
        <v>2012</v>
      </c>
      <c r="E1892">
        <f>car_price_prediction_[[#This Row],[Engine Size]]/10</f>
        <v>1.9</v>
      </c>
      <c r="F1892">
        <v>19</v>
      </c>
      <c r="G1892" s="1" t="s">
        <v>16</v>
      </c>
      <c r="H1892" s="1" t="s">
        <v>22</v>
      </c>
      <c r="I1892" s="12">
        <f>car_price_prediction_[[#This Row],[Mileage]]/1000</f>
        <v>25.321999999999999</v>
      </c>
      <c r="J1892" s="5">
        <v>25322</v>
      </c>
      <c r="K1892" s="1" t="s">
        <v>13</v>
      </c>
      <c r="L1892" s="5">
        <f>car_price_prediction_[[#This Row],[Price]]/100</f>
        <v>75830.509999999995</v>
      </c>
      <c r="M1892">
        <v>7583051</v>
      </c>
      <c r="N1892" s="1" t="s">
        <v>47</v>
      </c>
      <c r="O1892" s="1">
        <f>IF(IFERROR(VLOOKUP(car_price_prediction_[[#This Row],[Car ID]],A1893:A4392,1,FALSE),0),1,0)</f>
        <v>0</v>
      </c>
    </row>
    <row r="1893" spans="1:15" x14ac:dyDescent="0.25">
      <c r="A1893">
        <v>1892</v>
      </c>
      <c r="B1893" s="1" t="s">
        <v>10</v>
      </c>
      <c r="C1893" s="1">
        <f>car_price_prediction_[[#This Row],[Year2]]</f>
        <v>2022</v>
      </c>
      <c r="D1893">
        <v>2022</v>
      </c>
      <c r="E1893">
        <f>car_price_prediction_[[#This Row],[Engine Size]]/10</f>
        <v>4.7</v>
      </c>
      <c r="F1893">
        <v>47</v>
      </c>
      <c r="G1893" s="1" t="s">
        <v>16</v>
      </c>
      <c r="H1893" s="1" t="s">
        <v>12</v>
      </c>
      <c r="I1893" s="12">
        <f>car_price_prediction_[[#This Row],[Mileage]]/1000</f>
        <v>167.28399999999999</v>
      </c>
      <c r="J1893" s="5">
        <v>167284</v>
      </c>
      <c r="K1893" s="1" t="s">
        <v>17</v>
      </c>
      <c r="L1893" s="5">
        <f>car_price_prediction_[[#This Row],[Price]]/100</f>
        <v>97878.43</v>
      </c>
      <c r="M1893">
        <v>9787843</v>
      </c>
      <c r="N1893" s="1" t="s">
        <v>23</v>
      </c>
      <c r="O1893" s="1">
        <f>IF(IFERROR(VLOOKUP(car_price_prediction_[[#This Row],[Car ID]],A1894:A4393,1,FALSE),0),1,0)</f>
        <v>0</v>
      </c>
    </row>
    <row r="1894" spans="1:15" x14ac:dyDescent="0.25">
      <c r="A1894">
        <v>1893</v>
      </c>
      <c r="B1894" s="1" t="s">
        <v>43</v>
      </c>
      <c r="C1894" s="1">
        <f>car_price_prediction_[[#This Row],[Year2]]</f>
        <v>2012</v>
      </c>
      <c r="D1894">
        <v>2012</v>
      </c>
      <c r="E1894">
        <f>car_price_prediction_[[#This Row],[Engine Size]]/10</f>
        <v>3.7</v>
      </c>
      <c r="F1894">
        <v>37</v>
      </c>
      <c r="G1894" s="1" t="s">
        <v>16</v>
      </c>
      <c r="H1894" s="1" t="s">
        <v>12</v>
      </c>
      <c r="I1894" s="12">
        <f>car_price_prediction_[[#This Row],[Mileage]]/1000</f>
        <v>94.834999999999994</v>
      </c>
      <c r="J1894" s="5">
        <v>94835</v>
      </c>
      <c r="K1894" s="1" t="s">
        <v>17</v>
      </c>
      <c r="L1894" s="5">
        <f>car_price_prediction_[[#This Row],[Price]]/100</f>
        <v>61511.27</v>
      </c>
      <c r="M1894">
        <v>6151127</v>
      </c>
      <c r="N1894" s="1" t="s">
        <v>52</v>
      </c>
      <c r="O1894" s="1">
        <f>IF(IFERROR(VLOOKUP(car_price_prediction_[[#This Row],[Car ID]],A1895:A4394,1,FALSE),0),1,0)</f>
        <v>0</v>
      </c>
    </row>
    <row r="1895" spans="1:15" x14ac:dyDescent="0.25">
      <c r="A1895">
        <v>1894</v>
      </c>
      <c r="B1895" s="1" t="s">
        <v>43</v>
      </c>
      <c r="C1895" s="1">
        <f>car_price_prediction_[[#This Row],[Year2]]</f>
        <v>2012</v>
      </c>
      <c r="D1895">
        <v>2012</v>
      </c>
      <c r="E1895">
        <f>car_price_prediction_[[#This Row],[Engine Size]]/10</f>
        <v>2</v>
      </c>
      <c r="F1895">
        <v>20</v>
      </c>
      <c r="G1895" s="1" t="s">
        <v>11</v>
      </c>
      <c r="H1895" s="1" t="s">
        <v>12</v>
      </c>
      <c r="I1895" s="12">
        <f>car_price_prediction_[[#This Row],[Mileage]]/1000</f>
        <v>255.02699999999999</v>
      </c>
      <c r="J1895" s="5">
        <v>255027</v>
      </c>
      <c r="K1895" s="1" t="s">
        <v>17</v>
      </c>
      <c r="L1895" s="5">
        <f>car_price_prediction_[[#This Row],[Price]]/100</f>
        <v>85805.52</v>
      </c>
      <c r="M1895">
        <v>8580552</v>
      </c>
      <c r="N1895" s="1" t="s">
        <v>52</v>
      </c>
      <c r="O1895" s="1">
        <f>IF(IFERROR(VLOOKUP(car_price_prediction_[[#This Row],[Car ID]],A1896:A4395,1,FALSE),0),1,0)</f>
        <v>0</v>
      </c>
    </row>
    <row r="1896" spans="1:15" x14ac:dyDescent="0.25">
      <c r="A1896">
        <v>1895</v>
      </c>
      <c r="B1896" s="1" t="s">
        <v>15</v>
      </c>
      <c r="C1896" s="1">
        <f>car_price_prediction_[[#This Row],[Year2]]</f>
        <v>2001</v>
      </c>
      <c r="D1896">
        <v>2001</v>
      </c>
      <c r="E1896">
        <f>car_price_prediction_[[#This Row],[Engine Size]]/10</f>
        <v>2.5</v>
      </c>
      <c r="F1896">
        <v>25</v>
      </c>
      <c r="G1896" s="1" t="s">
        <v>29</v>
      </c>
      <c r="H1896" s="1" t="s">
        <v>12</v>
      </c>
      <c r="I1896" s="12">
        <f>car_price_prediction_[[#This Row],[Mileage]]/1000</f>
        <v>73.078999999999994</v>
      </c>
      <c r="J1896" s="5">
        <v>73079</v>
      </c>
      <c r="K1896" s="1" t="s">
        <v>13</v>
      </c>
      <c r="L1896" s="5">
        <f>car_price_prediction_[[#This Row],[Price]]/100</f>
        <v>5843.96</v>
      </c>
      <c r="M1896">
        <v>584396</v>
      </c>
      <c r="N1896" s="1" t="s">
        <v>39</v>
      </c>
      <c r="O1896" s="1">
        <f>IF(IFERROR(VLOOKUP(car_price_prediction_[[#This Row],[Car ID]],A1897:A4396,1,FALSE),0),1,0)</f>
        <v>0</v>
      </c>
    </row>
    <row r="1897" spans="1:15" x14ac:dyDescent="0.25">
      <c r="A1897">
        <v>1896</v>
      </c>
      <c r="B1897" s="1" t="s">
        <v>15</v>
      </c>
      <c r="C1897" s="1">
        <f>car_price_prediction_[[#This Row],[Year2]]</f>
        <v>2008</v>
      </c>
      <c r="D1897">
        <v>2008</v>
      </c>
      <c r="E1897">
        <f>car_price_prediction_[[#This Row],[Engine Size]]/10</f>
        <v>4.7</v>
      </c>
      <c r="F1897">
        <v>47</v>
      </c>
      <c r="G1897" s="1" t="s">
        <v>21</v>
      </c>
      <c r="H1897" s="1" t="s">
        <v>22</v>
      </c>
      <c r="I1897" s="12">
        <f>car_price_prediction_[[#This Row],[Mileage]]/1000</f>
        <v>23.946000000000002</v>
      </c>
      <c r="J1897" s="5">
        <v>23946</v>
      </c>
      <c r="K1897" s="1" t="s">
        <v>13</v>
      </c>
      <c r="L1897" s="5">
        <f>car_price_prediction_[[#This Row],[Price]]/100</f>
        <v>8480.01</v>
      </c>
      <c r="M1897">
        <v>848001</v>
      </c>
      <c r="N1897" s="1" t="s">
        <v>39</v>
      </c>
      <c r="O1897" s="1">
        <f>IF(IFERROR(VLOOKUP(car_price_prediction_[[#This Row],[Car ID]],A1898:A4397,1,FALSE),0),1,0)</f>
        <v>0</v>
      </c>
    </row>
    <row r="1898" spans="1:15" x14ac:dyDescent="0.25">
      <c r="A1898">
        <v>1897</v>
      </c>
      <c r="B1898" s="1" t="s">
        <v>24</v>
      </c>
      <c r="C1898" s="1">
        <f>car_price_prediction_[[#This Row],[Year2]]</f>
        <v>2023</v>
      </c>
      <c r="D1898">
        <v>2023</v>
      </c>
      <c r="E1898">
        <f>car_price_prediction_[[#This Row],[Engine Size]]/10</f>
        <v>3.4</v>
      </c>
      <c r="F1898">
        <v>34</v>
      </c>
      <c r="G1898" s="1" t="s">
        <v>11</v>
      </c>
      <c r="H1898" s="1" t="s">
        <v>22</v>
      </c>
      <c r="I1898" s="12">
        <f>car_price_prediction_[[#This Row],[Mileage]]/1000</f>
        <v>162.81200000000001</v>
      </c>
      <c r="J1898" s="5">
        <v>162812</v>
      </c>
      <c r="K1898" s="1" t="s">
        <v>13</v>
      </c>
      <c r="L1898" s="5">
        <f>car_price_prediction_[[#This Row],[Price]]/100</f>
        <v>61688.81</v>
      </c>
      <c r="M1898">
        <v>6168881</v>
      </c>
      <c r="N1898" s="1" t="s">
        <v>53</v>
      </c>
      <c r="O1898" s="1">
        <f>IF(IFERROR(VLOOKUP(car_price_prediction_[[#This Row],[Car ID]],A1899:A4398,1,FALSE),0),1,0)</f>
        <v>0</v>
      </c>
    </row>
    <row r="1899" spans="1:15" x14ac:dyDescent="0.25">
      <c r="A1899">
        <v>1898</v>
      </c>
      <c r="B1899" s="1" t="s">
        <v>30</v>
      </c>
      <c r="C1899" s="1">
        <f>car_price_prediction_[[#This Row],[Year2]]</f>
        <v>2007</v>
      </c>
      <c r="D1899">
        <v>2007</v>
      </c>
      <c r="E1899">
        <f>car_price_prediction_[[#This Row],[Engine Size]]/10</f>
        <v>2.1</v>
      </c>
      <c r="F1899">
        <v>21</v>
      </c>
      <c r="G1899" s="1" t="s">
        <v>16</v>
      </c>
      <c r="H1899" s="1" t="s">
        <v>22</v>
      </c>
      <c r="I1899" s="12">
        <f>car_price_prediction_[[#This Row],[Mileage]]/1000</f>
        <v>7.2530000000000001</v>
      </c>
      <c r="J1899" s="5">
        <v>7253</v>
      </c>
      <c r="K1899" s="1" t="s">
        <v>25</v>
      </c>
      <c r="L1899" s="5">
        <f>car_price_prediction_[[#This Row],[Price]]/100</f>
        <v>41953.39</v>
      </c>
      <c r="M1899">
        <v>4195339</v>
      </c>
      <c r="N1899" s="1" t="s">
        <v>31</v>
      </c>
      <c r="O1899" s="1">
        <f>IF(IFERROR(VLOOKUP(car_price_prediction_[[#This Row],[Car ID]],A1900:A4399,1,FALSE),0),1,0)</f>
        <v>0</v>
      </c>
    </row>
    <row r="1900" spans="1:15" x14ac:dyDescent="0.25">
      <c r="A1900">
        <v>1899</v>
      </c>
      <c r="B1900" s="1" t="s">
        <v>19</v>
      </c>
      <c r="C1900" s="1">
        <f>car_price_prediction_[[#This Row],[Year2]]</f>
        <v>2006</v>
      </c>
      <c r="D1900">
        <v>2006</v>
      </c>
      <c r="E1900">
        <f>car_price_prediction_[[#This Row],[Engine Size]]/10</f>
        <v>5.8</v>
      </c>
      <c r="F1900">
        <v>58</v>
      </c>
      <c r="G1900" s="1" t="s">
        <v>21</v>
      </c>
      <c r="H1900" s="1" t="s">
        <v>12</v>
      </c>
      <c r="I1900" s="12">
        <f>car_price_prediction_[[#This Row],[Mileage]]/1000</f>
        <v>79.311000000000007</v>
      </c>
      <c r="J1900" s="5">
        <v>79311</v>
      </c>
      <c r="K1900" s="1" t="s">
        <v>25</v>
      </c>
      <c r="L1900" s="5">
        <f>car_price_prediction_[[#This Row],[Price]]/100</f>
        <v>89526.99</v>
      </c>
      <c r="M1900">
        <v>8952699</v>
      </c>
      <c r="N1900" s="1" t="s">
        <v>27</v>
      </c>
      <c r="O1900" s="1">
        <f>IF(IFERROR(VLOOKUP(car_price_prediction_[[#This Row],[Car ID]],A1901:A4400,1,FALSE),0),1,0)</f>
        <v>0</v>
      </c>
    </row>
    <row r="1901" spans="1:15" x14ac:dyDescent="0.25">
      <c r="A1901">
        <v>1900</v>
      </c>
      <c r="B1901" s="1" t="s">
        <v>19</v>
      </c>
      <c r="C1901" s="1">
        <f>car_price_prediction_[[#This Row],[Year2]]</f>
        <v>2003</v>
      </c>
      <c r="D1901">
        <v>2003</v>
      </c>
      <c r="E1901">
        <f>car_price_prediction_[[#This Row],[Engine Size]]/10</f>
        <v>4.5999999999999996</v>
      </c>
      <c r="F1901">
        <v>46</v>
      </c>
      <c r="G1901" s="1" t="s">
        <v>16</v>
      </c>
      <c r="H1901" s="1" t="s">
        <v>12</v>
      </c>
      <c r="I1901" s="12">
        <f>car_price_prediction_[[#This Row],[Mileage]]/1000</f>
        <v>294.95699999999999</v>
      </c>
      <c r="J1901" s="5">
        <v>294957</v>
      </c>
      <c r="K1901" s="1" t="s">
        <v>25</v>
      </c>
      <c r="L1901" s="5">
        <f>car_price_prediction_[[#This Row],[Price]]/100</f>
        <v>33688.28</v>
      </c>
      <c r="M1901">
        <v>3368828</v>
      </c>
      <c r="N1901" s="1" t="s">
        <v>28</v>
      </c>
      <c r="O1901" s="1">
        <f>IF(IFERROR(VLOOKUP(car_price_prediction_[[#This Row],[Car ID]],A1902:A4401,1,FALSE),0),1,0)</f>
        <v>0</v>
      </c>
    </row>
    <row r="1902" spans="1:15" x14ac:dyDescent="0.25">
      <c r="A1902">
        <v>1901</v>
      </c>
      <c r="B1902" s="1" t="s">
        <v>19</v>
      </c>
      <c r="C1902" s="1">
        <f>car_price_prediction_[[#This Row],[Year2]]</f>
        <v>2017</v>
      </c>
      <c r="D1902">
        <v>2017</v>
      </c>
      <c r="E1902">
        <f>car_price_prediction_[[#This Row],[Engine Size]]/10</f>
        <v>5.8</v>
      </c>
      <c r="F1902">
        <v>58</v>
      </c>
      <c r="G1902" s="1" t="s">
        <v>16</v>
      </c>
      <c r="H1902" s="1" t="s">
        <v>12</v>
      </c>
      <c r="I1902" s="12">
        <f>car_price_prediction_[[#This Row],[Mileage]]/1000</f>
        <v>67.593000000000004</v>
      </c>
      <c r="J1902" s="5">
        <v>67593</v>
      </c>
      <c r="K1902" s="1" t="s">
        <v>17</v>
      </c>
      <c r="L1902" s="5">
        <f>car_price_prediction_[[#This Row],[Price]]/100</f>
        <v>46044.85</v>
      </c>
      <c r="M1902">
        <v>4604485</v>
      </c>
      <c r="N1902" s="1" t="s">
        <v>28</v>
      </c>
      <c r="O1902" s="1">
        <f>IF(IFERROR(VLOOKUP(car_price_prediction_[[#This Row],[Car ID]],A1903:A4402,1,FALSE),0),1,0)</f>
        <v>0</v>
      </c>
    </row>
    <row r="1903" spans="1:15" x14ac:dyDescent="0.25">
      <c r="A1903">
        <v>1902</v>
      </c>
      <c r="B1903" s="1" t="s">
        <v>24</v>
      </c>
      <c r="C1903" s="1">
        <f>car_price_prediction_[[#This Row],[Year2]]</f>
        <v>2002</v>
      </c>
      <c r="D1903">
        <v>2002</v>
      </c>
      <c r="E1903">
        <f>car_price_prediction_[[#This Row],[Engine Size]]/10</f>
        <v>3.1</v>
      </c>
      <c r="F1903">
        <v>31</v>
      </c>
      <c r="G1903" s="1" t="s">
        <v>11</v>
      </c>
      <c r="H1903" s="1" t="s">
        <v>12</v>
      </c>
      <c r="I1903" s="12">
        <f>car_price_prediction_[[#This Row],[Mileage]]/1000</f>
        <v>149.48500000000001</v>
      </c>
      <c r="J1903" s="5">
        <v>149485</v>
      </c>
      <c r="K1903" s="1" t="s">
        <v>17</v>
      </c>
      <c r="L1903" s="5">
        <f>car_price_prediction_[[#This Row],[Price]]/100</f>
        <v>55151.37</v>
      </c>
      <c r="M1903">
        <v>5515137</v>
      </c>
      <c r="N1903" s="1" t="s">
        <v>53</v>
      </c>
      <c r="O1903" s="1">
        <f>IF(IFERROR(VLOOKUP(car_price_prediction_[[#This Row],[Car ID]],A1904:A4403,1,FALSE),0),1,0)</f>
        <v>0</v>
      </c>
    </row>
    <row r="1904" spans="1:15" x14ac:dyDescent="0.25">
      <c r="A1904">
        <v>1903</v>
      </c>
      <c r="B1904" s="1" t="s">
        <v>15</v>
      </c>
      <c r="C1904" s="1">
        <f>car_price_prediction_[[#This Row],[Year2]]</f>
        <v>2005</v>
      </c>
      <c r="D1904">
        <v>2005</v>
      </c>
      <c r="E1904">
        <f>car_price_prediction_[[#This Row],[Engine Size]]/10</f>
        <v>3.4</v>
      </c>
      <c r="F1904">
        <v>34</v>
      </c>
      <c r="G1904" s="1" t="s">
        <v>16</v>
      </c>
      <c r="H1904" s="1" t="s">
        <v>12</v>
      </c>
      <c r="I1904" s="12">
        <f>car_price_prediction_[[#This Row],[Mileage]]/1000</f>
        <v>226.833</v>
      </c>
      <c r="J1904" s="5">
        <v>226833</v>
      </c>
      <c r="K1904" s="1" t="s">
        <v>17</v>
      </c>
      <c r="L1904" s="5">
        <f>car_price_prediction_[[#This Row],[Price]]/100</f>
        <v>30938.69</v>
      </c>
      <c r="M1904">
        <v>3093869</v>
      </c>
      <c r="N1904" s="1" t="s">
        <v>35</v>
      </c>
      <c r="O1904" s="1">
        <f>IF(IFERROR(VLOOKUP(car_price_prediction_[[#This Row],[Car ID]],A1905:A4404,1,FALSE),0),1,0)</f>
        <v>0</v>
      </c>
    </row>
    <row r="1905" spans="1:15" x14ac:dyDescent="0.25">
      <c r="A1905">
        <v>1904</v>
      </c>
      <c r="B1905" s="1" t="s">
        <v>36</v>
      </c>
      <c r="C1905" s="1">
        <f>car_price_prediction_[[#This Row],[Year2]]</f>
        <v>2011</v>
      </c>
      <c r="D1905">
        <v>2011</v>
      </c>
      <c r="E1905">
        <f>car_price_prediction_[[#This Row],[Engine Size]]/10</f>
        <v>5.5</v>
      </c>
      <c r="F1905">
        <v>55</v>
      </c>
      <c r="G1905" s="1" t="s">
        <v>21</v>
      </c>
      <c r="H1905" s="1" t="s">
        <v>12</v>
      </c>
      <c r="I1905" s="12">
        <f>car_price_prediction_[[#This Row],[Mileage]]/1000</f>
        <v>38.484999999999999</v>
      </c>
      <c r="J1905" s="5">
        <v>38485</v>
      </c>
      <c r="K1905" s="1" t="s">
        <v>17</v>
      </c>
      <c r="L1905" s="5">
        <f>car_price_prediction_[[#This Row],[Price]]/100</f>
        <v>91307.01</v>
      </c>
      <c r="M1905">
        <v>9130701</v>
      </c>
      <c r="N1905" s="1" t="s">
        <v>41</v>
      </c>
      <c r="O1905" s="1">
        <f>IF(IFERROR(VLOOKUP(car_price_prediction_[[#This Row],[Car ID]],A1906:A4405,1,FALSE),0),1,0)</f>
        <v>0</v>
      </c>
    </row>
    <row r="1906" spans="1:15" x14ac:dyDescent="0.25">
      <c r="A1906">
        <v>1905</v>
      </c>
      <c r="B1906" s="1" t="s">
        <v>10</v>
      </c>
      <c r="C1906" s="1">
        <f>car_price_prediction_[[#This Row],[Year2]]</f>
        <v>2011</v>
      </c>
      <c r="D1906">
        <v>2011</v>
      </c>
      <c r="E1906">
        <f>car_price_prediction_[[#This Row],[Engine Size]]/10</f>
        <v>3.6</v>
      </c>
      <c r="F1906">
        <v>36</v>
      </c>
      <c r="G1906" s="1" t="s">
        <v>16</v>
      </c>
      <c r="H1906" s="1" t="s">
        <v>22</v>
      </c>
      <c r="I1906" s="12">
        <f>car_price_prediction_[[#This Row],[Mileage]]/1000</f>
        <v>199.304</v>
      </c>
      <c r="J1906" s="5">
        <v>199304</v>
      </c>
      <c r="K1906" s="1" t="s">
        <v>17</v>
      </c>
      <c r="L1906" s="5">
        <f>car_price_prediction_[[#This Row],[Price]]/100</f>
        <v>49130.69</v>
      </c>
      <c r="M1906">
        <v>4913069</v>
      </c>
      <c r="N1906" s="1" t="s">
        <v>14</v>
      </c>
      <c r="O1906" s="1">
        <f>IF(IFERROR(VLOOKUP(car_price_prediction_[[#This Row],[Car ID]],A1907:A4406,1,FALSE),0),1,0)</f>
        <v>0</v>
      </c>
    </row>
    <row r="1907" spans="1:15" x14ac:dyDescent="0.25">
      <c r="A1907">
        <v>1906</v>
      </c>
      <c r="B1907" s="1" t="s">
        <v>10</v>
      </c>
      <c r="C1907" s="1">
        <f>car_price_prediction_[[#This Row],[Year2]]</f>
        <v>2020</v>
      </c>
      <c r="D1907">
        <v>2020</v>
      </c>
      <c r="E1907">
        <f>car_price_prediction_[[#This Row],[Engine Size]]/10</f>
        <v>4.5</v>
      </c>
      <c r="F1907">
        <v>45</v>
      </c>
      <c r="G1907" s="1" t="s">
        <v>29</v>
      </c>
      <c r="H1907" s="1" t="s">
        <v>22</v>
      </c>
      <c r="I1907" s="12">
        <f>car_price_prediction_[[#This Row],[Mileage]]/1000</f>
        <v>278.245</v>
      </c>
      <c r="J1907" s="5">
        <v>278245</v>
      </c>
      <c r="K1907" s="1" t="s">
        <v>13</v>
      </c>
      <c r="L1907" s="5">
        <f>car_price_prediction_[[#This Row],[Price]]/100</f>
        <v>45294.78</v>
      </c>
      <c r="M1907">
        <v>4529478</v>
      </c>
      <c r="N1907" s="1" t="s">
        <v>23</v>
      </c>
      <c r="O1907" s="1">
        <f>IF(IFERROR(VLOOKUP(car_price_prediction_[[#This Row],[Car ID]],A1908:A4407,1,FALSE),0),1,0)</f>
        <v>0</v>
      </c>
    </row>
    <row r="1908" spans="1:15" x14ac:dyDescent="0.25">
      <c r="A1908">
        <v>1907</v>
      </c>
      <c r="B1908" s="1" t="s">
        <v>36</v>
      </c>
      <c r="C1908" s="1">
        <f>car_price_prediction_[[#This Row],[Year2]]</f>
        <v>2007</v>
      </c>
      <c r="D1908">
        <v>2007</v>
      </c>
      <c r="E1908">
        <f>car_price_prediction_[[#This Row],[Engine Size]]/10</f>
        <v>2.2999999999999998</v>
      </c>
      <c r="F1908">
        <v>23</v>
      </c>
      <c r="G1908" s="1" t="s">
        <v>16</v>
      </c>
      <c r="H1908" s="1" t="s">
        <v>12</v>
      </c>
      <c r="I1908" s="12">
        <f>car_price_prediction_[[#This Row],[Mileage]]/1000</f>
        <v>8.8309999999999995</v>
      </c>
      <c r="J1908" s="5">
        <v>8831</v>
      </c>
      <c r="K1908" s="1" t="s">
        <v>17</v>
      </c>
      <c r="L1908" s="5">
        <f>car_price_prediction_[[#This Row],[Price]]/100</f>
        <v>85726.54</v>
      </c>
      <c r="M1908">
        <v>8572654</v>
      </c>
      <c r="N1908" s="1" t="s">
        <v>46</v>
      </c>
      <c r="O1908" s="1">
        <f>IF(IFERROR(VLOOKUP(car_price_prediction_[[#This Row],[Car ID]],A1909:A4408,1,FALSE),0),1,0)</f>
        <v>0</v>
      </c>
    </row>
    <row r="1909" spans="1:15" x14ac:dyDescent="0.25">
      <c r="A1909">
        <v>1908</v>
      </c>
      <c r="B1909" s="1" t="s">
        <v>24</v>
      </c>
      <c r="C1909" s="1">
        <f>car_price_prediction_[[#This Row],[Year2]]</f>
        <v>2021</v>
      </c>
      <c r="D1909">
        <v>2021</v>
      </c>
      <c r="E1909">
        <f>car_price_prediction_[[#This Row],[Engine Size]]/10</f>
        <v>3.2</v>
      </c>
      <c r="F1909">
        <v>32</v>
      </c>
      <c r="G1909" s="1" t="s">
        <v>11</v>
      </c>
      <c r="H1909" s="1" t="s">
        <v>22</v>
      </c>
      <c r="I1909" s="12">
        <f>car_price_prediction_[[#This Row],[Mileage]]/1000</f>
        <v>5.0039999999999996</v>
      </c>
      <c r="J1909" s="5">
        <v>5004</v>
      </c>
      <c r="K1909" s="1" t="s">
        <v>13</v>
      </c>
      <c r="L1909" s="5">
        <f>car_price_prediction_[[#This Row],[Price]]/100</f>
        <v>34637.949999999997</v>
      </c>
      <c r="M1909">
        <v>3463795</v>
      </c>
      <c r="N1909" s="1" t="s">
        <v>32</v>
      </c>
      <c r="O1909" s="1">
        <f>IF(IFERROR(VLOOKUP(car_price_prediction_[[#This Row],[Car ID]],A1910:A4409,1,FALSE),0),1,0)</f>
        <v>0</v>
      </c>
    </row>
    <row r="1910" spans="1:15" x14ac:dyDescent="0.25">
      <c r="A1910">
        <v>1909</v>
      </c>
      <c r="B1910" s="1" t="s">
        <v>36</v>
      </c>
      <c r="C1910" s="1">
        <f>car_price_prediction_[[#This Row],[Year2]]</f>
        <v>2021</v>
      </c>
      <c r="D1910">
        <v>2021</v>
      </c>
      <c r="E1910">
        <f>car_price_prediction_[[#This Row],[Engine Size]]/10</f>
        <v>1.6</v>
      </c>
      <c r="F1910">
        <v>16</v>
      </c>
      <c r="G1910" s="1" t="s">
        <v>21</v>
      </c>
      <c r="H1910" s="1" t="s">
        <v>12</v>
      </c>
      <c r="I1910" s="12">
        <f>car_price_prediction_[[#This Row],[Mileage]]/1000</f>
        <v>37.17</v>
      </c>
      <c r="J1910" s="5">
        <v>37170</v>
      </c>
      <c r="K1910" s="1" t="s">
        <v>25</v>
      </c>
      <c r="L1910" s="5">
        <f>car_price_prediction_[[#This Row],[Price]]/100</f>
        <v>82659.210000000006</v>
      </c>
      <c r="M1910">
        <v>8265921</v>
      </c>
      <c r="N1910" s="1" t="s">
        <v>37</v>
      </c>
      <c r="O1910" s="1">
        <f>IF(IFERROR(VLOOKUP(car_price_prediction_[[#This Row],[Car ID]],A1911:A4410,1,FALSE),0),1,0)</f>
        <v>0</v>
      </c>
    </row>
    <row r="1911" spans="1:15" x14ac:dyDescent="0.25">
      <c r="A1911">
        <v>1910</v>
      </c>
      <c r="B1911" s="1" t="s">
        <v>19</v>
      </c>
      <c r="C1911" s="1">
        <f>car_price_prediction_[[#This Row],[Year2]]</f>
        <v>2000</v>
      </c>
      <c r="D1911">
        <v>2000</v>
      </c>
      <c r="E1911">
        <f>car_price_prediction_[[#This Row],[Engine Size]]/10</f>
        <v>2</v>
      </c>
      <c r="F1911">
        <v>20</v>
      </c>
      <c r="G1911" s="1" t="s">
        <v>11</v>
      </c>
      <c r="H1911" s="1" t="s">
        <v>12</v>
      </c>
      <c r="I1911" s="12">
        <f>car_price_prediction_[[#This Row],[Mileage]]/1000</f>
        <v>43.555</v>
      </c>
      <c r="J1911" s="5">
        <v>43555</v>
      </c>
      <c r="K1911" s="1" t="s">
        <v>25</v>
      </c>
      <c r="L1911" s="5">
        <f>car_price_prediction_[[#This Row],[Price]]/100</f>
        <v>16615.919999999998</v>
      </c>
      <c r="M1911">
        <v>1661592</v>
      </c>
      <c r="N1911" s="1" t="s">
        <v>38</v>
      </c>
      <c r="O1911" s="1">
        <f>IF(IFERROR(VLOOKUP(car_price_prediction_[[#This Row],[Car ID]],A1912:A4411,1,FALSE),0),1,0)</f>
        <v>0</v>
      </c>
    </row>
    <row r="1912" spans="1:15" x14ac:dyDescent="0.25">
      <c r="A1912">
        <v>1911</v>
      </c>
      <c r="B1912" s="1" t="s">
        <v>30</v>
      </c>
      <c r="C1912" s="1">
        <f>car_price_prediction_[[#This Row],[Year2]]</f>
        <v>2003</v>
      </c>
      <c r="D1912">
        <v>2003</v>
      </c>
      <c r="E1912">
        <f>car_price_prediction_[[#This Row],[Engine Size]]/10</f>
        <v>1</v>
      </c>
      <c r="F1912">
        <v>10</v>
      </c>
      <c r="G1912" s="1" t="s">
        <v>29</v>
      </c>
      <c r="H1912" s="1" t="s">
        <v>22</v>
      </c>
      <c r="I1912" s="12">
        <f>car_price_prediction_[[#This Row],[Mileage]]/1000</f>
        <v>118.11499999999999</v>
      </c>
      <c r="J1912" s="5">
        <v>118115</v>
      </c>
      <c r="K1912" s="1" t="s">
        <v>25</v>
      </c>
      <c r="L1912" s="5">
        <f>car_price_prediction_[[#This Row],[Price]]/100</f>
        <v>22364.91</v>
      </c>
      <c r="M1912">
        <v>2236491</v>
      </c>
      <c r="N1912" s="1" t="s">
        <v>42</v>
      </c>
      <c r="O1912" s="1">
        <f>IF(IFERROR(VLOOKUP(car_price_prediction_[[#This Row],[Car ID]],A1913:A4412,1,FALSE),0),1,0)</f>
        <v>0</v>
      </c>
    </row>
    <row r="1913" spans="1:15" x14ac:dyDescent="0.25">
      <c r="A1913">
        <v>1912</v>
      </c>
      <c r="B1913" s="1" t="s">
        <v>43</v>
      </c>
      <c r="C1913" s="1">
        <f>car_price_prediction_[[#This Row],[Year2]]</f>
        <v>2020</v>
      </c>
      <c r="D1913">
        <v>2020</v>
      </c>
      <c r="E1913">
        <f>car_price_prediction_[[#This Row],[Engine Size]]/10</f>
        <v>1.2</v>
      </c>
      <c r="F1913">
        <v>12</v>
      </c>
      <c r="G1913" s="1" t="s">
        <v>16</v>
      </c>
      <c r="H1913" s="1" t="s">
        <v>12</v>
      </c>
      <c r="I1913" s="12">
        <f>car_price_prediction_[[#This Row],[Mileage]]/1000</f>
        <v>178.47499999999999</v>
      </c>
      <c r="J1913" s="5">
        <v>178475</v>
      </c>
      <c r="K1913" s="1" t="s">
        <v>25</v>
      </c>
      <c r="L1913" s="5">
        <f>car_price_prediction_[[#This Row],[Price]]/100</f>
        <v>95329.96</v>
      </c>
      <c r="M1913">
        <v>9532996</v>
      </c>
      <c r="N1913" s="1" t="s">
        <v>47</v>
      </c>
      <c r="O1913" s="1">
        <f>IF(IFERROR(VLOOKUP(car_price_prediction_[[#This Row],[Car ID]],A1914:A4413,1,FALSE),0),1,0)</f>
        <v>0</v>
      </c>
    </row>
    <row r="1914" spans="1:15" x14ac:dyDescent="0.25">
      <c r="A1914">
        <v>1913</v>
      </c>
      <c r="B1914" s="1" t="s">
        <v>10</v>
      </c>
      <c r="C1914" s="1">
        <f>car_price_prediction_[[#This Row],[Year2]]</f>
        <v>2010</v>
      </c>
      <c r="D1914">
        <v>2010</v>
      </c>
      <c r="E1914">
        <f>car_price_prediction_[[#This Row],[Engine Size]]/10</f>
        <v>5.9</v>
      </c>
      <c r="F1914">
        <v>59</v>
      </c>
      <c r="G1914" s="1" t="s">
        <v>11</v>
      </c>
      <c r="H1914" s="1" t="s">
        <v>22</v>
      </c>
      <c r="I1914" s="12">
        <f>car_price_prediction_[[#This Row],[Mileage]]/1000</f>
        <v>298.50900000000001</v>
      </c>
      <c r="J1914" s="5">
        <v>298509</v>
      </c>
      <c r="K1914" s="1" t="s">
        <v>25</v>
      </c>
      <c r="L1914" s="5">
        <f>car_price_prediction_[[#This Row],[Price]]/100</f>
        <v>85032.51</v>
      </c>
      <c r="M1914">
        <v>8503251</v>
      </c>
      <c r="N1914" s="1" t="s">
        <v>33</v>
      </c>
      <c r="O1914" s="1">
        <f>IF(IFERROR(VLOOKUP(car_price_prediction_[[#This Row],[Car ID]],A1915:A4414,1,FALSE),0),1,0)</f>
        <v>0</v>
      </c>
    </row>
    <row r="1915" spans="1:15" x14ac:dyDescent="0.25">
      <c r="A1915">
        <v>1914</v>
      </c>
      <c r="B1915" s="1" t="s">
        <v>15</v>
      </c>
      <c r="C1915" s="1">
        <f>car_price_prediction_[[#This Row],[Year2]]</f>
        <v>2002</v>
      </c>
      <c r="D1915">
        <v>2002</v>
      </c>
      <c r="E1915">
        <f>car_price_prediction_[[#This Row],[Engine Size]]/10</f>
        <v>2.2000000000000002</v>
      </c>
      <c r="F1915">
        <v>22</v>
      </c>
      <c r="G1915" s="1" t="s">
        <v>11</v>
      </c>
      <c r="H1915" s="1" t="s">
        <v>12</v>
      </c>
      <c r="I1915" s="12">
        <f>car_price_prediction_[[#This Row],[Mileage]]/1000</f>
        <v>207.13200000000001</v>
      </c>
      <c r="J1915" s="5">
        <v>207132</v>
      </c>
      <c r="K1915" s="1" t="s">
        <v>17</v>
      </c>
      <c r="L1915" s="5">
        <f>car_price_prediction_[[#This Row],[Price]]/100</f>
        <v>4185.04</v>
      </c>
      <c r="M1915">
        <v>418504</v>
      </c>
      <c r="N1915" s="1" t="s">
        <v>18</v>
      </c>
      <c r="O1915" s="1">
        <f>IF(IFERROR(VLOOKUP(car_price_prediction_[[#This Row],[Car ID]],A1916:A4415,1,FALSE),0),1,0)</f>
        <v>0</v>
      </c>
    </row>
    <row r="1916" spans="1:15" x14ac:dyDescent="0.25">
      <c r="A1916">
        <v>1915</v>
      </c>
      <c r="B1916" s="1" t="s">
        <v>15</v>
      </c>
      <c r="C1916" s="1">
        <f>car_price_prediction_[[#This Row],[Year2]]</f>
        <v>2012</v>
      </c>
      <c r="D1916">
        <v>2012</v>
      </c>
      <c r="E1916">
        <f>car_price_prediction_[[#This Row],[Engine Size]]/10</f>
        <v>4.3</v>
      </c>
      <c r="F1916">
        <v>43</v>
      </c>
      <c r="G1916" s="1" t="s">
        <v>11</v>
      </c>
      <c r="H1916" s="1" t="s">
        <v>12</v>
      </c>
      <c r="I1916" s="12">
        <f>car_price_prediction_[[#This Row],[Mileage]]/1000</f>
        <v>63.470999999999997</v>
      </c>
      <c r="J1916" s="5">
        <v>63471</v>
      </c>
      <c r="K1916" s="1" t="s">
        <v>17</v>
      </c>
      <c r="L1916" s="5">
        <f>car_price_prediction_[[#This Row],[Price]]/100</f>
        <v>65653.36</v>
      </c>
      <c r="M1916">
        <v>6565336</v>
      </c>
      <c r="N1916" s="1" t="s">
        <v>51</v>
      </c>
      <c r="O1916" s="1">
        <f>IF(IFERROR(VLOOKUP(car_price_prediction_[[#This Row],[Car ID]],A1917:A4416,1,FALSE),0),1,0)</f>
        <v>0</v>
      </c>
    </row>
    <row r="1917" spans="1:15" x14ac:dyDescent="0.25">
      <c r="A1917">
        <v>1916</v>
      </c>
      <c r="B1917" s="1" t="s">
        <v>24</v>
      </c>
      <c r="C1917" s="1">
        <f>car_price_prediction_[[#This Row],[Year2]]</f>
        <v>2016</v>
      </c>
      <c r="D1917">
        <v>2016</v>
      </c>
      <c r="E1917">
        <f>car_price_prediction_[[#This Row],[Engine Size]]/10</f>
        <v>5.2</v>
      </c>
      <c r="F1917">
        <v>52</v>
      </c>
      <c r="G1917" s="1" t="s">
        <v>11</v>
      </c>
      <c r="H1917" s="1" t="s">
        <v>22</v>
      </c>
      <c r="I1917" s="12">
        <f>car_price_prediction_[[#This Row],[Mileage]]/1000</f>
        <v>57.286999999999999</v>
      </c>
      <c r="J1917" s="5">
        <v>57287</v>
      </c>
      <c r="K1917" s="1" t="s">
        <v>17</v>
      </c>
      <c r="L1917" s="5">
        <f>car_price_prediction_[[#This Row],[Price]]/100</f>
        <v>94582.17</v>
      </c>
      <c r="M1917">
        <v>9458217</v>
      </c>
      <c r="N1917" s="1" t="s">
        <v>53</v>
      </c>
      <c r="O1917" s="1">
        <f>IF(IFERROR(VLOOKUP(car_price_prediction_[[#This Row],[Car ID]],A1918:A4417,1,FALSE),0),1,0)</f>
        <v>0</v>
      </c>
    </row>
    <row r="1918" spans="1:15" x14ac:dyDescent="0.25">
      <c r="A1918">
        <v>1917</v>
      </c>
      <c r="B1918" s="1" t="s">
        <v>15</v>
      </c>
      <c r="C1918" s="1">
        <f>car_price_prediction_[[#This Row],[Year2]]</f>
        <v>2021</v>
      </c>
      <c r="D1918">
        <v>2021</v>
      </c>
      <c r="E1918">
        <f>car_price_prediction_[[#This Row],[Engine Size]]/10</f>
        <v>3.8</v>
      </c>
      <c r="F1918">
        <v>38</v>
      </c>
      <c r="G1918" s="1" t="s">
        <v>29</v>
      </c>
      <c r="H1918" s="1" t="s">
        <v>12</v>
      </c>
      <c r="I1918" s="12">
        <f>car_price_prediction_[[#This Row],[Mileage]]/1000</f>
        <v>116.47499999999999</v>
      </c>
      <c r="J1918" s="5">
        <v>116475</v>
      </c>
      <c r="K1918" s="1" t="s">
        <v>25</v>
      </c>
      <c r="L1918" s="5">
        <f>car_price_prediction_[[#This Row],[Price]]/100</f>
        <v>2512.66</v>
      </c>
      <c r="M1918">
        <v>251266</v>
      </c>
      <c r="N1918" s="1" t="s">
        <v>35</v>
      </c>
      <c r="O1918" s="1">
        <f>IF(IFERROR(VLOOKUP(car_price_prediction_[[#This Row],[Car ID]],A1919:A4418,1,FALSE),0),1,0)</f>
        <v>0</v>
      </c>
    </row>
    <row r="1919" spans="1:15" x14ac:dyDescent="0.25">
      <c r="A1919">
        <v>1918</v>
      </c>
      <c r="B1919" s="1" t="s">
        <v>19</v>
      </c>
      <c r="C1919" s="1">
        <f>car_price_prediction_[[#This Row],[Year2]]</f>
        <v>2021</v>
      </c>
      <c r="D1919">
        <v>2021</v>
      </c>
      <c r="E1919">
        <f>car_price_prediction_[[#This Row],[Engine Size]]/10</f>
        <v>1.8</v>
      </c>
      <c r="F1919">
        <v>18</v>
      </c>
      <c r="G1919" s="1" t="s">
        <v>29</v>
      </c>
      <c r="H1919" s="1" t="s">
        <v>12</v>
      </c>
      <c r="I1919" s="12">
        <f>car_price_prediction_[[#This Row],[Mileage]]/1000</f>
        <v>50.151000000000003</v>
      </c>
      <c r="J1919" s="5">
        <v>50151</v>
      </c>
      <c r="K1919" s="1" t="s">
        <v>25</v>
      </c>
      <c r="L1919" s="5">
        <f>car_price_prediction_[[#This Row],[Price]]/100</f>
        <v>10605.99</v>
      </c>
      <c r="M1919">
        <v>1060599</v>
      </c>
      <c r="N1919" s="1" t="s">
        <v>20</v>
      </c>
      <c r="O1919" s="1">
        <f>IF(IFERROR(VLOOKUP(car_price_prediction_[[#This Row],[Car ID]],A1920:A4419,1,FALSE),0),1,0)</f>
        <v>0</v>
      </c>
    </row>
    <row r="1920" spans="1:15" x14ac:dyDescent="0.25">
      <c r="A1920">
        <v>1919</v>
      </c>
      <c r="B1920" s="1" t="s">
        <v>10</v>
      </c>
      <c r="C1920" s="1">
        <f>car_price_prediction_[[#This Row],[Year2]]</f>
        <v>2009</v>
      </c>
      <c r="D1920">
        <v>2009</v>
      </c>
      <c r="E1920">
        <f>car_price_prediction_[[#This Row],[Engine Size]]/10</f>
        <v>4.5999999999999996</v>
      </c>
      <c r="F1920">
        <v>46</v>
      </c>
      <c r="G1920" s="1" t="s">
        <v>16</v>
      </c>
      <c r="H1920" s="1" t="s">
        <v>12</v>
      </c>
      <c r="I1920" s="12">
        <f>car_price_prediction_[[#This Row],[Mileage]]/1000</f>
        <v>67.384</v>
      </c>
      <c r="J1920" s="5">
        <v>67384</v>
      </c>
      <c r="K1920" s="1" t="s">
        <v>13</v>
      </c>
      <c r="L1920" s="5">
        <f>car_price_prediction_[[#This Row],[Price]]/100</f>
        <v>56059.47</v>
      </c>
      <c r="M1920">
        <v>5605947</v>
      </c>
      <c r="N1920" s="1" t="s">
        <v>14</v>
      </c>
      <c r="O1920" s="1">
        <f>IF(IFERROR(VLOOKUP(car_price_prediction_[[#This Row],[Car ID]],A1921:A4420,1,FALSE),0),1,0)</f>
        <v>0</v>
      </c>
    </row>
    <row r="1921" spans="1:15" x14ac:dyDescent="0.25">
      <c r="A1921">
        <v>1920</v>
      </c>
      <c r="B1921" s="1" t="s">
        <v>36</v>
      </c>
      <c r="C1921" s="1">
        <f>car_price_prediction_[[#This Row],[Year2]]</f>
        <v>2020</v>
      </c>
      <c r="D1921">
        <v>2020</v>
      </c>
      <c r="E1921">
        <f>car_price_prediction_[[#This Row],[Engine Size]]/10</f>
        <v>4</v>
      </c>
      <c r="F1921">
        <v>40</v>
      </c>
      <c r="G1921" s="1" t="s">
        <v>16</v>
      </c>
      <c r="H1921" s="1" t="s">
        <v>22</v>
      </c>
      <c r="I1921" s="12">
        <f>car_price_prediction_[[#This Row],[Mileage]]/1000</f>
        <v>33.540999999999997</v>
      </c>
      <c r="J1921" s="5">
        <v>33541</v>
      </c>
      <c r="K1921" s="1" t="s">
        <v>17</v>
      </c>
      <c r="L1921" s="5">
        <f>car_price_prediction_[[#This Row],[Price]]/100</f>
        <v>1854.67</v>
      </c>
      <c r="M1921">
        <v>185467</v>
      </c>
      <c r="N1921" s="1" t="s">
        <v>41</v>
      </c>
      <c r="O1921" s="1">
        <f>IF(IFERROR(VLOOKUP(car_price_prediction_[[#This Row],[Car ID]],A1922:A4421,1,FALSE),0),1,0)</f>
        <v>0</v>
      </c>
    </row>
    <row r="1922" spans="1:15" x14ac:dyDescent="0.25">
      <c r="A1922">
        <v>1921</v>
      </c>
      <c r="B1922" s="1" t="s">
        <v>19</v>
      </c>
      <c r="C1922" s="1">
        <f>car_price_prediction_[[#This Row],[Year2]]</f>
        <v>2011</v>
      </c>
      <c r="D1922">
        <v>2011</v>
      </c>
      <c r="E1922">
        <f>car_price_prediction_[[#This Row],[Engine Size]]/10</f>
        <v>4.7</v>
      </c>
      <c r="F1922">
        <v>47</v>
      </c>
      <c r="G1922" s="1" t="s">
        <v>21</v>
      </c>
      <c r="H1922" s="1" t="s">
        <v>12</v>
      </c>
      <c r="I1922" s="12">
        <f>car_price_prediction_[[#This Row],[Mileage]]/1000</f>
        <v>72.846999999999994</v>
      </c>
      <c r="J1922" s="5">
        <v>72847</v>
      </c>
      <c r="K1922" s="1" t="s">
        <v>25</v>
      </c>
      <c r="L1922" s="5">
        <f>car_price_prediction_[[#This Row],[Price]]/100</f>
        <v>22795.31</v>
      </c>
      <c r="M1922">
        <v>2279531</v>
      </c>
      <c r="N1922" s="1" t="s">
        <v>38</v>
      </c>
      <c r="O1922" s="1">
        <f>IF(IFERROR(VLOOKUP(car_price_prediction_[[#This Row],[Car ID]],A1923:A4422,1,FALSE),0),1,0)</f>
        <v>0</v>
      </c>
    </row>
    <row r="1923" spans="1:15" x14ac:dyDescent="0.25">
      <c r="A1923">
        <v>1922</v>
      </c>
      <c r="B1923" s="1" t="s">
        <v>24</v>
      </c>
      <c r="C1923" s="1">
        <f>car_price_prediction_[[#This Row],[Year2]]</f>
        <v>2014</v>
      </c>
      <c r="D1923">
        <v>2014</v>
      </c>
      <c r="E1923">
        <f>car_price_prediction_[[#This Row],[Engine Size]]/10</f>
        <v>4.8</v>
      </c>
      <c r="F1923">
        <v>48</v>
      </c>
      <c r="G1923" s="1" t="s">
        <v>29</v>
      </c>
      <c r="H1923" s="1" t="s">
        <v>12</v>
      </c>
      <c r="I1923" s="12">
        <f>car_price_prediction_[[#This Row],[Mileage]]/1000</f>
        <v>218.17099999999999</v>
      </c>
      <c r="J1923" s="5">
        <v>218171</v>
      </c>
      <c r="K1923" s="1" t="s">
        <v>25</v>
      </c>
      <c r="L1923" s="5">
        <f>car_price_prediction_[[#This Row],[Price]]/100</f>
        <v>89696.22</v>
      </c>
      <c r="M1923">
        <v>8969622</v>
      </c>
      <c r="N1923" s="1" t="s">
        <v>53</v>
      </c>
      <c r="O1923" s="1">
        <f>IF(IFERROR(VLOOKUP(car_price_prediction_[[#This Row],[Car ID]],A1924:A4423,1,FALSE),0),1,0)</f>
        <v>0</v>
      </c>
    </row>
    <row r="1924" spans="1:15" x14ac:dyDescent="0.25">
      <c r="A1924">
        <v>1923</v>
      </c>
      <c r="B1924" s="1" t="s">
        <v>19</v>
      </c>
      <c r="C1924" s="1">
        <f>car_price_prediction_[[#This Row],[Year2]]</f>
        <v>2020</v>
      </c>
      <c r="D1924">
        <v>2020</v>
      </c>
      <c r="E1924">
        <f>car_price_prediction_[[#This Row],[Engine Size]]/10</f>
        <v>5.9</v>
      </c>
      <c r="F1924">
        <v>59</v>
      </c>
      <c r="G1924" s="1" t="s">
        <v>11</v>
      </c>
      <c r="H1924" s="1" t="s">
        <v>12</v>
      </c>
      <c r="I1924" s="12">
        <f>car_price_prediction_[[#This Row],[Mileage]]/1000</f>
        <v>211.81100000000001</v>
      </c>
      <c r="J1924" s="5">
        <v>211811</v>
      </c>
      <c r="K1924" s="1" t="s">
        <v>25</v>
      </c>
      <c r="L1924" s="5">
        <f>car_price_prediction_[[#This Row],[Price]]/100</f>
        <v>5703.33</v>
      </c>
      <c r="M1924">
        <v>570333</v>
      </c>
      <c r="N1924" s="1" t="s">
        <v>28</v>
      </c>
      <c r="O1924" s="1">
        <f>IF(IFERROR(VLOOKUP(car_price_prediction_[[#This Row],[Car ID]],A1925:A4424,1,FALSE),0),1,0)</f>
        <v>0</v>
      </c>
    </row>
    <row r="1925" spans="1:15" x14ac:dyDescent="0.25">
      <c r="A1925">
        <v>1924</v>
      </c>
      <c r="B1925" s="1" t="s">
        <v>36</v>
      </c>
      <c r="C1925" s="1">
        <f>car_price_prediction_[[#This Row],[Year2]]</f>
        <v>2009</v>
      </c>
      <c r="D1925">
        <v>2009</v>
      </c>
      <c r="E1925">
        <f>car_price_prediction_[[#This Row],[Engine Size]]/10</f>
        <v>3.9</v>
      </c>
      <c r="F1925">
        <v>39</v>
      </c>
      <c r="G1925" s="1" t="s">
        <v>11</v>
      </c>
      <c r="H1925" s="1" t="s">
        <v>22</v>
      </c>
      <c r="I1925" s="12">
        <f>car_price_prediction_[[#This Row],[Mileage]]/1000</f>
        <v>213.739</v>
      </c>
      <c r="J1925" s="5">
        <v>213739</v>
      </c>
      <c r="K1925" s="1" t="s">
        <v>13</v>
      </c>
      <c r="L1925" s="5">
        <f>car_price_prediction_[[#This Row],[Price]]/100</f>
        <v>8259.7900000000009</v>
      </c>
      <c r="M1925">
        <v>825979</v>
      </c>
      <c r="N1925" s="1" t="s">
        <v>40</v>
      </c>
      <c r="O1925" s="1">
        <f>IF(IFERROR(VLOOKUP(car_price_prediction_[[#This Row],[Car ID]],A1926:A4425,1,FALSE),0),1,0)</f>
        <v>0</v>
      </c>
    </row>
    <row r="1926" spans="1:15" x14ac:dyDescent="0.25">
      <c r="A1926">
        <v>1925</v>
      </c>
      <c r="B1926" s="1" t="s">
        <v>30</v>
      </c>
      <c r="C1926" s="1">
        <f>car_price_prediction_[[#This Row],[Year2]]</f>
        <v>2013</v>
      </c>
      <c r="D1926">
        <v>2013</v>
      </c>
      <c r="E1926">
        <f>car_price_prediction_[[#This Row],[Engine Size]]/10</f>
        <v>2.7</v>
      </c>
      <c r="F1926">
        <v>27</v>
      </c>
      <c r="G1926" s="1" t="s">
        <v>21</v>
      </c>
      <c r="H1926" s="1" t="s">
        <v>22</v>
      </c>
      <c r="I1926" s="12">
        <f>car_price_prediction_[[#This Row],[Mileage]]/1000</f>
        <v>167.81299999999999</v>
      </c>
      <c r="J1926" s="5">
        <v>167813</v>
      </c>
      <c r="K1926" s="1" t="s">
        <v>25</v>
      </c>
      <c r="L1926" s="5">
        <f>car_price_prediction_[[#This Row],[Price]]/100</f>
        <v>54110.32</v>
      </c>
      <c r="M1926">
        <v>5411032</v>
      </c>
      <c r="N1926" s="1" t="s">
        <v>48</v>
      </c>
      <c r="O1926" s="1">
        <f>IF(IFERROR(VLOOKUP(car_price_prediction_[[#This Row],[Car ID]],A1927:A4426,1,FALSE),0),1,0)</f>
        <v>0</v>
      </c>
    </row>
    <row r="1927" spans="1:15" x14ac:dyDescent="0.25">
      <c r="A1927">
        <v>1926</v>
      </c>
      <c r="B1927" s="1" t="s">
        <v>24</v>
      </c>
      <c r="C1927" s="1">
        <f>car_price_prediction_[[#This Row],[Year2]]</f>
        <v>2012</v>
      </c>
      <c r="D1927">
        <v>2012</v>
      </c>
      <c r="E1927">
        <f>car_price_prediction_[[#This Row],[Engine Size]]/10</f>
        <v>4.2</v>
      </c>
      <c r="F1927">
        <v>42</v>
      </c>
      <c r="G1927" s="1" t="s">
        <v>11</v>
      </c>
      <c r="H1927" s="1" t="s">
        <v>22</v>
      </c>
      <c r="I1927" s="12">
        <f>car_price_prediction_[[#This Row],[Mileage]]/1000</f>
        <v>99.918999999999997</v>
      </c>
      <c r="J1927" s="5">
        <v>99919</v>
      </c>
      <c r="K1927" s="1" t="s">
        <v>13</v>
      </c>
      <c r="L1927" s="5">
        <f>car_price_prediction_[[#This Row],[Price]]/100</f>
        <v>58132.97</v>
      </c>
      <c r="M1927">
        <v>5813297</v>
      </c>
      <c r="N1927" s="1" t="s">
        <v>34</v>
      </c>
      <c r="O1927" s="1">
        <f>IF(IFERROR(VLOOKUP(car_price_prediction_[[#This Row],[Car ID]],A1928:A4427,1,FALSE),0),1,0)</f>
        <v>0</v>
      </c>
    </row>
    <row r="1928" spans="1:15" x14ac:dyDescent="0.25">
      <c r="A1928">
        <v>1927</v>
      </c>
      <c r="B1928" s="1" t="s">
        <v>30</v>
      </c>
      <c r="C1928" s="1">
        <f>car_price_prediction_[[#This Row],[Year2]]</f>
        <v>2004</v>
      </c>
      <c r="D1928">
        <v>2004</v>
      </c>
      <c r="E1928">
        <f>car_price_prediction_[[#This Row],[Engine Size]]/10</f>
        <v>1.3</v>
      </c>
      <c r="F1928">
        <v>13</v>
      </c>
      <c r="G1928" s="1" t="s">
        <v>21</v>
      </c>
      <c r="H1928" s="1" t="s">
        <v>22</v>
      </c>
      <c r="I1928" s="12">
        <f>car_price_prediction_[[#This Row],[Mileage]]/1000</f>
        <v>216.74600000000001</v>
      </c>
      <c r="J1928" s="5">
        <v>216746</v>
      </c>
      <c r="K1928" s="1" t="s">
        <v>13</v>
      </c>
      <c r="L1928" s="5">
        <f>car_price_prediction_[[#This Row],[Price]]/100</f>
        <v>68817.960000000006</v>
      </c>
      <c r="M1928">
        <v>6881796</v>
      </c>
      <c r="N1928" s="1" t="s">
        <v>42</v>
      </c>
      <c r="O1928" s="1">
        <f>IF(IFERROR(VLOOKUP(car_price_prediction_[[#This Row],[Car ID]],A1929:A4428,1,FALSE),0),1,0)</f>
        <v>0</v>
      </c>
    </row>
    <row r="1929" spans="1:15" x14ac:dyDescent="0.25">
      <c r="A1929">
        <v>1928</v>
      </c>
      <c r="B1929" s="1" t="s">
        <v>43</v>
      </c>
      <c r="C1929" s="1">
        <f>car_price_prediction_[[#This Row],[Year2]]</f>
        <v>2005</v>
      </c>
      <c r="D1929">
        <v>2005</v>
      </c>
      <c r="E1929">
        <f>car_price_prediction_[[#This Row],[Engine Size]]/10</f>
        <v>5.5</v>
      </c>
      <c r="F1929">
        <v>55</v>
      </c>
      <c r="G1929" s="1" t="s">
        <v>16</v>
      </c>
      <c r="H1929" s="1" t="s">
        <v>22</v>
      </c>
      <c r="I1929" s="12">
        <f>car_price_prediction_[[#This Row],[Mileage]]/1000</f>
        <v>194.02</v>
      </c>
      <c r="J1929" s="5">
        <v>194020</v>
      </c>
      <c r="K1929" s="1" t="s">
        <v>17</v>
      </c>
      <c r="L1929" s="5">
        <f>car_price_prediction_[[#This Row],[Price]]/100</f>
        <v>45987.27</v>
      </c>
      <c r="M1929">
        <v>4598727</v>
      </c>
      <c r="N1929" s="1" t="s">
        <v>47</v>
      </c>
      <c r="O1929" s="1">
        <f>IF(IFERROR(VLOOKUP(car_price_prediction_[[#This Row],[Car ID]],A1930:A4429,1,FALSE),0),1,0)</f>
        <v>0</v>
      </c>
    </row>
    <row r="1930" spans="1:15" x14ac:dyDescent="0.25">
      <c r="A1930">
        <v>1929</v>
      </c>
      <c r="B1930" s="1" t="s">
        <v>30</v>
      </c>
      <c r="C1930" s="1">
        <f>car_price_prediction_[[#This Row],[Year2]]</f>
        <v>2023</v>
      </c>
      <c r="D1930">
        <v>2023</v>
      </c>
      <c r="E1930">
        <f>car_price_prediction_[[#This Row],[Engine Size]]/10</f>
        <v>1.6</v>
      </c>
      <c r="F1930">
        <v>16</v>
      </c>
      <c r="G1930" s="1" t="s">
        <v>29</v>
      </c>
      <c r="H1930" s="1" t="s">
        <v>12</v>
      </c>
      <c r="I1930" s="12">
        <f>car_price_prediction_[[#This Row],[Mileage]]/1000</f>
        <v>61.768000000000001</v>
      </c>
      <c r="J1930" s="5">
        <v>61768</v>
      </c>
      <c r="K1930" s="1" t="s">
        <v>25</v>
      </c>
      <c r="L1930" s="5">
        <f>car_price_prediction_[[#This Row],[Price]]/100</f>
        <v>15983.13</v>
      </c>
      <c r="M1930">
        <v>1598313</v>
      </c>
      <c r="N1930" s="1" t="s">
        <v>48</v>
      </c>
      <c r="O1930" s="1">
        <f>IF(IFERROR(VLOOKUP(car_price_prediction_[[#This Row],[Car ID]],A1931:A4430,1,FALSE),0),1,0)</f>
        <v>0</v>
      </c>
    </row>
    <row r="1931" spans="1:15" x14ac:dyDescent="0.25">
      <c r="A1931">
        <v>1930</v>
      </c>
      <c r="B1931" s="1" t="s">
        <v>43</v>
      </c>
      <c r="C1931" s="1">
        <f>car_price_prediction_[[#This Row],[Year2]]</f>
        <v>2001</v>
      </c>
      <c r="D1931">
        <v>2001</v>
      </c>
      <c r="E1931">
        <f>car_price_prediction_[[#This Row],[Engine Size]]/10</f>
        <v>2.6</v>
      </c>
      <c r="F1931">
        <v>26</v>
      </c>
      <c r="G1931" s="1" t="s">
        <v>21</v>
      </c>
      <c r="H1931" s="1" t="s">
        <v>22</v>
      </c>
      <c r="I1931" s="12">
        <f>car_price_prediction_[[#This Row],[Mileage]]/1000</f>
        <v>43.262</v>
      </c>
      <c r="J1931" s="5">
        <v>43262</v>
      </c>
      <c r="K1931" s="1" t="s">
        <v>13</v>
      </c>
      <c r="L1931" s="5">
        <f>car_price_prediction_[[#This Row],[Price]]/100</f>
        <v>14767.92</v>
      </c>
      <c r="M1931">
        <v>1476792</v>
      </c>
      <c r="N1931" s="1" t="s">
        <v>52</v>
      </c>
      <c r="O1931" s="1">
        <f>IF(IFERROR(VLOOKUP(car_price_prediction_[[#This Row],[Car ID]],A1932:A4431,1,FALSE),0),1,0)</f>
        <v>0</v>
      </c>
    </row>
    <row r="1932" spans="1:15" x14ac:dyDescent="0.25">
      <c r="A1932">
        <v>1931</v>
      </c>
      <c r="B1932" s="1" t="s">
        <v>43</v>
      </c>
      <c r="C1932" s="1">
        <f>car_price_prediction_[[#This Row],[Year2]]</f>
        <v>2021</v>
      </c>
      <c r="D1932">
        <v>2021</v>
      </c>
      <c r="E1932">
        <f>car_price_prediction_[[#This Row],[Engine Size]]/10</f>
        <v>5.0999999999999996</v>
      </c>
      <c r="F1932">
        <v>51</v>
      </c>
      <c r="G1932" s="1" t="s">
        <v>11</v>
      </c>
      <c r="H1932" s="1" t="s">
        <v>22</v>
      </c>
      <c r="I1932" s="12">
        <f>car_price_prediction_[[#This Row],[Mileage]]/1000</f>
        <v>20.605</v>
      </c>
      <c r="J1932" s="5">
        <v>20605</v>
      </c>
      <c r="K1932" s="1" t="s">
        <v>25</v>
      </c>
      <c r="L1932" s="5">
        <f>car_price_prediction_[[#This Row],[Price]]/100</f>
        <v>76664.41</v>
      </c>
      <c r="M1932">
        <v>7666441</v>
      </c>
      <c r="N1932" s="1" t="s">
        <v>47</v>
      </c>
      <c r="O1932" s="1">
        <f>IF(IFERROR(VLOOKUP(car_price_prediction_[[#This Row],[Car ID]],A1933:A4432,1,FALSE),0),1,0)</f>
        <v>0</v>
      </c>
    </row>
    <row r="1933" spans="1:15" x14ac:dyDescent="0.25">
      <c r="A1933">
        <v>1932</v>
      </c>
      <c r="B1933" s="1" t="s">
        <v>30</v>
      </c>
      <c r="C1933" s="1">
        <f>car_price_prediction_[[#This Row],[Year2]]</f>
        <v>2016</v>
      </c>
      <c r="D1933">
        <v>2016</v>
      </c>
      <c r="E1933">
        <f>car_price_prediction_[[#This Row],[Engine Size]]/10</f>
        <v>4</v>
      </c>
      <c r="F1933">
        <v>40</v>
      </c>
      <c r="G1933" s="1" t="s">
        <v>21</v>
      </c>
      <c r="H1933" s="1" t="s">
        <v>12</v>
      </c>
      <c r="I1933" s="12">
        <f>car_price_prediction_[[#This Row],[Mileage]]/1000</f>
        <v>78.59</v>
      </c>
      <c r="J1933" s="5">
        <v>78590</v>
      </c>
      <c r="K1933" s="1" t="s">
        <v>17</v>
      </c>
      <c r="L1933" s="5">
        <f>car_price_prediction_[[#This Row],[Price]]/100</f>
        <v>25998.34</v>
      </c>
      <c r="M1933">
        <v>2599834</v>
      </c>
      <c r="N1933" s="1" t="s">
        <v>42</v>
      </c>
      <c r="O1933" s="1">
        <f>IF(IFERROR(VLOOKUP(car_price_prediction_[[#This Row],[Car ID]],A1934:A4433,1,FALSE),0),1,0)</f>
        <v>0</v>
      </c>
    </row>
    <row r="1934" spans="1:15" x14ac:dyDescent="0.25">
      <c r="A1934">
        <v>1933</v>
      </c>
      <c r="B1934" s="1" t="s">
        <v>24</v>
      </c>
      <c r="C1934" s="1">
        <f>car_price_prediction_[[#This Row],[Year2]]</f>
        <v>2003</v>
      </c>
      <c r="D1934">
        <v>2003</v>
      </c>
      <c r="E1934">
        <f>car_price_prediction_[[#This Row],[Engine Size]]/10</f>
        <v>3</v>
      </c>
      <c r="F1934">
        <v>30</v>
      </c>
      <c r="G1934" s="1" t="s">
        <v>16</v>
      </c>
      <c r="H1934" s="1" t="s">
        <v>22</v>
      </c>
      <c r="I1934" s="12">
        <f>car_price_prediction_[[#This Row],[Mileage]]/1000</f>
        <v>290.375</v>
      </c>
      <c r="J1934" s="5">
        <v>290375</v>
      </c>
      <c r="K1934" s="1" t="s">
        <v>17</v>
      </c>
      <c r="L1934" s="5">
        <f>car_price_prediction_[[#This Row],[Price]]/100</f>
        <v>7669.66</v>
      </c>
      <c r="M1934">
        <v>766966</v>
      </c>
      <c r="N1934" s="1" t="s">
        <v>34</v>
      </c>
      <c r="O1934" s="1">
        <f>IF(IFERROR(VLOOKUP(car_price_prediction_[[#This Row],[Car ID]],A1935:A4434,1,FALSE),0),1,0)</f>
        <v>0</v>
      </c>
    </row>
    <row r="1935" spans="1:15" x14ac:dyDescent="0.25">
      <c r="A1935">
        <v>1934</v>
      </c>
      <c r="B1935" s="1" t="s">
        <v>36</v>
      </c>
      <c r="C1935" s="1">
        <f>car_price_prediction_[[#This Row],[Year2]]</f>
        <v>2013</v>
      </c>
      <c r="D1935">
        <v>2013</v>
      </c>
      <c r="E1935">
        <f>car_price_prediction_[[#This Row],[Engine Size]]/10</f>
        <v>3.4</v>
      </c>
      <c r="F1935">
        <v>34</v>
      </c>
      <c r="G1935" s="1" t="s">
        <v>11</v>
      </c>
      <c r="H1935" s="1" t="s">
        <v>12</v>
      </c>
      <c r="I1935" s="12">
        <f>car_price_prediction_[[#This Row],[Mileage]]/1000</f>
        <v>79.397000000000006</v>
      </c>
      <c r="J1935" s="5">
        <v>79397</v>
      </c>
      <c r="K1935" s="1" t="s">
        <v>13</v>
      </c>
      <c r="L1935" s="5">
        <f>car_price_prediction_[[#This Row],[Price]]/100</f>
        <v>98063.32</v>
      </c>
      <c r="M1935">
        <v>9806332</v>
      </c>
      <c r="N1935" s="1" t="s">
        <v>46</v>
      </c>
      <c r="O1935" s="1">
        <f>IF(IFERROR(VLOOKUP(car_price_prediction_[[#This Row],[Car ID]],A1936:A4435,1,FALSE),0),1,0)</f>
        <v>0</v>
      </c>
    </row>
    <row r="1936" spans="1:15" x14ac:dyDescent="0.25">
      <c r="A1936">
        <v>1935</v>
      </c>
      <c r="B1936" s="1" t="s">
        <v>19</v>
      </c>
      <c r="C1936" s="1">
        <f>car_price_prediction_[[#This Row],[Year2]]</f>
        <v>2009</v>
      </c>
      <c r="D1936">
        <v>2009</v>
      </c>
      <c r="E1936">
        <f>car_price_prediction_[[#This Row],[Engine Size]]/10</f>
        <v>5.3</v>
      </c>
      <c r="F1936">
        <v>53</v>
      </c>
      <c r="G1936" s="1" t="s">
        <v>16</v>
      </c>
      <c r="H1936" s="1" t="s">
        <v>22</v>
      </c>
      <c r="I1936" s="12">
        <f>car_price_prediction_[[#This Row],[Mileage]]/1000</f>
        <v>77.123000000000005</v>
      </c>
      <c r="J1936" s="5">
        <v>77123</v>
      </c>
      <c r="K1936" s="1" t="s">
        <v>17</v>
      </c>
      <c r="L1936" s="5">
        <f>car_price_prediction_[[#This Row],[Price]]/100</f>
        <v>98137.19</v>
      </c>
      <c r="M1936">
        <v>9813719</v>
      </c>
      <c r="N1936" s="1" t="s">
        <v>27</v>
      </c>
      <c r="O1936" s="1">
        <f>IF(IFERROR(VLOOKUP(car_price_prediction_[[#This Row],[Car ID]],A1937:A4436,1,FALSE),0),1,0)</f>
        <v>0</v>
      </c>
    </row>
    <row r="1937" spans="1:15" x14ac:dyDescent="0.25">
      <c r="A1937">
        <v>1936</v>
      </c>
      <c r="B1937" s="1" t="s">
        <v>19</v>
      </c>
      <c r="C1937" s="1">
        <f>car_price_prediction_[[#This Row],[Year2]]</f>
        <v>2002</v>
      </c>
      <c r="D1937">
        <v>2002</v>
      </c>
      <c r="E1937">
        <f>car_price_prediction_[[#This Row],[Engine Size]]/10</f>
        <v>2.7</v>
      </c>
      <c r="F1937">
        <v>27</v>
      </c>
      <c r="G1937" s="1" t="s">
        <v>16</v>
      </c>
      <c r="H1937" s="1" t="s">
        <v>12</v>
      </c>
      <c r="I1937" s="12">
        <f>car_price_prediction_[[#This Row],[Mileage]]/1000</f>
        <v>275.65899999999999</v>
      </c>
      <c r="J1937" s="5">
        <v>275659</v>
      </c>
      <c r="K1937" s="1" t="s">
        <v>17</v>
      </c>
      <c r="L1937" s="5">
        <f>car_price_prediction_[[#This Row],[Price]]/100</f>
        <v>40923.43</v>
      </c>
      <c r="M1937">
        <v>4092343</v>
      </c>
      <c r="N1937" s="1" t="s">
        <v>38</v>
      </c>
      <c r="O1937" s="1">
        <f>IF(IFERROR(VLOOKUP(car_price_prediction_[[#This Row],[Car ID]],A1938:A4437,1,FALSE),0),1,0)</f>
        <v>0</v>
      </c>
    </row>
    <row r="1938" spans="1:15" x14ac:dyDescent="0.25">
      <c r="A1938">
        <v>1937</v>
      </c>
      <c r="B1938" s="1" t="s">
        <v>36</v>
      </c>
      <c r="C1938" s="1">
        <f>car_price_prediction_[[#This Row],[Year2]]</f>
        <v>2002</v>
      </c>
      <c r="D1938">
        <v>2002</v>
      </c>
      <c r="E1938">
        <f>car_price_prediction_[[#This Row],[Engine Size]]/10</f>
        <v>5.3</v>
      </c>
      <c r="F1938">
        <v>53</v>
      </c>
      <c r="G1938" s="1" t="s">
        <v>21</v>
      </c>
      <c r="H1938" s="1" t="s">
        <v>12</v>
      </c>
      <c r="I1938" s="12">
        <f>car_price_prediction_[[#This Row],[Mileage]]/1000</f>
        <v>278.74400000000003</v>
      </c>
      <c r="J1938" s="5">
        <v>278744</v>
      </c>
      <c r="K1938" s="1" t="s">
        <v>17</v>
      </c>
      <c r="L1938" s="5">
        <f>car_price_prediction_[[#This Row],[Price]]/100</f>
        <v>7424.77</v>
      </c>
      <c r="M1938">
        <v>742477</v>
      </c>
      <c r="N1938" s="1" t="s">
        <v>40</v>
      </c>
      <c r="O1938" s="1">
        <f>IF(IFERROR(VLOOKUP(car_price_prediction_[[#This Row],[Car ID]],A1939:A4438,1,FALSE),0),1,0)</f>
        <v>0</v>
      </c>
    </row>
    <row r="1939" spans="1:15" x14ac:dyDescent="0.25">
      <c r="A1939">
        <v>1938</v>
      </c>
      <c r="B1939" s="1" t="s">
        <v>10</v>
      </c>
      <c r="C1939" s="1">
        <f>car_price_prediction_[[#This Row],[Year2]]</f>
        <v>2014</v>
      </c>
      <c r="D1939">
        <v>2014</v>
      </c>
      <c r="E1939">
        <f>car_price_prediction_[[#This Row],[Engine Size]]/10</f>
        <v>1.4</v>
      </c>
      <c r="F1939">
        <v>14</v>
      </c>
      <c r="G1939" s="1" t="s">
        <v>16</v>
      </c>
      <c r="H1939" s="1" t="s">
        <v>22</v>
      </c>
      <c r="I1939" s="12">
        <f>car_price_prediction_[[#This Row],[Mileage]]/1000</f>
        <v>158.964</v>
      </c>
      <c r="J1939" s="5">
        <v>158964</v>
      </c>
      <c r="K1939" s="1" t="s">
        <v>25</v>
      </c>
      <c r="L1939" s="5">
        <f>car_price_prediction_[[#This Row],[Price]]/100</f>
        <v>74090.14</v>
      </c>
      <c r="M1939">
        <v>7409014</v>
      </c>
      <c r="N1939" s="1" t="s">
        <v>49</v>
      </c>
      <c r="O1939" s="1">
        <f>IF(IFERROR(VLOOKUP(car_price_prediction_[[#This Row],[Car ID]],A1940:A4439,1,FALSE),0),1,0)</f>
        <v>0</v>
      </c>
    </row>
    <row r="1940" spans="1:15" x14ac:dyDescent="0.25">
      <c r="A1940">
        <v>1939</v>
      </c>
      <c r="B1940" s="1" t="s">
        <v>10</v>
      </c>
      <c r="C1940" s="1">
        <f>car_price_prediction_[[#This Row],[Year2]]</f>
        <v>2005</v>
      </c>
      <c r="D1940">
        <v>2005</v>
      </c>
      <c r="E1940">
        <f>car_price_prediction_[[#This Row],[Engine Size]]/10</f>
        <v>4.9000000000000004</v>
      </c>
      <c r="F1940">
        <v>49</v>
      </c>
      <c r="G1940" s="1" t="s">
        <v>11</v>
      </c>
      <c r="H1940" s="1" t="s">
        <v>22</v>
      </c>
      <c r="I1940" s="12">
        <f>car_price_prediction_[[#This Row],[Mileage]]/1000</f>
        <v>168.767</v>
      </c>
      <c r="J1940" s="5">
        <v>168767</v>
      </c>
      <c r="K1940" s="1" t="s">
        <v>25</v>
      </c>
      <c r="L1940" s="5">
        <f>car_price_prediction_[[#This Row],[Price]]/100</f>
        <v>83946.15</v>
      </c>
      <c r="M1940">
        <v>8394615</v>
      </c>
      <c r="N1940" s="1" t="s">
        <v>14</v>
      </c>
      <c r="O1940" s="1">
        <f>IF(IFERROR(VLOOKUP(car_price_prediction_[[#This Row],[Car ID]],A1941:A4440,1,FALSE),0),1,0)</f>
        <v>0</v>
      </c>
    </row>
    <row r="1941" spans="1:15" x14ac:dyDescent="0.25">
      <c r="A1941">
        <v>1940</v>
      </c>
      <c r="B1941" s="1" t="s">
        <v>43</v>
      </c>
      <c r="C1941" s="1">
        <f>car_price_prediction_[[#This Row],[Year2]]</f>
        <v>2016</v>
      </c>
      <c r="D1941">
        <v>2016</v>
      </c>
      <c r="E1941">
        <f>car_price_prediction_[[#This Row],[Engine Size]]/10</f>
        <v>5.2</v>
      </c>
      <c r="F1941">
        <v>52</v>
      </c>
      <c r="G1941" s="1" t="s">
        <v>16</v>
      </c>
      <c r="H1941" s="1" t="s">
        <v>12</v>
      </c>
      <c r="I1941" s="12">
        <f>car_price_prediction_[[#This Row],[Mileage]]/1000</f>
        <v>135.501</v>
      </c>
      <c r="J1941" s="5">
        <v>135501</v>
      </c>
      <c r="K1941" s="1" t="s">
        <v>13</v>
      </c>
      <c r="L1941" s="5">
        <f>car_price_prediction_[[#This Row],[Price]]/100</f>
        <v>1687.63</v>
      </c>
      <c r="M1941">
        <v>168763</v>
      </c>
      <c r="N1941" s="1" t="s">
        <v>44</v>
      </c>
      <c r="O1941" s="1">
        <f>IF(IFERROR(VLOOKUP(car_price_prediction_[[#This Row],[Car ID]],A1942:A4441,1,FALSE),0),1,0)</f>
        <v>0</v>
      </c>
    </row>
    <row r="1942" spans="1:15" x14ac:dyDescent="0.25">
      <c r="A1942">
        <v>1941</v>
      </c>
      <c r="B1942" s="1" t="s">
        <v>43</v>
      </c>
      <c r="C1942" s="1">
        <f>car_price_prediction_[[#This Row],[Year2]]</f>
        <v>2011</v>
      </c>
      <c r="D1942">
        <v>2011</v>
      </c>
      <c r="E1942">
        <f>car_price_prediction_[[#This Row],[Engine Size]]/10</f>
        <v>1.9</v>
      </c>
      <c r="F1942">
        <v>19</v>
      </c>
      <c r="G1942" s="1" t="s">
        <v>16</v>
      </c>
      <c r="H1942" s="1" t="s">
        <v>12</v>
      </c>
      <c r="I1942" s="12">
        <f>car_price_prediction_[[#This Row],[Mileage]]/1000</f>
        <v>135.678</v>
      </c>
      <c r="J1942" s="5">
        <v>135678</v>
      </c>
      <c r="K1942" s="1" t="s">
        <v>13</v>
      </c>
      <c r="L1942" s="5">
        <f>car_price_prediction_[[#This Row],[Price]]/100</f>
        <v>17868.57</v>
      </c>
      <c r="M1942">
        <v>1786857</v>
      </c>
      <c r="N1942" s="1" t="s">
        <v>47</v>
      </c>
      <c r="O1942" s="1">
        <f>IF(IFERROR(VLOOKUP(car_price_prediction_[[#This Row],[Car ID]],A1943:A4442,1,FALSE),0),1,0)</f>
        <v>0</v>
      </c>
    </row>
    <row r="1943" spans="1:15" x14ac:dyDescent="0.25">
      <c r="A1943">
        <v>1942</v>
      </c>
      <c r="B1943" s="1" t="s">
        <v>24</v>
      </c>
      <c r="C1943" s="1">
        <f>car_price_prediction_[[#This Row],[Year2]]</f>
        <v>2021</v>
      </c>
      <c r="D1943">
        <v>2021</v>
      </c>
      <c r="E1943">
        <f>car_price_prediction_[[#This Row],[Engine Size]]/10</f>
        <v>3.2</v>
      </c>
      <c r="F1943">
        <v>32</v>
      </c>
      <c r="G1943" s="1" t="s">
        <v>21</v>
      </c>
      <c r="H1943" s="1" t="s">
        <v>12</v>
      </c>
      <c r="I1943" s="12">
        <f>car_price_prediction_[[#This Row],[Mileage]]/1000</f>
        <v>114.38</v>
      </c>
      <c r="J1943" s="5">
        <v>114380</v>
      </c>
      <c r="K1943" s="1" t="s">
        <v>17</v>
      </c>
      <c r="L1943" s="5">
        <f>car_price_prediction_[[#This Row],[Price]]/100</f>
        <v>83111.28</v>
      </c>
      <c r="M1943">
        <v>8311128</v>
      </c>
      <c r="N1943" s="1" t="s">
        <v>26</v>
      </c>
      <c r="O1943" s="1">
        <f>IF(IFERROR(VLOOKUP(car_price_prediction_[[#This Row],[Car ID]],A1944:A4443,1,FALSE),0),1,0)</f>
        <v>0</v>
      </c>
    </row>
    <row r="1944" spans="1:15" x14ac:dyDescent="0.25">
      <c r="A1944">
        <v>1943</v>
      </c>
      <c r="B1944" s="1" t="s">
        <v>15</v>
      </c>
      <c r="C1944" s="1">
        <f>car_price_prediction_[[#This Row],[Year2]]</f>
        <v>2019</v>
      </c>
      <c r="D1944">
        <v>2019</v>
      </c>
      <c r="E1944">
        <f>car_price_prediction_[[#This Row],[Engine Size]]/10</f>
        <v>1.8</v>
      </c>
      <c r="F1944">
        <v>18</v>
      </c>
      <c r="G1944" s="1" t="s">
        <v>16</v>
      </c>
      <c r="H1944" s="1" t="s">
        <v>12</v>
      </c>
      <c r="I1944" s="12">
        <f>car_price_prediction_[[#This Row],[Mileage]]/1000</f>
        <v>171.20599999999999</v>
      </c>
      <c r="J1944" s="5">
        <v>171206</v>
      </c>
      <c r="K1944" s="1" t="s">
        <v>17</v>
      </c>
      <c r="L1944" s="5">
        <f>car_price_prediction_[[#This Row],[Price]]/100</f>
        <v>9258.1200000000008</v>
      </c>
      <c r="M1944">
        <v>925812</v>
      </c>
      <c r="N1944" s="1" t="s">
        <v>18</v>
      </c>
      <c r="O1944" s="1">
        <f>IF(IFERROR(VLOOKUP(car_price_prediction_[[#This Row],[Car ID]],A1945:A4444,1,FALSE),0),1,0)</f>
        <v>0</v>
      </c>
    </row>
    <row r="1945" spans="1:15" x14ac:dyDescent="0.25">
      <c r="A1945">
        <v>1944</v>
      </c>
      <c r="B1945" s="1" t="s">
        <v>30</v>
      </c>
      <c r="C1945" s="1">
        <f>car_price_prediction_[[#This Row],[Year2]]</f>
        <v>2023</v>
      </c>
      <c r="D1945">
        <v>2023</v>
      </c>
      <c r="E1945">
        <f>car_price_prediction_[[#This Row],[Engine Size]]/10</f>
        <v>4.5</v>
      </c>
      <c r="F1945">
        <v>45</v>
      </c>
      <c r="G1945" s="1" t="s">
        <v>29</v>
      </c>
      <c r="H1945" s="1" t="s">
        <v>12</v>
      </c>
      <c r="I1945" s="12">
        <f>car_price_prediction_[[#This Row],[Mileage]]/1000</f>
        <v>156.547</v>
      </c>
      <c r="J1945" s="5">
        <v>156547</v>
      </c>
      <c r="K1945" s="1" t="s">
        <v>13</v>
      </c>
      <c r="L1945" s="5">
        <f>car_price_prediction_[[#This Row],[Price]]/100</f>
        <v>80121.710000000006</v>
      </c>
      <c r="M1945">
        <v>8012171</v>
      </c>
      <c r="N1945" s="1" t="s">
        <v>48</v>
      </c>
      <c r="O1945" s="1">
        <f>IF(IFERROR(VLOOKUP(car_price_prediction_[[#This Row],[Car ID]],A1946:A4445,1,FALSE),0),1,0)</f>
        <v>0</v>
      </c>
    </row>
    <row r="1946" spans="1:15" x14ac:dyDescent="0.25">
      <c r="A1946">
        <v>1945</v>
      </c>
      <c r="B1946" s="1" t="s">
        <v>43</v>
      </c>
      <c r="C1946" s="1">
        <f>car_price_prediction_[[#This Row],[Year2]]</f>
        <v>2010</v>
      </c>
      <c r="D1946">
        <v>2010</v>
      </c>
      <c r="E1946">
        <f>car_price_prediction_[[#This Row],[Engine Size]]/10</f>
        <v>3.7</v>
      </c>
      <c r="F1946">
        <v>37</v>
      </c>
      <c r="G1946" s="1" t="s">
        <v>21</v>
      </c>
      <c r="H1946" s="1" t="s">
        <v>12</v>
      </c>
      <c r="I1946" s="12">
        <f>car_price_prediction_[[#This Row],[Mileage]]/1000</f>
        <v>152.80199999999999</v>
      </c>
      <c r="J1946" s="5">
        <v>152802</v>
      </c>
      <c r="K1946" s="1" t="s">
        <v>17</v>
      </c>
      <c r="L1946" s="5">
        <f>car_price_prediction_[[#This Row],[Price]]/100</f>
        <v>24070.77</v>
      </c>
      <c r="M1946">
        <v>2407077</v>
      </c>
      <c r="N1946" s="1" t="s">
        <v>50</v>
      </c>
      <c r="O1946" s="1">
        <f>IF(IFERROR(VLOOKUP(car_price_prediction_[[#This Row],[Car ID]],A1947:A4446,1,FALSE),0),1,0)</f>
        <v>0</v>
      </c>
    </row>
    <row r="1947" spans="1:15" x14ac:dyDescent="0.25">
      <c r="A1947">
        <v>1946</v>
      </c>
      <c r="B1947" s="1" t="s">
        <v>19</v>
      </c>
      <c r="C1947" s="1">
        <f>car_price_prediction_[[#This Row],[Year2]]</f>
        <v>2003</v>
      </c>
      <c r="D1947">
        <v>2003</v>
      </c>
      <c r="E1947">
        <f>car_price_prediction_[[#This Row],[Engine Size]]/10</f>
        <v>4.2</v>
      </c>
      <c r="F1947">
        <v>42</v>
      </c>
      <c r="G1947" s="1" t="s">
        <v>21</v>
      </c>
      <c r="H1947" s="1" t="s">
        <v>12</v>
      </c>
      <c r="I1947" s="12">
        <f>car_price_prediction_[[#This Row],[Mileage]]/1000</f>
        <v>152.185</v>
      </c>
      <c r="J1947" s="5">
        <v>152185</v>
      </c>
      <c r="K1947" s="1" t="s">
        <v>13</v>
      </c>
      <c r="L1947" s="5">
        <f>car_price_prediction_[[#This Row],[Price]]/100</f>
        <v>44094.52</v>
      </c>
      <c r="M1947">
        <v>4409452</v>
      </c>
      <c r="N1947" s="1" t="s">
        <v>38</v>
      </c>
      <c r="O1947" s="1">
        <f>IF(IFERROR(VLOOKUP(car_price_prediction_[[#This Row],[Car ID]],A1948:A4447,1,FALSE),0),1,0)</f>
        <v>0</v>
      </c>
    </row>
    <row r="1948" spans="1:15" x14ac:dyDescent="0.25">
      <c r="A1948">
        <v>1947</v>
      </c>
      <c r="B1948" s="1" t="s">
        <v>24</v>
      </c>
      <c r="C1948" s="1">
        <f>car_price_prediction_[[#This Row],[Year2]]</f>
        <v>2005</v>
      </c>
      <c r="D1948">
        <v>2005</v>
      </c>
      <c r="E1948">
        <f>car_price_prediction_[[#This Row],[Engine Size]]/10</f>
        <v>2</v>
      </c>
      <c r="F1948">
        <v>20</v>
      </c>
      <c r="G1948" s="1" t="s">
        <v>11</v>
      </c>
      <c r="H1948" s="1" t="s">
        <v>22</v>
      </c>
      <c r="I1948" s="12">
        <f>car_price_prediction_[[#This Row],[Mileage]]/1000</f>
        <v>151.083</v>
      </c>
      <c r="J1948" s="5">
        <v>151083</v>
      </c>
      <c r="K1948" s="1" t="s">
        <v>25</v>
      </c>
      <c r="L1948" s="5">
        <f>car_price_prediction_[[#This Row],[Price]]/100</f>
        <v>62080.03</v>
      </c>
      <c r="M1948">
        <v>6208003</v>
      </c>
      <c r="N1948" s="1" t="s">
        <v>34</v>
      </c>
      <c r="O1948" s="1">
        <f>IF(IFERROR(VLOOKUP(car_price_prediction_[[#This Row],[Car ID]],A1949:A4448,1,FALSE),0),1,0)</f>
        <v>0</v>
      </c>
    </row>
    <row r="1949" spans="1:15" x14ac:dyDescent="0.25">
      <c r="A1949">
        <v>1948</v>
      </c>
      <c r="B1949" s="1" t="s">
        <v>30</v>
      </c>
      <c r="C1949" s="1">
        <f>car_price_prediction_[[#This Row],[Year2]]</f>
        <v>2000</v>
      </c>
      <c r="D1949">
        <v>2000</v>
      </c>
      <c r="E1949">
        <f>car_price_prediction_[[#This Row],[Engine Size]]/10</f>
        <v>2.1</v>
      </c>
      <c r="F1949">
        <v>21</v>
      </c>
      <c r="G1949" s="1" t="s">
        <v>11</v>
      </c>
      <c r="H1949" s="1" t="s">
        <v>12</v>
      </c>
      <c r="I1949" s="12">
        <f>car_price_prediction_[[#This Row],[Mileage]]/1000</f>
        <v>55.746000000000002</v>
      </c>
      <c r="J1949" s="5">
        <v>55746</v>
      </c>
      <c r="K1949" s="1" t="s">
        <v>17</v>
      </c>
      <c r="L1949" s="5">
        <f>car_price_prediction_[[#This Row],[Price]]/100</f>
        <v>20227.88</v>
      </c>
      <c r="M1949">
        <v>2022788</v>
      </c>
      <c r="N1949" s="1" t="s">
        <v>48</v>
      </c>
      <c r="O1949" s="1">
        <f>IF(IFERROR(VLOOKUP(car_price_prediction_[[#This Row],[Car ID]],A1950:A4449,1,FALSE),0),1,0)</f>
        <v>0</v>
      </c>
    </row>
    <row r="1950" spans="1:15" x14ac:dyDescent="0.25">
      <c r="A1950">
        <v>1949</v>
      </c>
      <c r="B1950" s="1" t="s">
        <v>24</v>
      </c>
      <c r="C1950" s="1">
        <f>car_price_prediction_[[#This Row],[Year2]]</f>
        <v>2019</v>
      </c>
      <c r="D1950">
        <v>2019</v>
      </c>
      <c r="E1950">
        <f>car_price_prediction_[[#This Row],[Engine Size]]/10</f>
        <v>1.2</v>
      </c>
      <c r="F1950">
        <v>12</v>
      </c>
      <c r="G1950" s="1" t="s">
        <v>11</v>
      </c>
      <c r="H1950" s="1" t="s">
        <v>22</v>
      </c>
      <c r="I1950" s="12">
        <f>car_price_prediction_[[#This Row],[Mileage]]/1000</f>
        <v>173.92500000000001</v>
      </c>
      <c r="J1950" s="5">
        <v>173925</v>
      </c>
      <c r="K1950" s="1" t="s">
        <v>17</v>
      </c>
      <c r="L1950" s="5">
        <f>car_price_prediction_[[#This Row],[Price]]/100</f>
        <v>25007.24</v>
      </c>
      <c r="M1950">
        <v>2500724</v>
      </c>
      <c r="N1950" s="1" t="s">
        <v>32</v>
      </c>
      <c r="O1950" s="1">
        <f>IF(IFERROR(VLOOKUP(car_price_prediction_[[#This Row],[Car ID]],A1951:A4450,1,FALSE),0),1,0)</f>
        <v>0</v>
      </c>
    </row>
    <row r="1951" spans="1:15" x14ac:dyDescent="0.25">
      <c r="A1951">
        <v>1950</v>
      </c>
      <c r="B1951" s="1" t="s">
        <v>30</v>
      </c>
      <c r="C1951" s="1">
        <f>car_price_prediction_[[#This Row],[Year2]]</f>
        <v>2022</v>
      </c>
      <c r="D1951">
        <v>2022</v>
      </c>
      <c r="E1951">
        <f>car_price_prediction_[[#This Row],[Engine Size]]/10</f>
        <v>2.6</v>
      </c>
      <c r="F1951">
        <v>26</v>
      </c>
      <c r="G1951" s="1" t="s">
        <v>11</v>
      </c>
      <c r="H1951" s="1" t="s">
        <v>22</v>
      </c>
      <c r="I1951" s="12">
        <f>car_price_prediction_[[#This Row],[Mileage]]/1000</f>
        <v>298.96199999999999</v>
      </c>
      <c r="J1951" s="5">
        <v>298962</v>
      </c>
      <c r="K1951" s="1" t="s">
        <v>17</v>
      </c>
      <c r="L1951" s="5">
        <f>car_price_prediction_[[#This Row],[Price]]/100</f>
        <v>31874.18</v>
      </c>
      <c r="M1951">
        <v>3187418</v>
      </c>
      <c r="N1951" s="1" t="s">
        <v>31</v>
      </c>
      <c r="O1951" s="1">
        <f>IF(IFERROR(VLOOKUP(car_price_prediction_[[#This Row],[Car ID]],A1952:A4451,1,FALSE),0),1,0)</f>
        <v>0</v>
      </c>
    </row>
    <row r="1952" spans="1:15" x14ac:dyDescent="0.25">
      <c r="A1952">
        <v>1951</v>
      </c>
      <c r="B1952" s="1" t="s">
        <v>30</v>
      </c>
      <c r="C1952" s="1">
        <f>car_price_prediction_[[#This Row],[Year2]]</f>
        <v>2015</v>
      </c>
      <c r="D1952">
        <v>2015</v>
      </c>
      <c r="E1952">
        <f>car_price_prediction_[[#This Row],[Engine Size]]/10</f>
        <v>3.8</v>
      </c>
      <c r="F1952">
        <v>38</v>
      </c>
      <c r="G1952" s="1" t="s">
        <v>29</v>
      </c>
      <c r="H1952" s="1" t="s">
        <v>12</v>
      </c>
      <c r="I1952" s="12">
        <f>car_price_prediction_[[#This Row],[Mileage]]/1000</f>
        <v>168.393</v>
      </c>
      <c r="J1952" s="5">
        <v>168393</v>
      </c>
      <c r="K1952" s="1" t="s">
        <v>25</v>
      </c>
      <c r="L1952" s="5">
        <f>car_price_prediction_[[#This Row],[Price]]/100</f>
        <v>53403.76</v>
      </c>
      <c r="M1952">
        <v>5340376</v>
      </c>
      <c r="N1952" s="1" t="s">
        <v>42</v>
      </c>
      <c r="O1952" s="1">
        <f>IF(IFERROR(VLOOKUP(car_price_prediction_[[#This Row],[Car ID]],A1953:A4452,1,FALSE),0),1,0)</f>
        <v>0</v>
      </c>
    </row>
    <row r="1953" spans="1:15" x14ac:dyDescent="0.25">
      <c r="A1953">
        <v>1952</v>
      </c>
      <c r="B1953" s="1" t="s">
        <v>36</v>
      </c>
      <c r="C1953" s="1">
        <f>car_price_prediction_[[#This Row],[Year2]]</f>
        <v>2014</v>
      </c>
      <c r="D1953">
        <v>2014</v>
      </c>
      <c r="E1953">
        <f>car_price_prediction_[[#This Row],[Engine Size]]/10</f>
        <v>5.3</v>
      </c>
      <c r="F1953">
        <v>53</v>
      </c>
      <c r="G1953" s="1" t="s">
        <v>21</v>
      </c>
      <c r="H1953" s="1" t="s">
        <v>12</v>
      </c>
      <c r="I1953" s="12">
        <f>car_price_prediction_[[#This Row],[Mileage]]/1000</f>
        <v>283.45299999999997</v>
      </c>
      <c r="J1953" s="5">
        <v>283453</v>
      </c>
      <c r="K1953" s="1" t="s">
        <v>25</v>
      </c>
      <c r="L1953" s="5">
        <f>car_price_prediction_[[#This Row],[Price]]/100</f>
        <v>53526.46</v>
      </c>
      <c r="M1953">
        <v>5352646</v>
      </c>
      <c r="N1953" s="1" t="s">
        <v>37</v>
      </c>
      <c r="O1953" s="1">
        <f>IF(IFERROR(VLOOKUP(car_price_prediction_[[#This Row],[Car ID]],A1954:A4453,1,FALSE),0),1,0)</f>
        <v>0</v>
      </c>
    </row>
    <row r="1954" spans="1:15" x14ac:dyDescent="0.25">
      <c r="A1954">
        <v>1953</v>
      </c>
      <c r="B1954" s="1" t="s">
        <v>43</v>
      </c>
      <c r="C1954" s="1">
        <f>car_price_prediction_[[#This Row],[Year2]]</f>
        <v>2016</v>
      </c>
      <c r="D1954">
        <v>2016</v>
      </c>
      <c r="E1954">
        <f>car_price_prediction_[[#This Row],[Engine Size]]/10</f>
        <v>4.3</v>
      </c>
      <c r="F1954">
        <v>43</v>
      </c>
      <c r="G1954" s="1" t="s">
        <v>16</v>
      </c>
      <c r="H1954" s="1" t="s">
        <v>22</v>
      </c>
      <c r="I1954" s="12">
        <f>car_price_prediction_[[#This Row],[Mileage]]/1000</f>
        <v>290.32</v>
      </c>
      <c r="J1954" s="5">
        <v>290320</v>
      </c>
      <c r="K1954" s="1" t="s">
        <v>17</v>
      </c>
      <c r="L1954" s="5">
        <f>car_price_prediction_[[#This Row],[Price]]/100</f>
        <v>82357.98</v>
      </c>
      <c r="M1954">
        <v>8235798</v>
      </c>
      <c r="N1954" s="1" t="s">
        <v>44</v>
      </c>
      <c r="O1954" s="1">
        <f>IF(IFERROR(VLOOKUP(car_price_prediction_[[#This Row],[Car ID]],A1955:A4454,1,FALSE),0),1,0)</f>
        <v>0</v>
      </c>
    </row>
    <row r="1955" spans="1:15" x14ac:dyDescent="0.25">
      <c r="A1955">
        <v>1954</v>
      </c>
      <c r="B1955" s="1" t="s">
        <v>24</v>
      </c>
      <c r="C1955" s="1">
        <f>car_price_prediction_[[#This Row],[Year2]]</f>
        <v>2007</v>
      </c>
      <c r="D1955">
        <v>2007</v>
      </c>
      <c r="E1955">
        <f>car_price_prediction_[[#This Row],[Engine Size]]/10</f>
        <v>3.2</v>
      </c>
      <c r="F1955">
        <v>32</v>
      </c>
      <c r="G1955" s="1" t="s">
        <v>11</v>
      </c>
      <c r="H1955" s="1" t="s">
        <v>12</v>
      </c>
      <c r="I1955" s="12">
        <f>car_price_prediction_[[#This Row],[Mileage]]/1000</f>
        <v>68.879000000000005</v>
      </c>
      <c r="J1955" s="5">
        <v>68879</v>
      </c>
      <c r="K1955" s="1" t="s">
        <v>13</v>
      </c>
      <c r="L1955" s="5">
        <f>car_price_prediction_[[#This Row],[Price]]/100</f>
        <v>76535.97</v>
      </c>
      <c r="M1955">
        <v>7653597</v>
      </c>
      <c r="N1955" s="1" t="s">
        <v>26</v>
      </c>
      <c r="O1955" s="1">
        <f>IF(IFERROR(VLOOKUP(car_price_prediction_[[#This Row],[Car ID]],A1956:A4455,1,FALSE),0),1,0)</f>
        <v>0</v>
      </c>
    </row>
    <row r="1956" spans="1:15" x14ac:dyDescent="0.25">
      <c r="A1956">
        <v>1955</v>
      </c>
      <c r="B1956" s="1" t="s">
        <v>24</v>
      </c>
      <c r="C1956" s="1">
        <f>car_price_prediction_[[#This Row],[Year2]]</f>
        <v>2011</v>
      </c>
      <c r="D1956">
        <v>2011</v>
      </c>
      <c r="E1956">
        <f>car_price_prediction_[[#This Row],[Engine Size]]/10</f>
        <v>5.8</v>
      </c>
      <c r="F1956">
        <v>58</v>
      </c>
      <c r="G1956" s="1" t="s">
        <v>11</v>
      </c>
      <c r="H1956" s="1" t="s">
        <v>12</v>
      </c>
      <c r="I1956" s="12">
        <f>car_price_prediction_[[#This Row],[Mileage]]/1000</f>
        <v>67.591999999999999</v>
      </c>
      <c r="J1956" s="5">
        <v>67592</v>
      </c>
      <c r="K1956" s="1" t="s">
        <v>25</v>
      </c>
      <c r="L1956" s="5">
        <f>car_price_prediction_[[#This Row],[Price]]/100</f>
        <v>91804.89</v>
      </c>
      <c r="M1956">
        <v>9180489</v>
      </c>
      <c r="N1956" s="1" t="s">
        <v>53</v>
      </c>
      <c r="O1956" s="1">
        <f>IF(IFERROR(VLOOKUP(car_price_prediction_[[#This Row],[Car ID]],A1957:A4456,1,FALSE),0),1,0)</f>
        <v>0</v>
      </c>
    </row>
    <row r="1957" spans="1:15" x14ac:dyDescent="0.25">
      <c r="A1957">
        <v>1956</v>
      </c>
      <c r="B1957" s="1" t="s">
        <v>36</v>
      </c>
      <c r="C1957" s="1">
        <f>car_price_prediction_[[#This Row],[Year2]]</f>
        <v>2021</v>
      </c>
      <c r="D1957">
        <v>2021</v>
      </c>
      <c r="E1957">
        <f>car_price_prediction_[[#This Row],[Engine Size]]/10</f>
        <v>4.5999999999999996</v>
      </c>
      <c r="F1957">
        <v>46</v>
      </c>
      <c r="G1957" s="1" t="s">
        <v>11</v>
      </c>
      <c r="H1957" s="1" t="s">
        <v>22</v>
      </c>
      <c r="I1957" s="12">
        <f>car_price_prediction_[[#This Row],[Mileage]]/1000</f>
        <v>220.084</v>
      </c>
      <c r="J1957" s="5">
        <v>220084</v>
      </c>
      <c r="K1957" s="1" t="s">
        <v>17</v>
      </c>
      <c r="L1957" s="5">
        <f>car_price_prediction_[[#This Row],[Price]]/100</f>
        <v>84125.66</v>
      </c>
      <c r="M1957">
        <v>8412566</v>
      </c>
      <c r="N1957" s="1" t="s">
        <v>46</v>
      </c>
      <c r="O1957" s="1">
        <f>IF(IFERROR(VLOOKUP(car_price_prediction_[[#This Row],[Car ID]],A1958:A4457,1,FALSE),0),1,0)</f>
        <v>0</v>
      </c>
    </row>
    <row r="1958" spans="1:15" x14ac:dyDescent="0.25">
      <c r="A1958">
        <v>1957</v>
      </c>
      <c r="B1958" s="1" t="s">
        <v>19</v>
      </c>
      <c r="C1958" s="1">
        <f>car_price_prediction_[[#This Row],[Year2]]</f>
        <v>2020</v>
      </c>
      <c r="D1958">
        <v>2020</v>
      </c>
      <c r="E1958">
        <f>car_price_prediction_[[#This Row],[Engine Size]]/10</f>
        <v>5.7</v>
      </c>
      <c r="F1958">
        <v>57</v>
      </c>
      <c r="G1958" s="1" t="s">
        <v>16</v>
      </c>
      <c r="H1958" s="1" t="s">
        <v>22</v>
      </c>
      <c r="I1958" s="12">
        <f>car_price_prediction_[[#This Row],[Mileage]]/1000</f>
        <v>197.494</v>
      </c>
      <c r="J1958" s="5">
        <v>197494</v>
      </c>
      <c r="K1958" s="1" t="s">
        <v>17</v>
      </c>
      <c r="L1958" s="5">
        <f>car_price_prediction_[[#This Row],[Price]]/100</f>
        <v>29118.37</v>
      </c>
      <c r="M1958">
        <v>2911837</v>
      </c>
      <c r="N1958" s="1" t="s">
        <v>38</v>
      </c>
      <c r="O1958" s="1">
        <f>IF(IFERROR(VLOOKUP(car_price_prediction_[[#This Row],[Car ID]],A1959:A4458,1,FALSE),0),1,0)</f>
        <v>0</v>
      </c>
    </row>
    <row r="1959" spans="1:15" x14ac:dyDescent="0.25">
      <c r="A1959">
        <v>1958</v>
      </c>
      <c r="B1959" s="1" t="s">
        <v>19</v>
      </c>
      <c r="C1959" s="1">
        <f>car_price_prediction_[[#This Row],[Year2]]</f>
        <v>2009</v>
      </c>
      <c r="D1959">
        <v>2009</v>
      </c>
      <c r="E1959">
        <f>car_price_prediction_[[#This Row],[Engine Size]]/10</f>
        <v>3.6</v>
      </c>
      <c r="F1959">
        <v>36</v>
      </c>
      <c r="G1959" s="1" t="s">
        <v>11</v>
      </c>
      <c r="H1959" s="1" t="s">
        <v>22</v>
      </c>
      <c r="I1959" s="12">
        <f>car_price_prediction_[[#This Row],[Mileage]]/1000</f>
        <v>270.72800000000001</v>
      </c>
      <c r="J1959" s="5">
        <v>270728</v>
      </c>
      <c r="K1959" s="1" t="s">
        <v>25</v>
      </c>
      <c r="L1959" s="5">
        <f>car_price_prediction_[[#This Row],[Price]]/100</f>
        <v>36473.19</v>
      </c>
      <c r="M1959">
        <v>3647319</v>
      </c>
      <c r="N1959" s="1" t="s">
        <v>28</v>
      </c>
      <c r="O1959" s="1">
        <f>IF(IFERROR(VLOOKUP(car_price_prediction_[[#This Row],[Car ID]],A1960:A4459,1,FALSE),0),1,0)</f>
        <v>0</v>
      </c>
    </row>
    <row r="1960" spans="1:15" x14ac:dyDescent="0.25">
      <c r="A1960">
        <v>1959</v>
      </c>
      <c r="B1960" s="1" t="s">
        <v>10</v>
      </c>
      <c r="C1960" s="1">
        <f>car_price_prediction_[[#This Row],[Year2]]</f>
        <v>2014</v>
      </c>
      <c r="D1960">
        <v>2014</v>
      </c>
      <c r="E1960">
        <f>car_price_prediction_[[#This Row],[Engine Size]]/10</f>
        <v>2.2999999999999998</v>
      </c>
      <c r="F1960">
        <v>23</v>
      </c>
      <c r="G1960" s="1" t="s">
        <v>16</v>
      </c>
      <c r="H1960" s="1" t="s">
        <v>12</v>
      </c>
      <c r="I1960" s="12">
        <f>car_price_prediction_[[#This Row],[Mileage]]/1000</f>
        <v>124.55500000000001</v>
      </c>
      <c r="J1960" s="5">
        <v>124555</v>
      </c>
      <c r="K1960" s="1" t="s">
        <v>13</v>
      </c>
      <c r="L1960" s="5">
        <f>car_price_prediction_[[#This Row],[Price]]/100</f>
        <v>52540.21</v>
      </c>
      <c r="M1960">
        <v>5254021</v>
      </c>
      <c r="N1960" s="1" t="s">
        <v>33</v>
      </c>
      <c r="O1960" s="1">
        <f>IF(IFERROR(VLOOKUP(car_price_prediction_[[#This Row],[Car ID]],A1961:A4460,1,FALSE),0),1,0)</f>
        <v>0</v>
      </c>
    </row>
    <row r="1961" spans="1:15" x14ac:dyDescent="0.25">
      <c r="A1961">
        <v>1960</v>
      </c>
      <c r="B1961" s="1" t="s">
        <v>43</v>
      </c>
      <c r="C1961" s="1">
        <f>car_price_prediction_[[#This Row],[Year2]]</f>
        <v>2008</v>
      </c>
      <c r="D1961">
        <v>2008</v>
      </c>
      <c r="E1961">
        <f>car_price_prediction_[[#This Row],[Engine Size]]/10</f>
        <v>1.3</v>
      </c>
      <c r="F1961">
        <v>13</v>
      </c>
      <c r="G1961" s="1" t="s">
        <v>21</v>
      </c>
      <c r="H1961" s="1" t="s">
        <v>12</v>
      </c>
      <c r="I1961" s="12">
        <f>car_price_prediction_[[#This Row],[Mileage]]/1000</f>
        <v>18.829999999999998</v>
      </c>
      <c r="J1961" s="5">
        <v>18830</v>
      </c>
      <c r="K1961" s="1" t="s">
        <v>17</v>
      </c>
      <c r="L1961" s="5">
        <f>car_price_prediction_[[#This Row],[Price]]/100</f>
        <v>6355.76</v>
      </c>
      <c r="M1961">
        <v>635576</v>
      </c>
      <c r="N1961" s="1" t="s">
        <v>52</v>
      </c>
      <c r="O1961" s="1">
        <f>IF(IFERROR(VLOOKUP(car_price_prediction_[[#This Row],[Car ID]],A1962:A4461,1,FALSE),0),1,0)</f>
        <v>0</v>
      </c>
    </row>
    <row r="1962" spans="1:15" x14ac:dyDescent="0.25">
      <c r="A1962">
        <v>1961</v>
      </c>
      <c r="B1962" s="1" t="s">
        <v>43</v>
      </c>
      <c r="C1962" s="1">
        <f>car_price_prediction_[[#This Row],[Year2]]</f>
        <v>2001</v>
      </c>
      <c r="D1962">
        <v>2001</v>
      </c>
      <c r="E1962">
        <f>car_price_prediction_[[#This Row],[Engine Size]]/10</f>
        <v>4.5999999999999996</v>
      </c>
      <c r="F1962">
        <v>46</v>
      </c>
      <c r="G1962" s="1" t="s">
        <v>21</v>
      </c>
      <c r="H1962" s="1" t="s">
        <v>22</v>
      </c>
      <c r="I1962" s="12">
        <f>car_price_prediction_[[#This Row],[Mileage]]/1000</f>
        <v>216.89699999999999</v>
      </c>
      <c r="J1962" s="5">
        <v>216897</v>
      </c>
      <c r="K1962" s="1" t="s">
        <v>13</v>
      </c>
      <c r="L1962" s="5">
        <f>car_price_prediction_[[#This Row],[Price]]/100</f>
        <v>90870.69</v>
      </c>
      <c r="M1962">
        <v>9087069</v>
      </c>
      <c r="N1962" s="1" t="s">
        <v>47</v>
      </c>
      <c r="O1962" s="1">
        <f>IF(IFERROR(VLOOKUP(car_price_prediction_[[#This Row],[Car ID]],A1963:A4462,1,FALSE),0),1,0)</f>
        <v>0</v>
      </c>
    </row>
    <row r="1963" spans="1:15" x14ac:dyDescent="0.25">
      <c r="A1963">
        <v>1962</v>
      </c>
      <c r="B1963" s="1" t="s">
        <v>15</v>
      </c>
      <c r="C1963" s="1">
        <f>car_price_prediction_[[#This Row],[Year2]]</f>
        <v>2004</v>
      </c>
      <c r="D1963">
        <v>2004</v>
      </c>
      <c r="E1963">
        <f>car_price_prediction_[[#This Row],[Engine Size]]/10</f>
        <v>1.6</v>
      </c>
      <c r="F1963">
        <v>16</v>
      </c>
      <c r="G1963" s="1" t="s">
        <v>21</v>
      </c>
      <c r="H1963" s="1" t="s">
        <v>12</v>
      </c>
      <c r="I1963" s="12">
        <f>car_price_prediction_[[#This Row],[Mileage]]/1000</f>
        <v>252.23400000000001</v>
      </c>
      <c r="J1963" s="5">
        <v>252234</v>
      </c>
      <c r="K1963" s="1" t="s">
        <v>13</v>
      </c>
      <c r="L1963" s="5">
        <f>car_price_prediction_[[#This Row],[Price]]/100</f>
        <v>921.27</v>
      </c>
      <c r="M1963">
        <v>92127</v>
      </c>
      <c r="N1963" s="1" t="s">
        <v>18</v>
      </c>
      <c r="O1963" s="1">
        <f>IF(IFERROR(VLOOKUP(car_price_prediction_[[#This Row],[Car ID]],A1964:A4463,1,FALSE),0),1,0)</f>
        <v>0</v>
      </c>
    </row>
    <row r="1964" spans="1:15" x14ac:dyDescent="0.25">
      <c r="A1964">
        <v>1963</v>
      </c>
      <c r="B1964" s="1" t="s">
        <v>36</v>
      </c>
      <c r="C1964" s="1">
        <f>car_price_prediction_[[#This Row],[Year2]]</f>
        <v>2005</v>
      </c>
      <c r="D1964">
        <v>2005</v>
      </c>
      <c r="E1964">
        <f>car_price_prediction_[[#This Row],[Engine Size]]/10</f>
        <v>2.5</v>
      </c>
      <c r="F1964">
        <v>25</v>
      </c>
      <c r="G1964" s="1" t="s">
        <v>29</v>
      </c>
      <c r="H1964" s="1" t="s">
        <v>22</v>
      </c>
      <c r="I1964" s="12">
        <f>car_price_prediction_[[#This Row],[Mileage]]/1000</f>
        <v>265.73500000000001</v>
      </c>
      <c r="J1964" s="5">
        <v>265735</v>
      </c>
      <c r="K1964" s="1" t="s">
        <v>25</v>
      </c>
      <c r="L1964" s="5">
        <f>car_price_prediction_[[#This Row],[Price]]/100</f>
        <v>35631.919999999998</v>
      </c>
      <c r="M1964">
        <v>3563192</v>
      </c>
      <c r="N1964" s="1" t="s">
        <v>37</v>
      </c>
      <c r="O1964" s="1">
        <f>IF(IFERROR(VLOOKUP(car_price_prediction_[[#This Row],[Car ID]],A1965:A4464,1,FALSE),0),1,0)</f>
        <v>0</v>
      </c>
    </row>
    <row r="1965" spans="1:15" x14ac:dyDescent="0.25">
      <c r="A1965">
        <v>1964</v>
      </c>
      <c r="B1965" s="1" t="s">
        <v>19</v>
      </c>
      <c r="C1965" s="1">
        <f>car_price_prediction_[[#This Row],[Year2]]</f>
        <v>2006</v>
      </c>
      <c r="D1965">
        <v>2006</v>
      </c>
      <c r="E1965">
        <f>car_price_prediction_[[#This Row],[Engine Size]]/10</f>
        <v>3.7</v>
      </c>
      <c r="F1965">
        <v>37</v>
      </c>
      <c r="G1965" s="1" t="s">
        <v>16</v>
      </c>
      <c r="H1965" s="1" t="s">
        <v>12</v>
      </c>
      <c r="I1965" s="12">
        <f>car_price_prediction_[[#This Row],[Mileage]]/1000</f>
        <v>93.878</v>
      </c>
      <c r="J1965" s="5">
        <v>93878</v>
      </c>
      <c r="K1965" s="1" t="s">
        <v>17</v>
      </c>
      <c r="L1965" s="5">
        <f>car_price_prediction_[[#This Row],[Price]]/100</f>
        <v>59071.61</v>
      </c>
      <c r="M1965">
        <v>5907161</v>
      </c>
      <c r="N1965" s="1" t="s">
        <v>38</v>
      </c>
      <c r="O1965" s="1">
        <f>IF(IFERROR(VLOOKUP(car_price_prediction_[[#This Row],[Car ID]],A1966:A4465,1,FALSE),0),1,0)</f>
        <v>0</v>
      </c>
    </row>
    <row r="1966" spans="1:15" x14ac:dyDescent="0.25">
      <c r="A1966">
        <v>1965</v>
      </c>
      <c r="B1966" s="1" t="s">
        <v>30</v>
      </c>
      <c r="C1966" s="1">
        <f>car_price_prediction_[[#This Row],[Year2]]</f>
        <v>2020</v>
      </c>
      <c r="D1966">
        <v>2020</v>
      </c>
      <c r="E1966">
        <f>car_price_prediction_[[#This Row],[Engine Size]]/10</f>
        <v>3.8</v>
      </c>
      <c r="F1966">
        <v>38</v>
      </c>
      <c r="G1966" s="1" t="s">
        <v>11</v>
      </c>
      <c r="H1966" s="1" t="s">
        <v>22</v>
      </c>
      <c r="I1966" s="12">
        <f>car_price_prediction_[[#This Row],[Mileage]]/1000</f>
        <v>125.407</v>
      </c>
      <c r="J1966" s="5">
        <v>125407</v>
      </c>
      <c r="K1966" s="1" t="s">
        <v>17</v>
      </c>
      <c r="L1966" s="5">
        <f>car_price_prediction_[[#This Row],[Price]]/100</f>
        <v>54194.93</v>
      </c>
      <c r="M1966">
        <v>5419493</v>
      </c>
      <c r="N1966" s="1" t="s">
        <v>31</v>
      </c>
      <c r="O1966" s="1">
        <f>IF(IFERROR(VLOOKUP(car_price_prediction_[[#This Row],[Car ID]],A1967:A4466,1,FALSE),0),1,0)</f>
        <v>0</v>
      </c>
    </row>
    <row r="1967" spans="1:15" x14ac:dyDescent="0.25">
      <c r="A1967">
        <v>1966</v>
      </c>
      <c r="B1967" s="1" t="s">
        <v>24</v>
      </c>
      <c r="C1967" s="1">
        <f>car_price_prediction_[[#This Row],[Year2]]</f>
        <v>2000</v>
      </c>
      <c r="D1967">
        <v>2000</v>
      </c>
      <c r="E1967">
        <f>car_price_prediction_[[#This Row],[Engine Size]]/10</f>
        <v>4</v>
      </c>
      <c r="F1967">
        <v>40</v>
      </c>
      <c r="G1967" s="1" t="s">
        <v>11</v>
      </c>
      <c r="H1967" s="1" t="s">
        <v>12</v>
      </c>
      <c r="I1967" s="12">
        <f>car_price_prediction_[[#This Row],[Mileage]]/1000</f>
        <v>116.869</v>
      </c>
      <c r="J1967" s="5">
        <v>116869</v>
      </c>
      <c r="K1967" s="1" t="s">
        <v>13</v>
      </c>
      <c r="L1967" s="5">
        <f>car_price_prediction_[[#This Row],[Price]]/100</f>
        <v>67173.69</v>
      </c>
      <c r="M1967">
        <v>6717369</v>
      </c>
      <c r="N1967" s="1" t="s">
        <v>34</v>
      </c>
      <c r="O1967" s="1">
        <f>IF(IFERROR(VLOOKUP(car_price_prediction_[[#This Row],[Car ID]],A1968:A4467,1,FALSE),0),1,0)</f>
        <v>0</v>
      </c>
    </row>
    <row r="1968" spans="1:15" x14ac:dyDescent="0.25">
      <c r="A1968">
        <v>1967</v>
      </c>
      <c r="B1968" s="1" t="s">
        <v>43</v>
      </c>
      <c r="C1968" s="1">
        <f>car_price_prediction_[[#This Row],[Year2]]</f>
        <v>2022</v>
      </c>
      <c r="D1968">
        <v>2022</v>
      </c>
      <c r="E1968">
        <f>car_price_prediction_[[#This Row],[Engine Size]]/10</f>
        <v>1.8</v>
      </c>
      <c r="F1968">
        <v>18</v>
      </c>
      <c r="G1968" s="1" t="s">
        <v>11</v>
      </c>
      <c r="H1968" s="1" t="s">
        <v>22</v>
      </c>
      <c r="I1968" s="12">
        <f>car_price_prediction_[[#This Row],[Mileage]]/1000</f>
        <v>257.71600000000001</v>
      </c>
      <c r="J1968" s="5">
        <v>257716</v>
      </c>
      <c r="K1968" s="1" t="s">
        <v>25</v>
      </c>
      <c r="L1968" s="5">
        <f>car_price_prediction_[[#This Row],[Price]]/100</f>
        <v>55114.42</v>
      </c>
      <c r="M1968">
        <v>5511442</v>
      </c>
      <c r="N1968" s="1" t="s">
        <v>44</v>
      </c>
      <c r="O1968" s="1">
        <f>IF(IFERROR(VLOOKUP(car_price_prediction_[[#This Row],[Car ID]],A1969:A4468,1,FALSE),0),1,0)</f>
        <v>0</v>
      </c>
    </row>
    <row r="1969" spans="1:15" x14ac:dyDescent="0.25">
      <c r="A1969">
        <v>1968</v>
      </c>
      <c r="B1969" s="1" t="s">
        <v>24</v>
      </c>
      <c r="C1969" s="1">
        <f>car_price_prediction_[[#This Row],[Year2]]</f>
        <v>2006</v>
      </c>
      <c r="D1969">
        <v>2006</v>
      </c>
      <c r="E1969">
        <f>car_price_prediction_[[#This Row],[Engine Size]]/10</f>
        <v>2.9</v>
      </c>
      <c r="F1969">
        <v>29</v>
      </c>
      <c r="G1969" s="1" t="s">
        <v>11</v>
      </c>
      <c r="H1969" s="1" t="s">
        <v>12</v>
      </c>
      <c r="I1969" s="12">
        <f>car_price_prediction_[[#This Row],[Mileage]]/1000</f>
        <v>283.53899999999999</v>
      </c>
      <c r="J1969" s="5">
        <v>283539</v>
      </c>
      <c r="K1969" s="1" t="s">
        <v>25</v>
      </c>
      <c r="L1969" s="5">
        <f>car_price_prediction_[[#This Row],[Price]]/100</f>
        <v>26755.14</v>
      </c>
      <c r="M1969">
        <v>2675514</v>
      </c>
      <c r="N1969" s="1" t="s">
        <v>32</v>
      </c>
      <c r="O1969" s="1">
        <f>IF(IFERROR(VLOOKUP(car_price_prediction_[[#This Row],[Car ID]],A1970:A4469,1,FALSE),0),1,0)</f>
        <v>0</v>
      </c>
    </row>
    <row r="1970" spans="1:15" x14ac:dyDescent="0.25">
      <c r="A1970">
        <v>1969</v>
      </c>
      <c r="B1970" s="1" t="s">
        <v>24</v>
      </c>
      <c r="C1970" s="1">
        <f>car_price_prediction_[[#This Row],[Year2]]</f>
        <v>2019</v>
      </c>
      <c r="D1970">
        <v>2019</v>
      </c>
      <c r="E1970">
        <f>car_price_prediction_[[#This Row],[Engine Size]]/10</f>
        <v>4.0999999999999996</v>
      </c>
      <c r="F1970">
        <v>41</v>
      </c>
      <c r="G1970" s="1" t="s">
        <v>29</v>
      </c>
      <c r="H1970" s="1" t="s">
        <v>12</v>
      </c>
      <c r="I1970" s="12">
        <f>car_price_prediction_[[#This Row],[Mileage]]/1000</f>
        <v>16.738</v>
      </c>
      <c r="J1970" s="5">
        <v>16738</v>
      </c>
      <c r="K1970" s="1" t="s">
        <v>25</v>
      </c>
      <c r="L1970" s="5">
        <f>car_price_prediction_[[#This Row],[Price]]/100</f>
        <v>24102.43</v>
      </c>
      <c r="M1970">
        <v>2410243</v>
      </c>
      <c r="N1970" s="1" t="s">
        <v>34</v>
      </c>
      <c r="O1970" s="1">
        <f>IF(IFERROR(VLOOKUP(car_price_prediction_[[#This Row],[Car ID]],A1971:A4470,1,FALSE),0),1,0)</f>
        <v>0</v>
      </c>
    </row>
    <row r="1971" spans="1:15" x14ac:dyDescent="0.25">
      <c r="A1971">
        <v>1970</v>
      </c>
      <c r="B1971" s="1" t="s">
        <v>15</v>
      </c>
      <c r="C1971" s="1">
        <f>car_price_prediction_[[#This Row],[Year2]]</f>
        <v>2011</v>
      </c>
      <c r="D1971">
        <v>2011</v>
      </c>
      <c r="E1971">
        <f>car_price_prediction_[[#This Row],[Engine Size]]/10</f>
        <v>5.8</v>
      </c>
      <c r="F1971">
        <v>58</v>
      </c>
      <c r="G1971" s="1" t="s">
        <v>11</v>
      </c>
      <c r="H1971" s="1" t="s">
        <v>22</v>
      </c>
      <c r="I1971" s="12">
        <f>car_price_prediction_[[#This Row],[Mileage]]/1000</f>
        <v>133.703</v>
      </c>
      <c r="J1971" s="5">
        <v>133703</v>
      </c>
      <c r="K1971" s="1" t="s">
        <v>13</v>
      </c>
      <c r="L1971" s="5">
        <f>car_price_prediction_[[#This Row],[Price]]/100</f>
        <v>91188.47</v>
      </c>
      <c r="M1971">
        <v>9118847</v>
      </c>
      <c r="N1971" s="1" t="s">
        <v>35</v>
      </c>
      <c r="O1971" s="1">
        <f>IF(IFERROR(VLOOKUP(car_price_prediction_[[#This Row],[Car ID]],A1972:A4471,1,FALSE),0),1,0)</f>
        <v>0</v>
      </c>
    </row>
    <row r="1972" spans="1:15" x14ac:dyDescent="0.25">
      <c r="A1972">
        <v>1971</v>
      </c>
      <c r="B1972" s="1" t="s">
        <v>19</v>
      </c>
      <c r="C1972" s="1">
        <f>car_price_prediction_[[#This Row],[Year2]]</f>
        <v>2015</v>
      </c>
      <c r="D1972">
        <v>2015</v>
      </c>
      <c r="E1972">
        <f>car_price_prediction_[[#This Row],[Engine Size]]/10</f>
        <v>4.5999999999999996</v>
      </c>
      <c r="F1972">
        <v>46</v>
      </c>
      <c r="G1972" s="1" t="s">
        <v>29</v>
      </c>
      <c r="H1972" s="1" t="s">
        <v>12</v>
      </c>
      <c r="I1972" s="12">
        <f>car_price_prediction_[[#This Row],[Mileage]]/1000</f>
        <v>148.977</v>
      </c>
      <c r="J1972" s="5">
        <v>148977</v>
      </c>
      <c r="K1972" s="1" t="s">
        <v>13</v>
      </c>
      <c r="L1972" s="5">
        <f>car_price_prediction_[[#This Row],[Price]]/100</f>
        <v>30076.84</v>
      </c>
      <c r="M1972">
        <v>3007684</v>
      </c>
      <c r="N1972" s="1" t="s">
        <v>27</v>
      </c>
      <c r="O1972" s="1">
        <f>IF(IFERROR(VLOOKUP(car_price_prediction_[[#This Row],[Car ID]],A1973:A4472,1,FALSE),0),1,0)</f>
        <v>0</v>
      </c>
    </row>
    <row r="1973" spans="1:15" x14ac:dyDescent="0.25">
      <c r="A1973">
        <v>1972</v>
      </c>
      <c r="B1973" s="1" t="s">
        <v>43</v>
      </c>
      <c r="C1973" s="1">
        <f>car_price_prediction_[[#This Row],[Year2]]</f>
        <v>2015</v>
      </c>
      <c r="D1973">
        <v>2015</v>
      </c>
      <c r="E1973">
        <f>car_price_prediction_[[#This Row],[Engine Size]]/10</f>
        <v>5.6</v>
      </c>
      <c r="F1973">
        <v>56</v>
      </c>
      <c r="G1973" s="1" t="s">
        <v>16</v>
      </c>
      <c r="H1973" s="1" t="s">
        <v>12</v>
      </c>
      <c r="I1973" s="12">
        <f>car_price_prediction_[[#This Row],[Mileage]]/1000</f>
        <v>19.056000000000001</v>
      </c>
      <c r="J1973" s="5">
        <v>19056</v>
      </c>
      <c r="K1973" s="1" t="s">
        <v>17</v>
      </c>
      <c r="L1973" s="5">
        <f>car_price_prediction_[[#This Row],[Price]]/100</f>
        <v>31692.84</v>
      </c>
      <c r="M1973">
        <v>3169284</v>
      </c>
      <c r="N1973" s="1" t="s">
        <v>47</v>
      </c>
      <c r="O1973" s="1">
        <f>IF(IFERROR(VLOOKUP(car_price_prediction_[[#This Row],[Car ID]],A1974:A4473,1,FALSE),0),1,0)</f>
        <v>0</v>
      </c>
    </row>
    <row r="1974" spans="1:15" x14ac:dyDescent="0.25">
      <c r="A1974">
        <v>1973</v>
      </c>
      <c r="B1974" s="1" t="s">
        <v>24</v>
      </c>
      <c r="C1974" s="1">
        <f>car_price_prediction_[[#This Row],[Year2]]</f>
        <v>2010</v>
      </c>
      <c r="D1974">
        <v>2010</v>
      </c>
      <c r="E1974">
        <f>car_price_prediction_[[#This Row],[Engine Size]]/10</f>
        <v>4.8</v>
      </c>
      <c r="F1974">
        <v>48</v>
      </c>
      <c r="G1974" s="1" t="s">
        <v>21</v>
      </c>
      <c r="H1974" s="1" t="s">
        <v>22</v>
      </c>
      <c r="I1974" s="12">
        <f>car_price_prediction_[[#This Row],[Mileage]]/1000</f>
        <v>240.74600000000001</v>
      </c>
      <c r="J1974" s="5">
        <v>240746</v>
      </c>
      <c r="K1974" s="1" t="s">
        <v>25</v>
      </c>
      <c r="L1974" s="5">
        <f>car_price_prediction_[[#This Row],[Price]]/100</f>
        <v>44230.53</v>
      </c>
      <c r="M1974">
        <v>4423053</v>
      </c>
      <c r="N1974" s="1" t="s">
        <v>53</v>
      </c>
      <c r="O1974" s="1">
        <f>IF(IFERROR(VLOOKUP(car_price_prediction_[[#This Row],[Car ID]],A1975:A4474,1,FALSE),0),1,0)</f>
        <v>0</v>
      </c>
    </row>
    <row r="1975" spans="1:15" x14ac:dyDescent="0.25">
      <c r="A1975">
        <v>1974</v>
      </c>
      <c r="B1975" s="1" t="s">
        <v>43</v>
      </c>
      <c r="C1975" s="1">
        <f>car_price_prediction_[[#This Row],[Year2]]</f>
        <v>2020</v>
      </c>
      <c r="D1975">
        <v>2020</v>
      </c>
      <c r="E1975">
        <f>car_price_prediction_[[#This Row],[Engine Size]]/10</f>
        <v>4</v>
      </c>
      <c r="F1975">
        <v>40</v>
      </c>
      <c r="G1975" s="1" t="s">
        <v>11</v>
      </c>
      <c r="H1975" s="1" t="s">
        <v>12</v>
      </c>
      <c r="I1975" s="12">
        <f>car_price_prediction_[[#This Row],[Mileage]]/1000</f>
        <v>115.316</v>
      </c>
      <c r="J1975" s="5">
        <v>115316</v>
      </c>
      <c r="K1975" s="1" t="s">
        <v>13</v>
      </c>
      <c r="L1975" s="5">
        <f>car_price_prediction_[[#This Row],[Price]]/100</f>
        <v>18246.64</v>
      </c>
      <c r="M1975">
        <v>1824664</v>
      </c>
      <c r="N1975" s="1" t="s">
        <v>50</v>
      </c>
      <c r="O1975" s="1">
        <f>IF(IFERROR(VLOOKUP(car_price_prediction_[[#This Row],[Car ID]],A1976:A4475,1,FALSE),0),1,0)</f>
        <v>0</v>
      </c>
    </row>
    <row r="1976" spans="1:15" x14ac:dyDescent="0.25">
      <c r="A1976">
        <v>1975</v>
      </c>
      <c r="B1976" s="1" t="s">
        <v>30</v>
      </c>
      <c r="C1976" s="1">
        <f>car_price_prediction_[[#This Row],[Year2]]</f>
        <v>2003</v>
      </c>
      <c r="D1976">
        <v>2003</v>
      </c>
      <c r="E1976">
        <f>car_price_prediction_[[#This Row],[Engine Size]]/10</f>
        <v>2</v>
      </c>
      <c r="F1976">
        <v>20</v>
      </c>
      <c r="G1976" s="1" t="s">
        <v>21</v>
      </c>
      <c r="H1976" s="1" t="s">
        <v>12</v>
      </c>
      <c r="I1976" s="12">
        <f>car_price_prediction_[[#This Row],[Mileage]]/1000</f>
        <v>166.51900000000001</v>
      </c>
      <c r="J1976" s="5">
        <v>166519</v>
      </c>
      <c r="K1976" s="1" t="s">
        <v>25</v>
      </c>
      <c r="L1976" s="5">
        <f>car_price_prediction_[[#This Row],[Price]]/100</f>
        <v>53190.92</v>
      </c>
      <c r="M1976">
        <v>5319092</v>
      </c>
      <c r="N1976" s="1" t="s">
        <v>48</v>
      </c>
      <c r="O1976" s="1">
        <f>IF(IFERROR(VLOOKUP(car_price_prediction_[[#This Row],[Car ID]],A1977:A4476,1,FALSE),0),1,0)</f>
        <v>0</v>
      </c>
    </row>
    <row r="1977" spans="1:15" x14ac:dyDescent="0.25">
      <c r="A1977">
        <v>1976</v>
      </c>
      <c r="B1977" s="1" t="s">
        <v>15</v>
      </c>
      <c r="C1977" s="1">
        <f>car_price_prediction_[[#This Row],[Year2]]</f>
        <v>2012</v>
      </c>
      <c r="D1977">
        <v>2012</v>
      </c>
      <c r="E1977">
        <f>car_price_prediction_[[#This Row],[Engine Size]]/10</f>
        <v>4.3</v>
      </c>
      <c r="F1977">
        <v>43</v>
      </c>
      <c r="G1977" s="1" t="s">
        <v>16</v>
      </c>
      <c r="H1977" s="1" t="s">
        <v>12</v>
      </c>
      <c r="I1977" s="12">
        <f>car_price_prediction_[[#This Row],[Mileage]]/1000</f>
        <v>54.417999999999999</v>
      </c>
      <c r="J1977" s="5">
        <v>54418</v>
      </c>
      <c r="K1977" s="1" t="s">
        <v>13</v>
      </c>
      <c r="L1977" s="5">
        <f>car_price_prediction_[[#This Row],[Price]]/100</f>
        <v>68178.02</v>
      </c>
      <c r="M1977">
        <v>6817802</v>
      </c>
      <c r="N1977" s="1" t="s">
        <v>35</v>
      </c>
      <c r="O1977" s="1">
        <f>IF(IFERROR(VLOOKUP(car_price_prediction_[[#This Row],[Car ID]],A1978:A4477,1,FALSE),0),1,0)</f>
        <v>0</v>
      </c>
    </row>
    <row r="1978" spans="1:15" x14ac:dyDescent="0.25">
      <c r="A1978">
        <v>1977</v>
      </c>
      <c r="B1978" s="1" t="s">
        <v>30</v>
      </c>
      <c r="C1978" s="1">
        <f>car_price_prediction_[[#This Row],[Year2]]</f>
        <v>2006</v>
      </c>
      <c r="D1978">
        <v>2006</v>
      </c>
      <c r="E1978">
        <f>car_price_prediction_[[#This Row],[Engine Size]]/10</f>
        <v>4.0999999999999996</v>
      </c>
      <c r="F1978">
        <v>41</v>
      </c>
      <c r="G1978" s="1" t="s">
        <v>16</v>
      </c>
      <c r="H1978" s="1" t="s">
        <v>22</v>
      </c>
      <c r="I1978" s="12">
        <f>car_price_prediction_[[#This Row],[Mileage]]/1000</f>
        <v>299.334</v>
      </c>
      <c r="J1978" s="5">
        <v>299334</v>
      </c>
      <c r="K1978" s="1" t="s">
        <v>17</v>
      </c>
      <c r="L1978" s="5">
        <f>car_price_prediction_[[#This Row],[Price]]/100</f>
        <v>79670.05</v>
      </c>
      <c r="M1978">
        <v>7967005</v>
      </c>
      <c r="N1978" s="1" t="s">
        <v>42</v>
      </c>
      <c r="O1978" s="1">
        <f>IF(IFERROR(VLOOKUP(car_price_prediction_[[#This Row],[Car ID]],A1979:A4478,1,FALSE),0),1,0)</f>
        <v>0</v>
      </c>
    </row>
    <row r="1979" spans="1:15" x14ac:dyDescent="0.25">
      <c r="A1979">
        <v>1978</v>
      </c>
      <c r="B1979" s="1" t="s">
        <v>43</v>
      </c>
      <c r="C1979" s="1">
        <f>car_price_prediction_[[#This Row],[Year2]]</f>
        <v>2003</v>
      </c>
      <c r="D1979">
        <v>2003</v>
      </c>
      <c r="E1979">
        <f>car_price_prediction_[[#This Row],[Engine Size]]/10</f>
        <v>4</v>
      </c>
      <c r="F1979">
        <v>40</v>
      </c>
      <c r="G1979" s="1" t="s">
        <v>11</v>
      </c>
      <c r="H1979" s="1" t="s">
        <v>22</v>
      </c>
      <c r="I1979" s="12">
        <f>car_price_prediction_[[#This Row],[Mileage]]/1000</f>
        <v>26.013999999999999</v>
      </c>
      <c r="J1979" s="5">
        <v>26014</v>
      </c>
      <c r="K1979" s="1" t="s">
        <v>25</v>
      </c>
      <c r="L1979" s="5">
        <f>car_price_prediction_[[#This Row],[Price]]/100</f>
        <v>72588.149999999994</v>
      </c>
      <c r="M1979">
        <v>7258815</v>
      </c>
      <c r="N1979" s="1" t="s">
        <v>47</v>
      </c>
      <c r="O1979" s="1">
        <f>IF(IFERROR(VLOOKUP(car_price_prediction_[[#This Row],[Car ID]],A1980:A4479,1,FALSE),0),1,0)</f>
        <v>0</v>
      </c>
    </row>
    <row r="1980" spans="1:15" x14ac:dyDescent="0.25">
      <c r="A1980">
        <v>1979</v>
      </c>
      <c r="B1980" s="1" t="s">
        <v>10</v>
      </c>
      <c r="C1980" s="1">
        <f>car_price_prediction_[[#This Row],[Year2]]</f>
        <v>2014</v>
      </c>
      <c r="D1980">
        <v>2014</v>
      </c>
      <c r="E1980">
        <f>car_price_prediction_[[#This Row],[Engine Size]]/10</f>
        <v>3.4</v>
      </c>
      <c r="F1980">
        <v>34</v>
      </c>
      <c r="G1980" s="1" t="s">
        <v>16</v>
      </c>
      <c r="H1980" s="1" t="s">
        <v>22</v>
      </c>
      <c r="I1980" s="12">
        <f>car_price_prediction_[[#This Row],[Mileage]]/1000</f>
        <v>204.071</v>
      </c>
      <c r="J1980" s="5">
        <v>204071</v>
      </c>
      <c r="K1980" s="1" t="s">
        <v>13</v>
      </c>
      <c r="L1980" s="5">
        <f>car_price_prediction_[[#This Row],[Price]]/100</f>
        <v>19025.419999999998</v>
      </c>
      <c r="M1980">
        <v>1902542</v>
      </c>
      <c r="N1980" s="1" t="s">
        <v>49</v>
      </c>
      <c r="O1980" s="1">
        <f>IF(IFERROR(VLOOKUP(car_price_prediction_[[#This Row],[Car ID]],A1981:A4480,1,FALSE),0),1,0)</f>
        <v>0</v>
      </c>
    </row>
    <row r="1981" spans="1:15" x14ac:dyDescent="0.25">
      <c r="A1981">
        <v>1980</v>
      </c>
      <c r="B1981" s="1" t="s">
        <v>43</v>
      </c>
      <c r="C1981" s="1">
        <f>car_price_prediction_[[#This Row],[Year2]]</f>
        <v>2018</v>
      </c>
      <c r="D1981">
        <v>2018</v>
      </c>
      <c r="E1981">
        <f>car_price_prediction_[[#This Row],[Engine Size]]/10</f>
        <v>3.6</v>
      </c>
      <c r="F1981">
        <v>36</v>
      </c>
      <c r="G1981" s="1" t="s">
        <v>21</v>
      </c>
      <c r="H1981" s="1" t="s">
        <v>22</v>
      </c>
      <c r="I1981" s="12">
        <f>car_price_prediction_[[#This Row],[Mileage]]/1000</f>
        <v>238.989</v>
      </c>
      <c r="J1981" s="5">
        <v>238989</v>
      </c>
      <c r="K1981" s="1" t="s">
        <v>25</v>
      </c>
      <c r="L1981" s="5">
        <f>car_price_prediction_[[#This Row],[Price]]/100</f>
        <v>48326.38</v>
      </c>
      <c r="M1981">
        <v>4832638</v>
      </c>
      <c r="N1981" s="1" t="s">
        <v>52</v>
      </c>
      <c r="O1981" s="1">
        <f>IF(IFERROR(VLOOKUP(car_price_prediction_[[#This Row],[Car ID]],A1982:A4481,1,FALSE),0),1,0)</f>
        <v>0</v>
      </c>
    </row>
    <row r="1982" spans="1:15" x14ac:dyDescent="0.25">
      <c r="A1982">
        <v>1981</v>
      </c>
      <c r="B1982" s="1" t="s">
        <v>19</v>
      </c>
      <c r="C1982" s="1">
        <f>car_price_prediction_[[#This Row],[Year2]]</f>
        <v>2008</v>
      </c>
      <c r="D1982">
        <v>2008</v>
      </c>
      <c r="E1982">
        <f>car_price_prediction_[[#This Row],[Engine Size]]/10</f>
        <v>2.7</v>
      </c>
      <c r="F1982">
        <v>27</v>
      </c>
      <c r="G1982" s="1" t="s">
        <v>11</v>
      </c>
      <c r="H1982" s="1" t="s">
        <v>22</v>
      </c>
      <c r="I1982" s="12">
        <f>car_price_prediction_[[#This Row],[Mileage]]/1000</f>
        <v>181.35</v>
      </c>
      <c r="J1982" s="5">
        <v>181350</v>
      </c>
      <c r="K1982" s="1" t="s">
        <v>13</v>
      </c>
      <c r="L1982" s="5">
        <f>car_price_prediction_[[#This Row],[Price]]/100</f>
        <v>8665.69</v>
      </c>
      <c r="M1982">
        <v>866569</v>
      </c>
      <c r="N1982" s="1" t="s">
        <v>38</v>
      </c>
      <c r="O1982" s="1">
        <f>IF(IFERROR(VLOOKUP(car_price_prediction_[[#This Row],[Car ID]],A1983:A4482,1,FALSE),0),1,0)</f>
        <v>0</v>
      </c>
    </row>
    <row r="1983" spans="1:15" x14ac:dyDescent="0.25">
      <c r="A1983">
        <v>1982</v>
      </c>
      <c r="B1983" s="1" t="s">
        <v>24</v>
      </c>
      <c r="C1983" s="1">
        <f>car_price_prediction_[[#This Row],[Year2]]</f>
        <v>2010</v>
      </c>
      <c r="D1983">
        <v>2010</v>
      </c>
      <c r="E1983">
        <f>car_price_prediction_[[#This Row],[Engine Size]]/10</f>
        <v>3.6</v>
      </c>
      <c r="F1983">
        <v>36</v>
      </c>
      <c r="G1983" s="1" t="s">
        <v>29</v>
      </c>
      <c r="H1983" s="1" t="s">
        <v>12</v>
      </c>
      <c r="I1983" s="12">
        <f>car_price_prediction_[[#This Row],[Mileage]]/1000</f>
        <v>263.92399999999998</v>
      </c>
      <c r="J1983" s="5">
        <v>263924</v>
      </c>
      <c r="K1983" s="1" t="s">
        <v>13</v>
      </c>
      <c r="L1983" s="5">
        <f>car_price_prediction_[[#This Row],[Price]]/100</f>
        <v>6690.81</v>
      </c>
      <c r="M1983">
        <v>669081</v>
      </c>
      <c r="N1983" s="1" t="s">
        <v>34</v>
      </c>
      <c r="O1983" s="1">
        <f>IF(IFERROR(VLOOKUP(car_price_prediction_[[#This Row],[Car ID]],A1984:A4483,1,FALSE),0),1,0)</f>
        <v>0</v>
      </c>
    </row>
    <row r="1984" spans="1:15" x14ac:dyDescent="0.25">
      <c r="A1984">
        <v>1983</v>
      </c>
      <c r="B1984" s="1" t="s">
        <v>24</v>
      </c>
      <c r="C1984" s="1">
        <f>car_price_prediction_[[#This Row],[Year2]]</f>
        <v>2007</v>
      </c>
      <c r="D1984">
        <v>2007</v>
      </c>
      <c r="E1984">
        <f>car_price_prediction_[[#This Row],[Engine Size]]/10</f>
        <v>2</v>
      </c>
      <c r="F1984">
        <v>20</v>
      </c>
      <c r="G1984" s="1" t="s">
        <v>11</v>
      </c>
      <c r="H1984" s="1" t="s">
        <v>12</v>
      </c>
      <c r="I1984" s="12">
        <f>car_price_prediction_[[#This Row],[Mileage]]/1000</f>
        <v>190.33</v>
      </c>
      <c r="J1984" s="5">
        <v>190330</v>
      </c>
      <c r="K1984" s="1" t="s">
        <v>13</v>
      </c>
      <c r="L1984" s="5">
        <f>car_price_prediction_[[#This Row],[Price]]/100</f>
        <v>46812.39</v>
      </c>
      <c r="M1984">
        <v>4681239</v>
      </c>
      <c r="N1984" s="1" t="s">
        <v>26</v>
      </c>
      <c r="O1984" s="1">
        <f>IF(IFERROR(VLOOKUP(car_price_prediction_[[#This Row],[Car ID]],A1985:A4484,1,FALSE),0),1,0)</f>
        <v>0</v>
      </c>
    </row>
    <row r="1985" spans="1:15" x14ac:dyDescent="0.25">
      <c r="A1985">
        <v>1984</v>
      </c>
      <c r="B1985" s="1" t="s">
        <v>30</v>
      </c>
      <c r="C1985" s="1">
        <f>car_price_prediction_[[#This Row],[Year2]]</f>
        <v>2000</v>
      </c>
      <c r="D1985">
        <v>2000</v>
      </c>
      <c r="E1985">
        <f>car_price_prediction_[[#This Row],[Engine Size]]/10</f>
        <v>5</v>
      </c>
      <c r="F1985">
        <v>50</v>
      </c>
      <c r="G1985" s="1" t="s">
        <v>21</v>
      </c>
      <c r="H1985" s="1" t="s">
        <v>22</v>
      </c>
      <c r="I1985" s="12">
        <f>car_price_prediction_[[#This Row],[Mileage]]/1000</f>
        <v>42.192</v>
      </c>
      <c r="J1985" s="5">
        <v>42192</v>
      </c>
      <c r="K1985" s="1" t="s">
        <v>25</v>
      </c>
      <c r="L1985" s="5">
        <f>car_price_prediction_[[#This Row],[Price]]/100</f>
        <v>29031.25</v>
      </c>
      <c r="M1985">
        <v>2903125</v>
      </c>
      <c r="N1985" s="1" t="s">
        <v>45</v>
      </c>
      <c r="O1985" s="1">
        <f>IF(IFERROR(VLOOKUP(car_price_prediction_[[#This Row],[Car ID]],A1986:A4485,1,FALSE),0),1,0)</f>
        <v>0</v>
      </c>
    </row>
    <row r="1986" spans="1:15" x14ac:dyDescent="0.25">
      <c r="A1986">
        <v>1985</v>
      </c>
      <c r="B1986" s="1" t="s">
        <v>15</v>
      </c>
      <c r="C1986" s="1">
        <f>car_price_prediction_[[#This Row],[Year2]]</f>
        <v>2022</v>
      </c>
      <c r="D1986">
        <v>2022</v>
      </c>
      <c r="E1986">
        <f>car_price_prediction_[[#This Row],[Engine Size]]/10</f>
        <v>1.9</v>
      </c>
      <c r="F1986">
        <v>19</v>
      </c>
      <c r="G1986" s="1" t="s">
        <v>11</v>
      </c>
      <c r="H1986" s="1" t="s">
        <v>12</v>
      </c>
      <c r="I1986" s="12">
        <f>car_price_prediction_[[#This Row],[Mileage]]/1000</f>
        <v>43.923000000000002</v>
      </c>
      <c r="J1986" s="5">
        <v>43923</v>
      </c>
      <c r="K1986" s="1" t="s">
        <v>13</v>
      </c>
      <c r="L1986" s="5">
        <f>car_price_prediction_[[#This Row],[Price]]/100</f>
        <v>69919.28</v>
      </c>
      <c r="M1986">
        <v>6991928</v>
      </c>
      <c r="N1986" s="1" t="s">
        <v>51</v>
      </c>
      <c r="O1986" s="1">
        <f>IF(IFERROR(VLOOKUP(car_price_prediction_[[#This Row],[Car ID]],A1987:A4486,1,FALSE),0),1,0)</f>
        <v>0</v>
      </c>
    </row>
    <row r="1987" spans="1:15" x14ac:dyDescent="0.25">
      <c r="A1987">
        <v>1986</v>
      </c>
      <c r="B1987" s="1" t="s">
        <v>10</v>
      </c>
      <c r="C1987" s="1">
        <f>car_price_prediction_[[#This Row],[Year2]]</f>
        <v>2023</v>
      </c>
      <c r="D1987">
        <v>2023</v>
      </c>
      <c r="E1987">
        <f>car_price_prediction_[[#This Row],[Engine Size]]/10</f>
        <v>1.4</v>
      </c>
      <c r="F1987">
        <v>14</v>
      </c>
      <c r="G1987" s="1" t="s">
        <v>11</v>
      </c>
      <c r="H1987" s="1" t="s">
        <v>12</v>
      </c>
      <c r="I1987" s="12">
        <f>car_price_prediction_[[#This Row],[Mileage]]/1000</f>
        <v>89.195999999999998</v>
      </c>
      <c r="J1987" s="5">
        <v>89196</v>
      </c>
      <c r="K1987" s="1" t="s">
        <v>17</v>
      </c>
      <c r="L1987" s="5">
        <f>car_price_prediction_[[#This Row],[Price]]/100</f>
        <v>73802.87</v>
      </c>
      <c r="M1987">
        <v>7380287</v>
      </c>
      <c r="N1987" s="1" t="s">
        <v>14</v>
      </c>
      <c r="O1987" s="1">
        <f>IF(IFERROR(VLOOKUP(car_price_prediction_[[#This Row],[Car ID]],A1988:A4487,1,FALSE),0),1,0)</f>
        <v>0</v>
      </c>
    </row>
    <row r="1988" spans="1:15" x14ac:dyDescent="0.25">
      <c r="A1988">
        <v>1987</v>
      </c>
      <c r="B1988" s="1" t="s">
        <v>36</v>
      </c>
      <c r="C1988" s="1">
        <f>car_price_prediction_[[#This Row],[Year2]]</f>
        <v>2007</v>
      </c>
      <c r="D1988">
        <v>2007</v>
      </c>
      <c r="E1988">
        <f>car_price_prediction_[[#This Row],[Engine Size]]/10</f>
        <v>3.2</v>
      </c>
      <c r="F1988">
        <v>32</v>
      </c>
      <c r="G1988" s="1" t="s">
        <v>21</v>
      </c>
      <c r="H1988" s="1" t="s">
        <v>12</v>
      </c>
      <c r="I1988" s="12">
        <f>car_price_prediction_[[#This Row],[Mileage]]/1000</f>
        <v>2.395</v>
      </c>
      <c r="J1988" s="5">
        <v>2395</v>
      </c>
      <c r="K1988" s="1" t="s">
        <v>25</v>
      </c>
      <c r="L1988" s="5">
        <f>car_price_prediction_[[#This Row],[Price]]/100</f>
        <v>90063.35</v>
      </c>
      <c r="M1988">
        <v>9006335</v>
      </c>
      <c r="N1988" s="1" t="s">
        <v>46</v>
      </c>
      <c r="O1988" s="1">
        <f>IF(IFERROR(VLOOKUP(car_price_prediction_[[#This Row],[Car ID]],A1989:A4488,1,FALSE),0),1,0)</f>
        <v>0</v>
      </c>
    </row>
    <row r="1989" spans="1:15" x14ac:dyDescent="0.25">
      <c r="A1989">
        <v>1988</v>
      </c>
      <c r="B1989" s="1" t="s">
        <v>24</v>
      </c>
      <c r="C1989" s="1">
        <f>car_price_prediction_[[#This Row],[Year2]]</f>
        <v>2012</v>
      </c>
      <c r="D1989">
        <v>2012</v>
      </c>
      <c r="E1989">
        <f>car_price_prediction_[[#This Row],[Engine Size]]/10</f>
        <v>4.3</v>
      </c>
      <c r="F1989">
        <v>43</v>
      </c>
      <c r="G1989" s="1" t="s">
        <v>11</v>
      </c>
      <c r="H1989" s="1" t="s">
        <v>12</v>
      </c>
      <c r="I1989" s="12">
        <f>car_price_prediction_[[#This Row],[Mileage]]/1000</f>
        <v>228.45599999999999</v>
      </c>
      <c r="J1989" s="5">
        <v>228456</v>
      </c>
      <c r="K1989" s="1" t="s">
        <v>17</v>
      </c>
      <c r="L1989" s="5">
        <f>car_price_prediction_[[#This Row],[Price]]/100</f>
        <v>77264.84</v>
      </c>
      <c r="M1989">
        <v>7726484</v>
      </c>
      <c r="N1989" s="1" t="s">
        <v>34</v>
      </c>
      <c r="O1989" s="1">
        <f>IF(IFERROR(VLOOKUP(car_price_prediction_[[#This Row],[Car ID]],A1990:A4489,1,FALSE),0),1,0)</f>
        <v>0</v>
      </c>
    </row>
    <row r="1990" spans="1:15" x14ac:dyDescent="0.25">
      <c r="A1990">
        <v>1989</v>
      </c>
      <c r="B1990" s="1" t="s">
        <v>19</v>
      </c>
      <c r="C1990" s="1">
        <f>car_price_prediction_[[#This Row],[Year2]]</f>
        <v>2021</v>
      </c>
      <c r="D1990">
        <v>2021</v>
      </c>
      <c r="E1990">
        <f>car_price_prediction_[[#This Row],[Engine Size]]/10</f>
        <v>3.2</v>
      </c>
      <c r="F1990">
        <v>32</v>
      </c>
      <c r="G1990" s="1" t="s">
        <v>11</v>
      </c>
      <c r="H1990" s="1" t="s">
        <v>22</v>
      </c>
      <c r="I1990" s="12">
        <f>car_price_prediction_[[#This Row],[Mileage]]/1000</f>
        <v>71.028000000000006</v>
      </c>
      <c r="J1990" s="5">
        <v>71028</v>
      </c>
      <c r="K1990" s="1" t="s">
        <v>17</v>
      </c>
      <c r="L1990" s="5">
        <f>car_price_prediction_[[#This Row],[Price]]/100</f>
        <v>9583.19</v>
      </c>
      <c r="M1990">
        <v>958319</v>
      </c>
      <c r="N1990" s="1" t="s">
        <v>20</v>
      </c>
      <c r="O1990" s="1">
        <f>IF(IFERROR(VLOOKUP(car_price_prediction_[[#This Row],[Car ID]],A1991:A4490,1,FALSE),0),1,0)</f>
        <v>0</v>
      </c>
    </row>
    <row r="1991" spans="1:15" x14ac:dyDescent="0.25">
      <c r="A1991">
        <v>1990</v>
      </c>
      <c r="B1991" s="1" t="s">
        <v>30</v>
      </c>
      <c r="C1991" s="1">
        <f>car_price_prediction_[[#This Row],[Year2]]</f>
        <v>2003</v>
      </c>
      <c r="D1991">
        <v>2003</v>
      </c>
      <c r="E1991">
        <f>car_price_prediction_[[#This Row],[Engine Size]]/10</f>
        <v>2.4</v>
      </c>
      <c r="F1991">
        <v>24</v>
      </c>
      <c r="G1991" s="1" t="s">
        <v>21</v>
      </c>
      <c r="H1991" s="1" t="s">
        <v>22</v>
      </c>
      <c r="I1991" s="12">
        <f>car_price_prediction_[[#This Row],[Mileage]]/1000</f>
        <v>242.46299999999999</v>
      </c>
      <c r="J1991" s="5">
        <v>242463</v>
      </c>
      <c r="K1991" s="1" t="s">
        <v>25</v>
      </c>
      <c r="L1991" s="5">
        <f>car_price_prediction_[[#This Row],[Price]]/100</f>
        <v>40304.19</v>
      </c>
      <c r="M1991">
        <v>4030419</v>
      </c>
      <c r="N1991" s="1" t="s">
        <v>42</v>
      </c>
      <c r="O1991" s="1">
        <f>IF(IFERROR(VLOOKUP(car_price_prediction_[[#This Row],[Car ID]],A1992:A4491,1,FALSE),0),1,0)</f>
        <v>0</v>
      </c>
    </row>
    <row r="1992" spans="1:15" x14ac:dyDescent="0.25">
      <c r="A1992">
        <v>1991</v>
      </c>
      <c r="B1992" s="1" t="s">
        <v>30</v>
      </c>
      <c r="C1992" s="1">
        <f>car_price_prediction_[[#This Row],[Year2]]</f>
        <v>2007</v>
      </c>
      <c r="D1992">
        <v>2007</v>
      </c>
      <c r="E1992">
        <f>car_price_prediction_[[#This Row],[Engine Size]]/10</f>
        <v>3.8</v>
      </c>
      <c r="F1992">
        <v>38</v>
      </c>
      <c r="G1992" s="1" t="s">
        <v>16</v>
      </c>
      <c r="H1992" s="1" t="s">
        <v>12</v>
      </c>
      <c r="I1992" s="12">
        <f>car_price_prediction_[[#This Row],[Mileage]]/1000</f>
        <v>141.05600000000001</v>
      </c>
      <c r="J1992" s="5">
        <v>141056</v>
      </c>
      <c r="K1992" s="1" t="s">
        <v>13</v>
      </c>
      <c r="L1992" s="5">
        <f>car_price_prediction_[[#This Row],[Price]]/100</f>
        <v>30937.22</v>
      </c>
      <c r="M1992">
        <v>3093722</v>
      </c>
      <c r="N1992" s="1" t="s">
        <v>45</v>
      </c>
      <c r="O1992" s="1">
        <f>IF(IFERROR(VLOOKUP(car_price_prediction_[[#This Row],[Car ID]],A1993:A4492,1,FALSE),0),1,0)</f>
        <v>0</v>
      </c>
    </row>
    <row r="1993" spans="1:15" x14ac:dyDescent="0.25">
      <c r="A1993">
        <v>1992</v>
      </c>
      <c r="B1993" s="1" t="s">
        <v>36</v>
      </c>
      <c r="C1993" s="1">
        <f>car_price_prediction_[[#This Row],[Year2]]</f>
        <v>2002</v>
      </c>
      <c r="D1993">
        <v>2002</v>
      </c>
      <c r="E1993">
        <f>car_price_prediction_[[#This Row],[Engine Size]]/10</f>
        <v>2.7</v>
      </c>
      <c r="F1993">
        <v>27</v>
      </c>
      <c r="G1993" s="1" t="s">
        <v>21</v>
      </c>
      <c r="H1993" s="1" t="s">
        <v>12</v>
      </c>
      <c r="I1993" s="12">
        <f>car_price_prediction_[[#This Row],[Mileage]]/1000</f>
        <v>203.4</v>
      </c>
      <c r="J1993" s="5">
        <v>203400</v>
      </c>
      <c r="K1993" s="1" t="s">
        <v>17</v>
      </c>
      <c r="L1993" s="5">
        <f>car_price_prediction_[[#This Row],[Price]]/100</f>
        <v>41682.58</v>
      </c>
      <c r="M1993">
        <v>4168258</v>
      </c>
      <c r="N1993" s="1" t="s">
        <v>41</v>
      </c>
      <c r="O1993" s="1">
        <f>IF(IFERROR(VLOOKUP(car_price_prediction_[[#This Row],[Car ID]],A1994:A4493,1,FALSE),0),1,0)</f>
        <v>0</v>
      </c>
    </row>
    <row r="1994" spans="1:15" x14ac:dyDescent="0.25">
      <c r="A1994">
        <v>1993</v>
      </c>
      <c r="B1994" s="1" t="s">
        <v>19</v>
      </c>
      <c r="C1994" s="1">
        <f>car_price_prediction_[[#This Row],[Year2]]</f>
        <v>2008</v>
      </c>
      <c r="D1994">
        <v>2008</v>
      </c>
      <c r="E1994">
        <f>car_price_prediction_[[#This Row],[Engine Size]]/10</f>
        <v>5.7</v>
      </c>
      <c r="F1994">
        <v>57</v>
      </c>
      <c r="G1994" s="1" t="s">
        <v>11</v>
      </c>
      <c r="H1994" s="1" t="s">
        <v>22</v>
      </c>
      <c r="I1994" s="12">
        <f>car_price_prediction_[[#This Row],[Mileage]]/1000</f>
        <v>255.315</v>
      </c>
      <c r="J1994" s="5">
        <v>255315</v>
      </c>
      <c r="K1994" s="1" t="s">
        <v>25</v>
      </c>
      <c r="L1994" s="5">
        <f>car_price_prediction_[[#This Row],[Price]]/100</f>
        <v>20207.189999999999</v>
      </c>
      <c r="M1994">
        <v>2020719</v>
      </c>
      <c r="N1994" s="1" t="s">
        <v>28</v>
      </c>
      <c r="O1994" s="1">
        <f>IF(IFERROR(VLOOKUP(car_price_prediction_[[#This Row],[Car ID]],A1995:A4494,1,FALSE),0),1,0)</f>
        <v>0</v>
      </c>
    </row>
    <row r="1995" spans="1:15" x14ac:dyDescent="0.25">
      <c r="A1995">
        <v>1994</v>
      </c>
      <c r="B1995" s="1" t="s">
        <v>15</v>
      </c>
      <c r="C1995" s="1">
        <f>car_price_prediction_[[#This Row],[Year2]]</f>
        <v>2001</v>
      </c>
      <c r="D1995">
        <v>2001</v>
      </c>
      <c r="E1995">
        <f>car_price_prediction_[[#This Row],[Engine Size]]/10</f>
        <v>5.6</v>
      </c>
      <c r="F1995">
        <v>56</v>
      </c>
      <c r="G1995" s="1" t="s">
        <v>29</v>
      </c>
      <c r="H1995" s="1" t="s">
        <v>12</v>
      </c>
      <c r="I1995" s="12">
        <f>car_price_prediction_[[#This Row],[Mileage]]/1000</f>
        <v>289.06799999999998</v>
      </c>
      <c r="J1995" s="5">
        <v>289068</v>
      </c>
      <c r="K1995" s="1" t="s">
        <v>13</v>
      </c>
      <c r="L1995" s="5">
        <f>car_price_prediction_[[#This Row],[Price]]/100</f>
        <v>14281.89</v>
      </c>
      <c r="M1995">
        <v>1428189</v>
      </c>
      <c r="N1995" s="1" t="s">
        <v>51</v>
      </c>
      <c r="O1995" s="1">
        <f>IF(IFERROR(VLOOKUP(car_price_prediction_[[#This Row],[Car ID]],A1996:A4495,1,FALSE),0),1,0)</f>
        <v>0</v>
      </c>
    </row>
    <row r="1996" spans="1:15" x14ac:dyDescent="0.25">
      <c r="A1996">
        <v>1995</v>
      </c>
      <c r="B1996" s="1" t="s">
        <v>19</v>
      </c>
      <c r="C1996" s="1">
        <f>car_price_prediction_[[#This Row],[Year2]]</f>
        <v>2001</v>
      </c>
      <c r="D1996">
        <v>2001</v>
      </c>
      <c r="E1996">
        <f>car_price_prediction_[[#This Row],[Engine Size]]/10</f>
        <v>3.5</v>
      </c>
      <c r="F1996">
        <v>35</v>
      </c>
      <c r="G1996" s="1" t="s">
        <v>29</v>
      </c>
      <c r="H1996" s="1" t="s">
        <v>12</v>
      </c>
      <c r="I1996" s="12">
        <f>car_price_prediction_[[#This Row],[Mileage]]/1000</f>
        <v>294.721</v>
      </c>
      <c r="J1996" s="5">
        <v>294721</v>
      </c>
      <c r="K1996" s="1" t="s">
        <v>25</v>
      </c>
      <c r="L1996" s="5">
        <f>car_price_prediction_[[#This Row],[Price]]/100</f>
        <v>54493.53</v>
      </c>
      <c r="M1996">
        <v>5449353</v>
      </c>
      <c r="N1996" s="1" t="s">
        <v>27</v>
      </c>
      <c r="O1996" s="1">
        <f>IF(IFERROR(VLOOKUP(car_price_prediction_[[#This Row],[Car ID]],A1997:A4496,1,FALSE),0),1,0)</f>
        <v>0</v>
      </c>
    </row>
    <row r="1997" spans="1:15" x14ac:dyDescent="0.25">
      <c r="A1997">
        <v>1996</v>
      </c>
      <c r="B1997" s="1" t="s">
        <v>15</v>
      </c>
      <c r="C1997" s="1">
        <f>car_price_prediction_[[#This Row],[Year2]]</f>
        <v>2012</v>
      </c>
      <c r="D1997">
        <v>2012</v>
      </c>
      <c r="E1997">
        <f>car_price_prediction_[[#This Row],[Engine Size]]/10</f>
        <v>2.6</v>
      </c>
      <c r="F1997">
        <v>26</v>
      </c>
      <c r="G1997" s="1" t="s">
        <v>21</v>
      </c>
      <c r="H1997" s="1" t="s">
        <v>12</v>
      </c>
      <c r="I1997" s="12">
        <f>car_price_prediction_[[#This Row],[Mileage]]/1000</f>
        <v>138.78299999999999</v>
      </c>
      <c r="J1997" s="5">
        <v>138783</v>
      </c>
      <c r="K1997" s="1" t="s">
        <v>25</v>
      </c>
      <c r="L1997" s="5">
        <f>car_price_prediction_[[#This Row],[Price]]/100</f>
        <v>73436.22</v>
      </c>
      <c r="M1997">
        <v>7343622</v>
      </c>
      <c r="N1997" s="1" t="s">
        <v>35</v>
      </c>
      <c r="O1997" s="1">
        <f>IF(IFERROR(VLOOKUP(car_price_prediction_[[#This Row],[Car ID]],A1998:A4497,1,FALSE),0),1,0)</f>
        <v>0</v>
      </c>
    </row>
    <row r="1998" spans="1:15" x14ac:dyDescent="0.25">
      <c r="A1998">
        <v>1997</v>
      </c>
      <c r="B1998" s="1" t="s">
        <v>19</v>
      </c>
      <c r="C1998" s="1">
        <f>car_price_prediction_[[#This Row],[Year2]]</f>
        <v>2014</v>
      </c>
      <c r="D1998">
        <v>2014</v>
      </c>
      <c r="E1998">
        <f>car_price_prediction_[[#This Row],[Engine Size]]/10</f>
        <v>4.7</v>
      </c>
      <c r="F1998">
        <v>47</v>
      </c>
      <c r="G1998" s="1" t="s">
        <v>29</v>
      </c>
      <c r="H1998" s="1" t="s">
        <v>22</v>
      </c>
      <c r="I1998" s="12">
        <f>car_price_prediction_[[#This Row],[Mileage]]/1000</f>
        <v>85.548000000000002</v>
      </c>
      <c r="J1998" s="5">
        <v>85548</v>
      </c>
      <c r="K1998" s="1" t="s">
        <v>25</v>
      </c>
      <c r="L1998" s="5">
        <f>car_price_prediction_[[#This Row],[Price]]/100</f>
        <v>71681.539999999994</v>
      </c>
      <c r="M1998">
        <v>7168154</v>
      </c>
      <c r="N1998" s="1" t="s">
        <v>20</v>
      </c>
      <c r="O1998" s="1">
        <f>IF(IFERROR(VLOOKUP(car_price_prediction_[[#This Row],[Car ID]],A1999:A4498,1,FALSE),0),1,0)</f>
        <v>0</v>
      </c>
    </row>
    <row r="1999" spans="1:15" x14ac:dyDescent="0.25">
      <c r="A1999">
        <v>1998</v>
      </c>
      <c r="B1999" s="1" t="s">
        <v>19</v>
      </c>
      <c r="C1999" s="1">
        <f>car_price_prediction_[[#This Row],[Year2]]</f>
        <v>2022</v>
      </c>
      <c r="D1999">
        <v>2022</v>
      </c>
      <c r="E1999">
        <f>car_price_prediction_[[#This Row],[Engine Size]]/10</f>
        <v>1.2</v>
      </c>
      <c r="F1999">
        <v>12</v>
      </c>
      <c r="G1999" s="1" t="s">
        <v>11</v>
      </c>
      <c r="H1999" s="1" t="s">
        <v>22</v>
      </c>
      <c r="I1999" s="12">
        <f>car_price_prediction_[[#This Row],[Mileage]]/1000</f>
        <v>257.28800000000001</v>
      </c>
      <c r="J1999" s="5">
        <v>257288</v>
      </c>
      <c r="K1999" s="1" t="s">
        <v>13</v>
      </c>
      <c r="L1999" s="5">
        <f>car_price_prediction_[[#This Row],[Price]]/100</f>
        <v>47839.71</v>
      </c>
      <c r="M1999">
        <v>4783971</v>
      </c>
      <c r="N1999" s="1" t="s">
        <v>28</v>
      </c>
      <c r="O1999" s="1">
        <f>IF(IFERROR(VLOOKUP(car_price_prediction_[[#This Row],[Car ID]],A2000:A4499,1,FALSE),0),1,0)</f>
        <v>0</v>
      </c>
    </row>
    <row r="2000" spans="1:15" x14ac:dyDescent="0.25">
      <c r="A2000">
        <v>1999</v>
      </c>
      <c r="B2000" s="1" t="s">
        <v>43</v>
      </c>
      <c r="C2000" s="1">
        <f>car_price_prediction_[[#This Row],[Year2]]</f>
        <v>2011</v>
      </c>
      <c r="D2000">
        <v>2011</v>
      </c>
      <c r="E2000">
        <f>car_price_prediction_[[#This Row],[Engine Size]]/10</f>
        <v>3.4</v>
      </c>
      <c r="F2000">
        <v>34</v>
      </c>
      <c r="G2000" s="1" t="s">
        <v>11</v>
      </c>
      <c r="H2000" s="1" t="s">
        <v>12</v>
      </c>
      <c r="I2000" s="12">
        <f>car_price_prediction_[[#This Row],[Mileage]]/1000</f>
        <v>125.093</v>
      </c>
      <c r="J2000" s="5">
        <v>125093</v>
      </c>
      <c r="K2000" s="1" t="s">
        <v>17</v>
      </c>
      <c r="L2000" s="5">
        <f>car_price_prediction_[[#This Row],[Price]]/100</f>
        <v>5461.65</v>
      </c>
      <c r="M2000">
        <v>546165</v>
      </c>
      <c r="N2000" s="1" t="s">
        <v>50</v>
      </c>
      <c r="O2000" s="1">
        <f>IF(IFERROR(VLOOKUP(car_price_prediction_[[#This Row],[Car ID]],A2001:A4500,1,FALSE),0),1,0)</f>
        <v>0</v>
      </c>
    </row>
    <row r="2001" spans="1:15" x14ac:dyDescent="0.25">
      <c r="A2001">
        <v>2000</v>
      </c>
      <c r="B2001" s="1" t="s">
        <v>30</v>
      </c>
      <c r="C2001" s="1">
        <f>car_price_prediction_[[#This Row],[Year2]]</f>
        <v>2003</v>
      </c>
      <c r="D2001">
        <v>2003</v>
      </c>
      <c r="E2001">
        <f>car_price_prediction_[[#This Row],[Engine Size]]/10</f>
        <v>2.7</v>
      </c>
      <c r="F2001">
        <v>27</v>
      </c>
      <c r="G2001" s="1" t="s">
        <v>21</v>
      </c>
      <c r="H2001" s="1" t="s">
        <v>12</v>
      </c>
      <c r="I2001" s="12">
        <f>car_price_prediction_[[#This Row],[Mileage]]/1000</f>
        <v>235.83500000000001</v>
      </c>
      <c r="J2001" s="5">
        <v>235835</v>
      </c>
      <c r="K2001" s="1" t="s">
        <v>17</v>
      </c>
      <c r="L2001" s="5">
        <f>car_price_prediction_[[#This Row],[Price]]/100</f>
        <v>54051.23</v>
      </c>
      <c r="M2001">
        <v>5405123</v>
      </c>
      <c r="N2001" s="1" t="s">
        <v>45</v>
      </c>
      <c r="O2001" s="1">
        <f>IF(IFERROR(VLOOKUP(car_price_prediction_[[#This Row],[Car ID]],A2002:A4501,1,FALSE),0),1,0)</f>
        <v>0</v>
      </c>
    </row>
    <row r="2002" spans="1:15" x14ac:dyDescent="0.25">
      <c r="A2002">
        <v>2001</v>
      </c>
      <c r="B2002" s="1" t="s">
        <v>19</v>
      </c>
      <c r="C2002" s="1">
        <f>car_price_prediction_[[#This Row],[Year2]]</f>
        <v>2007</v>
      </c>
      <c r="D2002">
        <v>2007</v>
      </c>
      <c r="E2002">
        <f>car_price_prediction_[[#This Row],[Engine Size]]/10</f>
        <v>5.6</v>
      </c>
      <c r="F2002">
        <v>56</v>
      </c>
      <c r="G2002" s="1" t="s">
        <v>11</v>
      </c>
      <c r="H2002" s="1" t="s">
        <v>12</v>
      </c>
      <c r="I2002" s="12">
        <f>car_price_prediction_[[#This Row],[Mileage]]/1000</f>
        <v>206.084</v>
      </c>
      <c r="J2002" s="5">
        <v>206084</v>
      </c>
      <c r="K2002" s="1" t="s">
        <v>25</v>
      </c>
      <c r="L2002" s="5">
        <f>car_price_prediction_[[#This Row],[Price]]/100</f>
        <v>70699.19</v>
      </c>
      <c r="M2002">
        <v>7069919</v>
      </c>
      <c r="N2002" s="1" t="s">
        <v>28</v>
      </c>
      <c r="O2002" s="1">
        <f>IF(IFERROR(VLOOKUP(car_price_prediction_[[#This Row],[Car ID]],A2003:A4502,1,FALSE),0),1,0)</f>
        <v>0</v>
      </c>
    </row>
    <row r="2003" spans="1:15" x14ac:dyDescent="0.25">
      <c r="A2003">
        <v>2002</v>
      </c>
      <c r="B2003" s="1" t="s">
        <v>36</v>
      </c>
      <c r="C2003" s="1">
        <f>car_price_prediction_[[#This Row],[Year2]]</f>
        <v>2008</v>
      </c>
      <c r="D2003">
        <v>2008</v>
      </c>
      <c r="E2003">
        <f>car_price_prediction_[[#This Row],[Engine Size]]/10</f>
        <v>1.1000000000000001</v>
      </c>
      <c r="F2003">
        <v>11</v>
      </c>
      <c r="G2003" s="1" t="s">
        <v>16</v>
      </c>
      <c r="H2003" s="1" t="s">
        <v>12</v>
      </c>
      <c r="I2003" s="12">
        <f>car_price_prediction_[[#This Row],[Mileage]]/1000</f>
        <v>270.39800000000002</v>
      </c>
      <c r="J2003" s="5">
        <v>270398</v>
      </c>
      <c r="K2003" s="1" t="s">
        <v>25</v>
      </c>
      <c r="L2003" s="5">
        <f>car_price_prediction_[[#This Row],[Price]]/100</f>
        <v>9552.89</v>
      </c>
      <c r="M2003">
        <v>955289</v>
      </c>
      <c r="N2003" s="1" t="s">
        <v>37</v>
      </c>
      <c r="O2003" s="1">
        <f>IF(IFERROR(VLOOKUP(car_price_prediction_[[#This Row],[Car ID]],A2004:A4503,1,FALSE),0),1,0)</f>
        <v>0</v>
      </c>
    </row>
    <row r="2004" spans="1:15" x14ac:dyDescent="0.25">
      <c r="A2004">
        <v>2003</v>
      </c>
      <c r="B2004" s="1" t="s">
        <v>19</v>
      </c>
      <c r="C2004" s="1">
        <f>car_price_prediction_[[#This Row],[Year2]]</f>
        <v>2022</v>
      </c>
      <c r="D2004">
        <v>2022</v>
      </c>
      <c r="E2004">
        <f>car_price_prediction_[[#This Row],[Engine Size]]/10</f>
        <v>3.8</v>
      </c>
      <c r="F2004">
        <v>38</v>
      </c>
      <c r="G2004" s="1" t="s">
        <v>11</v>
      </c>
      <c r="H2004" s="1" t="s">
        <v>12</v>
      </c>
      <c r="I2004" s="12">
        <f>car_price_prediction_[[#This Row],[Mileage]]/1000</f>
        <v>229.02699999999999</v>
      </c>
      <c r="J2004" s="5">
        <v>229027</v>
      </c>
      <c r="K2004" s="1" t="s">
        <v>13</v>
      </c>
      <c r="L2004" s="5">
        <f>car_price_prediction_[[#This Row],[Price]]/100</f>
        <v>72440.13</v>
      </c>
      <c r="M2004">
        <v>7244013</v>
      </c>
      <c r="N2004" s="1" t="s">
        <v>20</v>
      </c>
      <c r="O2004" s="1">
        <f>IF(IFERROR(VLOOKUP(car_price_prediction_[[#This Row],[Car ID]],A2005:A4504,1,FALSE),0),1,0)</f>
        <v>0</v>
      </c>
    </row>
    <row r="2005" spans="1:15" x14ac:dyDescent="0.25">
      <c r="A2005">
        <v>2004</v>
      </c>
      <c r="B2005" s="1" t="s">
        <v>24</v>
      </c>
      <c r="C2005" s="1">
        <f>car_price_prediction_[[#This Row],[Year2]]</f>
        <v>2004</v>
      </c>
      <c r="D2005">
        <v>2004</v>
      </c>
      <c r="E2005">
        <f>car_price_prediction_[[#This Row],[Engine Size]]/10</f>
        <v>4.7</v>
      </c>
      <c r="F2005">
        <v>47</v>
      </c>
      <c r="G2005" s="1" t="s">
        <v>21</v>
      </c>
      <c r="H2005" s="1" t="s">
        <v>12</v>
      </c>
      <c r="I2005" s="12">
        <f>car_price_prediction_[[#This Row],[Mileage]]/1000</f>
        <v>208.072</v>
      </c>
      <c r="J2005" s="5">
        <v>208072</v>
      </c>
      <c r="K2005" s="1" t="s">
        <v>25</v>
      </c>
      <c r="L2005" s="5">
        <f>car_price_prediction_[[#This Row],[Price]]/100</f>
        <v>60309.09</v>
      </c>
      <c r="M2005">
        <v>6030909</v>
      </c>
      <c r="N2005" s="1" t="s">
        <v>26</v>
      </c>
      <c r="O2005" s="1">
        <f>IF(IFERROR(VLOOKUP(car_price_prediction_[[#This Row],[Car ID]],A2006:A4505,1,FALSE),0),1,0)</f>
        <v>0</v>
      </c>
    </row>
    <row r="2006" spans="1:15" x14ac:dyDescent="0.25">
      <c r="A2006">
        <v>2005</v>
      </c>
      <c r="B2006" s="1" t="s">
        <v>30</v>
      </c>
      <c r="C2006" s="1">
        <f>car_price_prediction_[[#This Row],[Year2]]</f>
        <v>2023</v>
      </c>
      <c r="D2006">
        <v>2023</v>
      </c>
      <c r="E2006">
        <f>car_price_prediction_[[#This Row],[Engine Size]]/10</f>
        <v>3.4</v>
      </c>
      <c r="F2006">
        <v>34</v>
      </c>
      <c r="G2006" s="1" t="s">
        <v>16</v>
      </c>
      <c r="H2006" s="1" t="s">
        <v>22</v>
      </c>
      <c r="I2006" s="12">
        <f>car_price_prediction_[[#This Row],[Mileage]]/1000</f>
        <v>248.029</v>
      </c>
      <c r="J2006" s="5">
        <v>248029</v>
      </c>
      <c r="K2006" s="1" t="s">
        <v>25</v>
      </c>
      <c r="L2006" s="5">
        <f>car_price_prediction_[[#This Row],[Price]]/100</f>
        <v>23820.33</v>
      </c>
      <c r="M2006">
        <v>2382033</v>
      </c>
      <c r="N2006" s="1" t="s">
        <v>45</v>
      </c>
      <c r="O2006" s="1">
        <f>IF(IFERROR(VLOOKUP(car_price_prediction_[[#This Row],[Car ID]],A2007:A4506,1,FALSE),0),1,0)</f>
        <v>0</v>
      </c>
    </row>
    <row r="2007" spans="1:15" x14ac:dyDescent="0.25">
      <c r="A2007">
        <v>2006</v>
      </c>
      <c r="B2007" s="1" t="s">
        <v>24</v>
      </c>
      <c r="C2007" s="1">
        <f>car_price_prediction_[[#This Row],[Year2]]</f>
        <v>2019</v>
      </c>
      <c r="D2007">
        <v>2019</v>
      </c>
      <c r="E2007">
        <f>car_price_prediction_[[#This Row],[Engine Size]]/10</f>
        <v>1.4</v>
      </c>
      <c r="F2007">
        <v>14</v>
      </c>
      <c r="G2007" s="1" t="s">
        <v>16</v>
      </c>
      <c r="H2007" s="1" t="s">
        <v>22</v>
      </c>
      <c r="I2007" s="12">
        <f>car_price_prediction_[[#This Row],[Mileage]]/1000</f>
        <v>209.047</v>
      </c>
      <c r="J2007" s="5">
        <v>209047</v>
      </c>
      <c r="K2007" s="1" t="s">
        <v>25</v>
      </c>
      <c r="L2007" s="5">
        <f>car_price_prediction_[[#This Row],[Price]]/100</f>
        <v>9660.59</v>
      </c>
      <c r="M2007">
        <v>966059</v>
      </c>
      <c r="N2007" s="1" t="s">
        <v>26</v>
      </c>
      <c r="O2007" s="1">
        <f>IF(IFERROR(VLOOKUP(car_price_prediction_[[#This Row],[Car ID]],A2008:A4507,1,FALSE),0),1,0)</f>
        <v>0</v>
      </c>
    </row>
    <row r="2008" spans="1:15" x14ac:dyDescent="0.25">
      <c r="A2008">
        <v>2007</v>
      </c>
      <c r="B2008" s="1" t="s">
        <v>30</v>
      </c>
      <c r="C2008" s="1">
        <f>car_price_prediction_[[#This Row],[Year2]]</f>
        <v>2017</v>
      </c>
      <c r="D2008">
        <v>2017</v>
      </c>
      <c r="E2008">
        <f>car_price_prediction_[[#This Row],[Engine Size]]/10</f>
        <v>5.9</v>
      </c>
      <c r="F2008">
        <v>59</v>
      </c>
      <c r="G2008" s="1" t="s">
        <v>29</v>
      </c>
      <c r="H2008" s="1" t="s">
        <v>12</v>
      </c>
      <c r="I2008" s="12">
        <f>car_price_prediction_[[#This Row],[Mileage]]/1000</f>
        <v>130.50899999999999</v>
      </c>
      <c r="J2008" s="5">
        <v>130509</v>
      </c>
      <c r="K2008" s="1" t="s">
        <v>17</v>
      </c>
      <c r="L2008" s="5">
        <f>car_price_prediction_[[#This Row],[Price]]/100</f>
        <v>15310.14</v>
      </c>
      <c r="M2008">
        <v>1531014</v>
      </c>
      <c r="N2008" s="1" t="s">
        <v>42</v>
      </c>
      <c r="O2008" s="1">
        <f>IF(IFERROR(VLOOKUP(car_price_prediction_[[#This Row],[Car ID]],A2009:A4508,1,FALSE),0),1,0)</f>
        <v>0</v>
      </c>
    </row>
    <row r="2009" spans="1:15" x14ac:dyDescent="0.25">
      <c r="A2009">
        <v>2008</v>
      </c>
      <c r="B2009" s="1" t="s">
        <v>24</v>
      </c>
      <c r="C2009" s="1">
        <f>car_price_prediction_[[#This Row],[Year2]]</f>
        <v>2010</v>
      </c>
      <c r="D2009">
        <v>2010</v>
      </c>
      <c r="E2009">
        <f>car_price_prediction_[[#This Row],[Engine Size]]/10</f>
        <v>3.6</v>
      </c>
      <c r="F2009">
        <v>36</v>
      </c>
      <c r="G2009" s="1" t="s">
        <v>11</v>
      </c>
      <c r="H2009" s="1" t="s">
        <v>22</v>
      </c>
      <c r="I2009" s="12">
        <f>car_price_prediction_[[#This Row],[Mileage]]/1000</f>
        <v>237.78399999999999</v>
      </c>
      <c r="J2009" s="5">
        <v>237784</v>
      </c>
      <c r="K2009" s="1" t="s">
        <v>25</v>
      </c>
      <c r="L2009" s="5">
        <f>car_price_prediction_[[#This Row],[Price]]/100</f>
        <v>54845.68</v>
      </c>
      <c r="M2009">
        <v>5484568</v>
      </c>
      <c r="N2009" s="1" t="s">
        <v>34</v>
      </c>
      <c r="O2009" s="1">
        <f>IF(IFERROR(VLOOKUP(car_price_prediction_[[#This Row],[Car ID]],A2010:A4509,1,FALSE),0),1,0)</f>
        <v>0</v>
      </c>
    </row>
    <row r="2010" spans="1:15" x14ac:dyDescent="0.25">
      <c r="A2010">
        <v>2009</v>
      </c>
      <c r="B2010" s="1" t="s">
        <v>19</v>
      </c>
      <c r="C2010" s="1">
        <f>car_price_prediction_[[#This Row],[Year2]]</f>
        <v>2014</v>
      </c>
      <c r="D2010">
        <v>2014</v>
      </c>
      <c r="E2010">
        <f>car_price_prediction_[[#This Row],[Engine Size]]/10</f>
        <v>4.0999999999999996</v>
      </c>
      <c r="F2010">
        <v>41</v>
      </c>
      <c r="G2010" s="1" t="s">
        <v>21</v>
      </c>
      <c r="H2010" s="1" t="s">
        <v>12</v>
      </c>
      <c r="I2010" s="12">
        <f>car_price_prediction_[[#This Row],[Mileage]]/1000</f>
        <v>295.10700000000003</v>
      </c>
      <c r="J2010" s="5">
        <v>295107</v>
      </c>
      <c r="K2010" s="1" t="s">
        <v>17</v>
      </c>
      <c r="L2010" s="5">
        <f>car_price_prediction_[[#This Row],[Price]]/100</f>
        <v>77048.81</v>
      </c>
      <c r="M2010">
        <v>7704881</v>
      </c>
      <c r="N2010" s="1" t="s">
        <v>20</v>
      </c>
      <c r="O2010" s="1">
        <f>IF(IFERROR(VLOOKUP(car_price_prediction_[[#This Row],[Car ID]],A2011:A4510,1,FALSE),0),1,0)</f>
        <v>0</v>
      </c>
    </row>
    <row r="2011" spans="1:15" x14ac:dyDescent="0.25">
      <c r="A2011">
        <v>2010</v>
      </c>
      <c r="B2011" s="1" t="s">
        <v>19</v>
      </c>
      <c r="C2011" s="1">
        <f>car_price_prediction_[[#This Row],[Year2]]</f>
        <v>2021</v>
      </c>
      <c r="D2011">
        <v>2021</v>
      </c>
      <c r="E2011">
        <f>car_price_prediction_[[#This Row],[Engine Size]]/10</f>
        <v>2.2000000000000002</v>
      </c>
      <c r="F2011">
        <v>22</v>
      </c>
      <c r="G2011" s="1" t="s">
        <v>29</v>
      </c>
      <c r="H2011" s="1" t="s">
        <v>12</v>
      </c>
      <c r="I2011" s="12">
        <f>car_price_prediction_[[#This Row],[Mileage]]/1000</f>
        <v>3.2730000000000001</v>
      </c>
      <c r="J2011" s="5">
        <v>3273</v>
      </c>
      <c r="K2011" s="1" t="s">
        <v>13</v>
      </c>
      <c r="L2011" s="5">
        <f>car_price_prediction_[[#This Row],[Price]]/100</f>
        <v>36792.44</v>
      </c>
      <c r="M2011">
        <v>3679244</v>
      </c>
      <c r="N2011" s="1" t="s">
        <v>38</v>
      </c>
      <c r="O2011" s="1">
        <f>IF(IFERROR(VLOOKUP(car_price_prediction_[[#This Row],[Car ID]],A2012:A4511,1,FALSE),0),1,0)</f>
        <v>0</v>
      </c>
    </row>
    <row r="2012" spans="1:15" x14ac:dyDescent="0.25">
      <c r="A2012">
        <v>2011</v>
      </c>
      <c r="B2012" s="1" t="s">
        <v>43</v>
      </c>
      <c r="C2012" s="1">
        <f>car_price_prediction_[[#This Row],[Year2]]</f>
        <v>2008</v>
      </c>
      <c r="D2012">
        <v>2008</v>
      </c>
      <c r="E2012">
        <f>car_price_prediction_[[#This Row],[Engine Size]]/10</f>
        <v>3.4</v>
      </c>
      <c r="F2012">
        <v>34</v>
      </c>
      <c r="G2012" s="1" t="s">
        <v>29</v>
      </c>
      <c r="H2012" s="1" t="s">
        <v>22</v>
      </c>
      <c r="I2012" s="12">
        <f>car_price_prediction_[[#This Row],[Mileage]]/1000</f>
        <v>15.33</v>
      </c>
      <c r="J2012" s="5">
        <v>15330</v>
      </c>
      <c r="K2012" s="1" t="s">
        <v>13</v>
      </c>
      <c r="L2012" s="5">
        <f>car_price_prediction_[[#This Row],[Price]]/100</f>
        <v>41016.769999999997</v>
      </c>
      <c r="M2012">
        <v>4101677</v>
      </c>
      <c r="N2012" s="1" t="s">
        <v>50</v>
      </c>
      <c r="O2012" s="1">
        <f>IF(IFERROR(VLOOKUP(car_price_prediction_[[#This Row],[Car ID]],A2013:A4512,1,FALSE),0),1,0)</f>
        <v>0</v>
      </c>
    </row>
    <row r="2013" spans="1:15" x14ac:dyDescent="0.25">
      <c r="A2013">
        <v>2012</v>
      </c>
      <c r="B2013" s="1" t="s">
        <v>36</v>
      </c>
      <c r="C2013" s="1">
        <f>car_price_prediction_[[#This Row],[Year2]]</f>
        <v>2016</v>
      </c>
      <c r="D2013">
        <v>2016</v>
      </c>
      <c r="E2013">
        <f>car_price_prediction_[[#This Row],[Engine Size]]/10</f>
        <v>3.1</v>
      </c>
      <c r="F2013">
        <v>31</v>
      </c>
      <c r="G2013" s="1" t="s">
        <v>11</v>
      </c>
      <c r="H2013" s="1" t="s">
        <v>22</v>
      </c>
      <c r="I2013" s="12">
        <f>car_price_prediction_[[#This Row],[Mileage]]/1000</f>
        <v>152.566</v>
      </c>
      <c r="J2013" s="5">
        <v>152566</v>
      </c>
      <c r="K2013" s="1" t="s">
        <v>17</v>
      </c>
      <c r="L2013" s="5">
        <f>car_price_prediction_[[#This Row],[Price]]/100</f>
        <v>93743.91</v>
      </c>
      <c r="M2013">
        <v>9374391</v>
      </c>
      <c r="N2013" s="1" t="s">
        <v>41</v>
      </c>
      <c r="O2013" s="1">
        <f>IF(IFERROR(VLOOKUP(car_price_prediction_[[#This Row],[Car ID]],A2014:A4513,1,FALSE),0),1,0)</f>
        <v>0</v>
      </c>
    </row>
    <row r="2014" spans="1:15" x14ac:dyDescent="0.25">
      <c r="A2014">
        <v>2013</v>
      </c>
      <c r="B2014" s="1" t="s">
        <v>24</v>
      </c>
      <c r="C2014" s="1">
        <f>car_price_prediction_[[#This Row],[Year2]]</f>
        <v>2011</v>
      </c>
      <c r="D2014">
        <v>2011</v>
      </c>
      <c r="E2014">
        <f>car_price_prediction_[[#This Row],[Engine Size]]/10</f>
        <v>1.4</v>
      </c>
      <c r="F2014">
        <v>14</v>
      </c>
      <c r="G2014" s="1" t="s">
        <v>11</v>
      </c>
      <c r="H2014" s="1" t="s">
        <v>12</v>
      </c>
      <c r="I2014" s="12">
        <f>car_price_prediction_[[#This Row],[Mileage]]/1000</f>
        <v>76.421999999999997</v>
      </c>
      <c r="J2014" s="5">
        <v>76422</v>
      </c>
      <c r="K2014" s="1" t="s">
        <v>17</v>
      </c>
      <c r="L2014" s="5">
        <f>car_price_prediction_[[#This Row],[Price]]/100</f>
        <v>25236.240000000002</v>
      </c>
      <c r="M2014">
        <v>2523624</v>
      </c>
      <c r="N2014" s="1" t="s">
        <v>53</v>
      </c>
      <c r="O2014" s="1">
        <f>IF(IFERROR(VLOOKUP(car_price_prediction_[[#This Row],[Car ID]],A2015:A4514,1,FALSE),0),1,0)</f>
        <v>0</v>
      </c>
    </row>
    <row r="2015" spans="1:15" x14ac:dyDescent="0.25">
      <c r="A2015">
        <v>2014</v>
      </c>
      <c r="B2015" s="1" t="s">
        <v>15</v>
      </c>
      <c r="C2015" s="1">
        <f>car_price_prediction_[[#This Row],[Year2]]</f>
        <v>2006</v>
      </c>
      <c r="D2015">
        <v>2006</v>
      </c>
      <c r="E2015">
        <f>car_price_prediction_[[#This Row],[Engine Size]]/10</f>
        <v>1.5</v>
      </c>
      <c r="F2015">
        <v>15</v>
      </c>
      <c r="G2015" s="1" t="s">
        <v>21</v>
      </c>
      <c r="H2015" s="1" t="s">
        <v>12</v>
      </c>
      <c r="I2015" s="12">
        <f>car_price_prediction_[[#This Row],[Mileage]]/1000</f>
        <v>3.2120000000000002</v>
      </c>
      <c r="J2015" s="5">
        <v>3212</v>
      </c>
      <c r="K2015" s="1" t="s">
        <v>17</v>
      </c>
      <c r="L2015" s="5">
        <f>car_price_prediction_[[#This Row],[Price]]/100</f>
        <v>1485.62</v>
      </c>
      <c r="M2015">
        <v>148562</v>
      </c>
      <c r="N2015" s="1" t="s">
        <v>18</v>
      </c>
      <c r="O2015" s="1">
        <f>IF(IFERROR(VLOOKUP(car_price_prediction_[[#This Row],[Car ID]],A2016:A4515,1,FALSE),0),1,0)</f>
        <v>0</v>
      </c>
    </row>
    <row r="2016" spans="1:15" x14ac:dyDescent="0.25">
      <c r="A2016">
        <v>2015</v>
      </c>
      <c r="B2016" s="1" t="s">
        <v>43</v>
      </c>
      <c r="C2016" s="1">
        <f>car_price_prediction_[[#This Row],[Year2]]</f>
        <v>2009</v>
      </c>
      <c r="D2016">
        <v>2009</v>
      </c>
      <c r="E2016">
        <f>car_price_prediction_[[#This Row],[Engine Size]]/10</f>
        <v>5.2</v>
      </c>
      <c r="F2016">
        <v>52</v>
      </c>
      <c r="G2016" s="1" t="s">
        <v>29</v>
      </c>
      <c r="H2016" s="1" t="s">
        <v>22</v>
      </c>
      <c r="I2016" s="12">
        <f>car_price_prediction_[[#This Row],[Mileage]]/1000</f>
        <v>232.131</v>
      </c>
      <c r="J2016" s="5">
        <v>232131</v>
      </c>
      <c r="K2016" s="1" t="s">
        <v>17</v>
      </c>
      <c r="L2016" s="5">
        <f>car_price_prediction_[[#This Row],[Price]]/100</f>
        <v>37623.96</v>
      </c>
      <c r="M2016">
        <v>3762396</v>
      </c>
      <c r="N2016" s="1" t="s">
        <v>52</v>
      </c>
      <c r="O2016" s="1">
        <f>IF(IFERROR(VLOOKUP(car_price_prediction_[[#This Row],[Car ID]],A2017:A4516,1,FALSE),0),1,0)</f>
        <v>0</v>
      </c>
    </row>
    <row r="2017" spans="1:15" x14ac:dyDescent="0.25">
      <c r="A2017">
        <v>2016</v>
      </c>
      <c r="B2017" s="1" t="s">
        <v>24</v>
      </c>
      <c r="C2017" s="1">
        <f>car_price_prediction_[[#This Row],[Year2]]</f>
        <v>2009</v>
      </c>
      <c r="D2017">
        <v>2009</v>
      </c>
      <c r="E2017">
        <f>car_price_prediction_[[#This Row],[Engine Size]]/10</f>
        <v>2.2000000000000002</v>
      </c>
      <c r="F2017">
        <v>22</v>
      </c>
      <c r="G2017" s="1" t="s">
        <v>21</v>
      </c>
      <c r="H2017" s="1" t="s">
        <v>22</v>
      </c>
      <c r="I2017" s="12">
        <f>car_price_prediction_[[#This Row],[Mileage]]/1000</f>
        <v>87.593999999999994</v>
      </c>
      <c r="J2017" s="5">
        <v>87594</v>
      </c>
      <c r="K2017" s="1" t="s">
        <v>25</v>
      </c>
      <c r="L2017" s="5">
        <f>car_price_prediction_[[#This Row],[Price]]/100</f>
        <v>7586.26</v>
      </c>
      <c r="M2017">
        <v>758626</v>
      </c>
      <c r="N2017" s="1" t="s">
        <v>26</v>
      </c>
      <c r="O2017" s="1">
        <f>IF(IFERROR(VLOOKUP(car_price_prediction_[[#This Row],[Car ID]],A2018:A4517,1,FALSE),0),1,0)</f>
        <v>0</v>
      </c>
    </row>
    <row r="2018" spans="1:15" x14ac:dyDescent="0.25">
      <c r="A2018">
        <v>2017</v>
      </c>
      <c r="B2018" s="1" t="s">
        <v>24</v>
      </c>
      <c r="C2018" s="1">
        <f>car_price_prediction_[[#This Row],[Year2]]</f>
        <v>2012</v>
      </c>
      <c r="D2018">
        <v>2012</v>
      </c>
      <c r="E2018">
        <f>car_price_prediction_[[#This Row],[Engine Size]]/10</f>
        <v>2</v>
      </c>
      <c r="F2018">
        <v>20</v>
      </c>
      <c r="G2018" s="1" t="s">
        <v>29</v>
      </c>
      <c r="H2018" s="1" t="s">
        <v>12</v>
      </c>
      <c r="I2018" s="12">
        <f>car_price_prediction_[[#This Row],[Mileage]]/1000</f>
        <v>132.15199999999999</v>
      </c>
      <c r="J2018" s="5">
        <v>132152</v>
      </c>
      <c r="K2018" s="1" t="s">
        <v>17</v>
      </c>
      <c r="L2018" s="5">
        <f>car_price_prediction_[[#This Row],[Price]]/100</f>
        <v>64477.34</v>
      </c>
      <c r="M2018">
        <v>6447734</v>
      </c>
      <c r="N2018" s="1" t="s">
        <v>26</v>
      </c>
      <c r="O2018" s="1">
        <f>IF(IFERROR(VLOOKUP(car_price_prediction_[[#This Row],[Car ID]],A2019:A4518,1,FALSE),0),1,0)</f>
        <v>0</v>
      </c>
    </row>
    <row r="2019" spans="1:15" x14ac:dyDescent="0.25">
      <c r="A2019">
        <v>2018</v>
      </c>
      <c r="B2019" s="1" t="s">
        <v>43</v>
      </c>
      <c r="C2019" s="1">
        <f>car_price_prediction_[[#This Row],[Year2]]</f>
        <v>2018</v>
      </c>
      <c r="D2019">
        <v>2018</v>
      </c>
      <c r="E2019">
        <f>car_price_prediction_[[#This Row],[Engine Size]]/10</f>
        <v>3.5</v>
      </c>
      <c r="F2019">
        <v>35</v>
      </c>
      <c r="G2019" s="1" t="s">
        <v>29</v>
      </c>
      <c r="H2019" s="1" t="s">
        <v>12</v>
      </c>
      <c r="I2019" s="12">
        <f>car_price_prediction_[[#This Row],[Mileage]]/1000</f>
        <v>294.81900000000002</v>
      </c>
      <c r="J2019" s="5">
        <v>294819</v>
      </c>
      <c r="K2019" s="1" t="s">
        <v>17</v>
      </c>
      <c r="L2019" s="5">
        <f>car_price_prediction_[[#This Row],[Price]]/100</f>
        <v>44500.57</v>
      </c>
      <c r="M2019">
        <v>4450057</v>
      </c>
      <c r="N2019" s="1" t="s">
        <v>50</v>
      </c>
      <c r="O2019" s="1">
        <f>IF(IFERROR(VLOOKUP(car_price_prediction_[[#This Row],[Car ID]],A2020:A4519,1,FALSE),0),1,0)</f>
        <v>0</v>
      </c>
    </row>
    <row r="2020" spans="1:15" x14ac:dyDescent="0.25">
      <c r="A2020">
        <v>2019</v>
      </c>
      <c r="B2020" s="1" t="s">
        <v>19</v>
      </c>
      <c r="C2020" s="1">
        <f>car_price_prediction_[[#This Row],[Year2]]</f>
        <v>2010</v>
      </c>
      <c r="D2020">
        <v>2010</v>
      </c>
      <c r="E2020">
        <f>car_price_prediction_[[#This Row],[Engine Size]]/10</f>
        <v>4.8</v>
      </c>
      <c r="F2020">
        <v>48</v>
      </c>
      <c r="G2020" s="1" t="s">
        <v>29</v>
      </c>
      <c r="H2020" s="1" t="s">
        <v>12</v>
      </c>
      <c r="I2020" s="12">
        <f>car_price_prediction_[[#This Row],[Mileage]]/1000</f>
        <v>22.007000000000001</v>
      </c>
      <c r="J2020" s="5">
        <v>22007</v>
      </c>
      <c r="K2020" s="1" t="s">
        <v>17</v>
      </c>
      <c r="L2020" s="5">
        <f>car_price_prediction_[[#This Row],[Price]]/100</f>
        <v>96651.49</v>
      </c>
      <c r="M2020">
        <v>9665149</v>
      </c>
      <c r="N2020" s="1" t="s">
        <v>28</v>
      </c>
      <c r="O2020" s="1">
        <f>IF(IFERROR(VLOOKUP(car_price_prediction_[[#This Row],[Car ID]],A2021:A4520,1,FALSE),0),1,0)</f>
        <v>0</v>
      </c>
    </row>
    <row r="2021" spans="1:15" x14ac:dyDescent="0.25">
      <c r="A2021">
        <v>2020</v>
      </c>
      <c r="B2021" s="1" t="s">
        <v>24</v>
      </c>
      <c r="C2021" s="1">
        <f>car_price_prediction_[[#This Row],[Year2]]</f>
        <v>2012</v>
      </c>
      <c r="D2021">
        <v>2012</v>
      </c>
      <c r="E2021">
        <f>car_price_prediction_[[#This Row],[Engine Size]]/10</f>
        <v>1.3</v>
      </c>
      <c r="F2021">
        <v>13</v>
      </c>
      <c r="G2021" s="1" t="s">
        <v>11</v>
      </c>
      <c r="H2021" s="1" t="s">
        <v>22</v>
      </c>
      <c r="I2021" s="12">
        <f>car_price_prediction_[[#This Row],[Mileage]]/1000</f>
        <v>113.80500000000001</v>
      </c>
      <c r="J2021" s="5">
        <v>113805</v>
      </c>
      <c r="K2021" s="1" t="s">
        <v>25</v>
      </c>
      <c r="L2021" s="5">
        <f>car_price_prediction_[[#This Row],[Price]]/100</f>
        <v>74824.66</v>
      </c>
      <c r="M2021">
        <v>7482466</v>
      </c>
      <c r="N2021" s="1" t="s">
        <v>32</v>
      </c>
      <c r="O2021" s="1">
        <f>IF(IFERROR(VLOOKUP(car_price_prediction_[[#This Row],[Car ID]],A2022:A4521,1,FALSE),0),1,0)</f>
        <v>0</v>
      </c>
    </row>
    <row r="2022" spans="1:15" x14ac:dyDescent="0.25">
      <c r="A2022">
        <v>2021</v>
      </c>
      <c r="B2022" s="1" t="s">
        <v>19</v>
      </c>
      <c r="C2022" s="1">
        <f>car_price_prediction_[[#This Row],[Year2]]</f>
        <v>2020</v>
      </c>
      <c r="D2022">
        <v>2020</v>
      </c>
      <c r="E2022">
        <f>car_price_prediction_[[#This Row],[Engine Size]]/10</f>
        <v>3.9</v>
      </c>
      <c r="F2022">
        <v>39</v>
      </c>
      <c r="G2022" s="1" t="s">
        <v>29</v>
      </c>
      <c r="H2022" s="1" t="s">
        <v>12</v>
      </c>
      <c r="I2022" s="12">
        <f>car_price_prediction_[[#This Row],[Mileage]]/1000</f>
        <v>95.814999999999998</v>
      </c>
      <c r="J2022" s="5">
        <v>95815</v>
      </c>
      <c r="K2022" s="1" t="s">
        <v>25</v>
      </c>
      <c r="L2022" s="5">
        <f>car_price_prediction_[[#This Row],[Price]]/100</f>
        <v>10876.84</v>
      </c>
      <c r="M2022">
        <v>1087684</v>
      </c>
      <c r="N2022" s="1" t="s">
        <v>20</v>
      </c>
      <c r="O2022" s="1">
        <f>IF(IFERROR(VLOOKUP(car_price_prediction_[[#This Row],[Car ID]],A2023:A4522,1,FALSE),0),1,0)</f>
        <v>0</v>
      </c>
    </row>
    <row r="2023" spans="1:15" x14ac:dyDescent="0.25">
      <c r="A2023">
        <v>2022</v>
      </c>
      <c r="B2023" s="1" t="s">
        <v>43</v>
      </c>
      <c r="C2023" s="1">
        <f>car_price_prediction_[[#This Row],[Year2]]</f>
        <v>2007</v>
      </c>
      <c r="D2023">
        <v>2007</v>
      </c>
      <c r="E2023">
        <f>car_price_prediction_[[#This Row],[Engine Size]]/10</f>
        <v>1.6</v>
      </c>
      <c r="F2023">
        <v>16</v>
      </c>
      <c r="G2023" s="1" t="s">
        <v>29</v>
      </c>
      <c r="H2023" s="1" t="s">
        <v>22</v>
      </c>
      <c r="I2023" s="12">
        <f>car_price_prediction_[[#This Row],[Mileage]]/1000</f>
        <v>262.78300000000002</v>
      </c>
      <c r="J2023" s="5">
        <v>262783</v>
      </c>
      <c r="K2023" s="1" t="s">
        <v>25</v>
      </c>
      <c r="L2023" s="5">
        <f>car_price_prediction_[[#This Row],[Price]]/100</f>
        <v>75739.990000000005</v>
      </c>
      <c r="M2023">
        <v>7573999</v>
      </c>
      <c r="N2023" s="1" t="s">
        <v>44</v>
      </c>
      <c r="O2023" s="1">
        <f>IF(IFERROR(VLOOKUP(car_price_prediction_[[#This Row],[Car ID]],A2024:A4523,1,FALSE),0),1,0)</f>
        <v>0</v>
      </c>
    </row>
    <row r="2024" spans="1:15" x14ac:dyDescent="0.25">
      <c r="A2024">
        <v>2023</v>
      </c>
      <c r="B2024" s="1" t="s">
        <v>19</v>
      </c>
      <c r="C2024" s="1">
        <f>car_price_prediction_[[#This Row],[Year2]]</f>
        <v>2007</v>
      </c>
      <c r="D2024">
        <v>2007</v>
      </c>
      <c r="E2024">
        <f>car_price_prediction_[[#This Row],[Engine Size]]/10</f>
        <v>1.2</v>
      </c>
      <c r="F2024">
        <v>12</v>
      </c>
      <c r="G2024" s="1" t="s">
        <v>29</v>
      </c>
      <c r="H2024" s="1" t="s">
        <v>12</v>
      </c>
      <c r="I2024" s="12">
        <f>car_price_prediction_[[#This Row],[Mileage]]/1000</f>
        <v>78.037999999999997</v>
      </c>
      <c r="J2024" s="5">
        <v>78038</v>
      </c>
      <c r="K2024" s="1" t="s">
        <v>13</v>
      </c>
      <c r="L2024" s="5">
        <f>car_price_prediction_[[#This Row],[Price]]/100</f>
        <v>7283.66</v>
      </c>
      <c r="M2024">
        <v>728366</v>
      </c>
      <c r="N2024" s="1" t="s">
        <v>20</v>
      </c>
      <c r="O2024" s="1">
        <f>IF(IFERROR(VLOOKUP(car_price_prediction_[[#This Row],[Car ID]],A2025:A4524,1,FALSE),0),1,0)</f>
        <v>0</v>
      </c>
    </row>
    <row r="2025" spans="1:15" x14ac:dyDescent="0.25">
      <c r="A2025">
        <v>2024</v>
      </c>
      <c r="B2025" s="1" t="s">
        <v>30</v>
      </c>
      <c r="C2025" s="1">
        <f>car_price_prediction_[[#This Row],[Year2]]</f>
        <v>2003</v>
      </c>
      <c r="D2025">
        <v>2003</v>
      </c>
      <c r="E2025">
        <f>car_price_prediction_[[#This Row],[Engine Size]]/10</f>
        <v>1.3</v>
      </c>
      <c r="F2025">
        <v>13</v>
      </c>
      <c r="G2025" s="1" t="s">
        <v>16</v>
      </c>
      <c r="H2025" s="1" t="s">
        <v>22</v>
      </c>
      <c r="I2025" s="12">
        <f>car_price_prediction_[[#This Row],[Mileage]]/1000</f>
        <v>265.88</v>
      </c>
      <c r="J2025" s="5">
        <v>265880</v>
      </c>
      <c r="K2025" s="1" t="s">
        <v>25</v>
      </c>
      <c r="L2025" s="5">
        <f>car_price_prediction_[[#This Row],[Price]]/100</f>
        <v>66780.72</v>
      </c>
      <c r="M2025">
        <v>6678072</v>
      </c>
      <c r="N2025" s="1" t="s">
        <v>45</v>
      </c>
      <c r="O2025" s="1">
        <f>IF(IFERROR(VLOOKUP(car_price_prediction_[[#This Row],[Car ID]],A2026:A4525,1,FALSE),0),1,0)</f>
        <v>0</v>
      </c>
    </row>
    <row r="2026" spans="1:15" x14ac:dyDescent="0.25">
      <c r="A2026">
        <v>2025</v>
      </c>
      <c r="B2026" s="1" t="s">
        <v>15</v>
      </c>
      <c r="C2026" s="1">
        <f>car_price_prediction_[[#This Row],[Year2]]</f>
        <v>2014</v>
      </c>
      <c r="D2026">
        <v>2014</v>
      </c>
      <c r="E2026">
        <f>car_price_prediction_[[#This Row],[Engine Size]]/10</f>
        <v>5.2</v>
      </c>
      <c r="F2026">
        <v>52</v>
      </c>
      <c r="G2026" s="1" t="s">
        <v>11</v>
      </c>
      <c r="H2026" s="1" t="s">
        <v>22</v>
      </c>
      <c r="I2026" s="12">
        <f>car_price_prediction_[[#This Row],[Mileage]]/1000</f>
        <v>253.506</v>
      </c>
      <c r="J2026" s="5">
        <v>253506</v>
      </c>
      <c r="K2026" s="1" t="s">
        <v>17</v>
      </c>
      <c r="L2026" s="5">
        <f>car_price_prediction_[[#This Row],[Price]]/100</f>
        <v>24995.87</v>
      </c>
      <c r="M2026">
        <v>2499587</v>
      </c>
      <c r="N2026" s="1" t="s">
        <v>18</v>
      </c>
      <c r="O2026" s="1">
        <f>IF(IFERROR(VLOOKUP(car_price_prediction_[[#This Row],[Car ID]],A2027:A4526,1,FALSE),0),1,0)</f>
        <v>0</v>
      </c>
    </row>
    <row r="2027" spans="1:15" x14ac:dyDescent="0.25">
      <c r="A2027">
        <v>2026</v>
      </c>
      <c r="B2027" s="1" t="s">
        <v>10</v>
      </c>
      <c r="C2027" s="1">
        <f>car_price_prediction_[[#This Row],[Year2]]</f>
        <v>2010</v>
      </c>
      <c r="D2027">
        <v>2010</v>
      </c>
      <c r="E2027">
        <f>car_price_prediction_[[#This Row],[Engine Size]]/10</f>
        <v>1.6</v>
      </c>
      <c r="F2027">
        <v>16</v>
      </c>
      <c r="G2027" s="1" t="s">
        <v>16</v>
      </c>
      <c r="H2027" s="1" t="s">
        <v>22</v>
      </c>
      <c r="I2027" s="12">
        <f>car_price_prediction_[[#This Row],[Mileage]]/1000</f>
        <v>16.472999999999999</v>
      </c>
      <c r="J2027" s="5">
        <v>16473</v>
      </c>
      <c r="K2027" s="1" t="s">
        <v>25</v>
      </c>
      <c r="L2027" s="5">
        <f>car_price_prediction_[[#This Row],[Price]]/100</f>
        <v>71162.009999999995</v>
      </c>
      <c r="M2027">
        <v>7116201</v>
      </c>
      <c r="N2027" s="1" t="s">
        <v>49</v>
      </c>
      <c r="O2027" s="1">
        <f>IF(IFERROR(VLOOKUP(car_price_prediction_[[#This Row],[Car ID]],A2028:A4527,1,FALSE),0),1,0)</f>
        <v>0</v>
      </c>
    </row>
    <row r="2028" spans="1:15" x14ac:dyDescent="0.25">
      <c r="A2028">
        <v>2027</v>
      </c>
      <c r="B2028" s="1" t="s">
        <v>24</v>
      </c>
      <c r="C2028" s="1">
        <f>car_price_prediction_[[#This Row],[Year2]]</f>
        <v>2010</v>
      </c>
      <c r="D2028">
        <v>2010</v>
      </c>
      <c r="E2028">
        <f>car_price_prediction_[[#This Row],[Engine Size]]/10</f>
        <v>1.2</v>
      </c>
      <c r="F2028">
        <v>12</v>
      </c>
      <c r="G2028" s="1" t="s">
        <v>11</v>
      </c>
      <c r="H2028" s="1" t="s">
        <v>22</v>
      </c>
      <c r="I2028" s="12">
        <f>car_price_prediction_[[#This Row],[Mileage]]/1000</f>
        <v>128.77099999999999</v>
      </c>
      <c r="J2028" s="5">
        <v>128771</v>
      </c>
      <c r="K2028" s="1" t="s">
        <v>25</v>
      </c>
      <c r="L2028" s="5">
        <f>car_price_prediction_[[#This Row],[Price]]/100</f>
        <v>34429.06</v>
      </c>
      <c r="M2028">
        <v>3442906</v>
      </c>
      <c r="N2028" s="1" t="s">
        <v>53</v>
      </c>
      <c r="O2028" s="1">
        <f>IF(IFERROR(VLOOKUP(car_price_prediction_[[#This Row],[Car ID]],A2029:A4528,1,FALSE),0),1,0)</f>
        <v>0</v>
      </c>
    </row>
    <row r="2029" spans="1:15" x14ac:dyDescent="0.25">
      <c r="A2029">
        <v>2028</v>
      </c>
      <c r="B2029" s="1" t="s">
        <v>36</v>
      </c>
      <c r="C2029" s="1">
        <f>car_price_prediction_[[#This Row],[Year2]]</f>
        <v>2000</v>
      </c>
      <c r="D2029">
        <v>2000</v>
      </c>
      <c r="E2029">
        <f>car_price_prediction_[[#This Row],[Engine Size]]/10</f>
        <v>3.2</v>
      </c>
      <c r="F2029">
        <v>32</v>
      </c>
      <c r="G2029" s="1" t="s">
        <v>21</v>
      </c>
      <c r="H2029" s="1" t="s">
        <v>12</v>
      </c>
      <c r="I2029" s="12">
        <f>car_price_prediction_[[#This Row],[Mileage]]/1000</f>
        <v>125.801</v>
      </c>
      <c r="J2029" s="5">
        <v>125801</v>
      </c>
      <c r="K2029" s="1" t="s">
        <v>17</v>
      </c>
      <c r="L2029" s="5">
        <f>car_price_prediction_[[#This Row],[Price]]/100</f>
        <v>8793.56</v>
      </c>
      <c r="M2029">
        <v>879356</v>
      </c>
      <c r="N2029" s="1" t="s">
        <v>46</v>
      </c>
      <c r="O2029" s="1">
        <f>IF(IFERROR(VLOOKUP(car_price_prediction_[[#This Row],[Car ID]],A2030:A4529,1,FALSE),0),1,0)</f>
        <v>0</v>
      </c>
    </row>
    <row r="2030" spans="1:15" x14ac:dyDescent="0.25">
      <c r="A2030">
        <v>2029</v>
      </c>
      <c r="B2030" s="1" t="s">
        <v>15</v>
      </c>
      <c r="C2030" s="1">
        <f>car_price_prediction_[[#This Row],[Year2]]</f>
        <v>2016</v>
      </c>
      <c r="D2030">
        <v>2016</v>
      </c>
      <c r="E2030">
        <f>car_price_prediction_[[#This Row],[Engine Size]]/10</f>
        <v>5.2</v>
      </c>
      <c r="F2030">
        <v>52</v>
      </c>
      <c r="G2030" s="1" t="s">
        <v>16</v>
      </c>
      <c r="H2030" s="1" t="s">
        <v>22</v>
      </c>
      <c r="I2030" s="12">
        <f>car_price_prediction_[[#This Row],[Mileage]]/1000</f>
        <v>86.623000000000005</v>
      </c>
      <c r="J2030" s="5">
        <v>86623</v>
      </c>
      <c r="K2030" s="1" t="s">
        <v>25</v>
      </c>
      <c r="L2030" s="5">
        <f>car_price_prediction_[[#This Row],[Price]]/100</f>
        <v>37006.81</v>
      </c>
      <c r="M2030">
        <v>3700681</v>
      </c>
      <c r="N2030" s="1" t="s">
        <v>35</v>
      </c>
      <c r="O2030" s="1">
        <f>IF(IFERROR(VLOOKUP(car_price_prediction_[[#This Row],[Car ID]],A2031:A4530,1,FALSE),0),1,0)</f>
        <v>0</v>
      </c>
    </row>
    <row r="2031" spans="1:15" x14ac:dyDescent="0.25">
      <c r="A2031">
        <v>2030</v>
      </c>
      <c r="B2031" s="1" t="s">
        <v>10</v>
      </c>
      <c r="C2031" s="1">
        <f>car_price_prediction_[[#This Row],[Year2]]</f>
        <v>2014</v>
      </c>
      <c r="D2031">
        <v>2014</v>
      </c>
      <c r="E2031">
        <f>car_price_prediction_[[#This Row],[Engine Size]]/10</f>
        <v>2.2999999999999998</v>
      </c>
      <c r="F2031">
        <v>23</v>
      </c>
      <c r="G2031" s="1" t="s">
        <v>21</v>
      </c>
      <c r="H2031" s="1" t="s">
        <v>22</v>
      </c>
      <c r="I2031" s="12">
        <f>car_price_prediction_[[#This Row],[Mileage]]/1000</f>
        <v>225.09700000000001</v>
      </c>
      <c r="J2031" s="5">
        <v>225097</v>
      </c>
      <c r="K2031" s="1" t="s">
        <v>13</v>
      </c>
      <c r="L2031" s="5">
        <f>car_price_prediction_[[#This Row],[Price]]/100</f>
        <v>63871.11</v>
      </c>
      <c r="M2031">
        <v>6387111</v>
      </c>
      <c r="N2031" s="1" t="s">
        <v>49</v>
      </c>
      <c r="O2031" s="1">
        <f>IF(IFERROR(VLOOKUP(car_price_prediction_[[#This Row],[Car ID]],A2032:A4531,1,FALSE),0),1,0)</f>
        <v>0</v>
      </c>
    </row>
    <row r="2032" spans="1:15" x14ac:dyDescent="0.25">
      <c r="A2032">
        <v>2031</v>
      </c>
      <c r="B2032" s="1" t="s">
        <v>19</v>
      </c>
      <c r="C2032" s="1">
        <f>car_price_prediction_[[#This Row],[Year2]]</f>
        <v>2019</v>
      </c>
      <c r="D2032">
        <v>2019</v>
      </c>
      <c r="E2032">
        <f>car_price_prediction_[[#This Row],[Engine Size]]/10</f>
        <v>3.1</v>
      </c>
      <c r="F2032">
        <v>31</v>
      </c>
      <c r="G2032" s="1" t="s">
        <v>29</v>
      </c>
      <c r="H2032" s="1" t="s">
        <v>22</v>
      </c>
      <c r="I2032" s="12">
        <f>car_price_prediction_[[#This Row],[Mileage]]/1000</f>
        <v>298.964</v>
      </c>
      <c r="J2032" s="5">
        <v>298964</v>
      </c>
      <c r="K2032" s="1" t="s">
        <v>25</v>
      </c>
      <c r="L2032" s="5">
        <f>car_price_prediction_[[#This Row],[Price]]/100</f>
        <v>32163.119999999999</v>
      </c>
      <c r="M2032">
        <v>3216312</v>
      </c>
      <c r="N2032" s="1" t="s">
        <v>20</v>
      </c>
      <c r="O2032" s="1">
        <f>IF(IFERROR(VLOOKUP(car_price_prediction_[[#This Row],[Car ID]],A2033:A4532,1,FALSE),0),1,0)</f>
        <v>0</v>
      </c>
    </row>
    <row r="2033" spans="1:15" x14ac:dyDescent="0.25">
      <c r="A2033">
        <v>2032</v>
      </c>
      <c r="B2033" s="1" t="s">
        <v>24</v>
      </c>
      <c r="C2033" s="1">
        <f>car_price_prediction_[[#This Row],[Year2]]</f>
        <v>2005</v>
      </c>
      <c r="D2033">
        <v>2005</v>
      </c>
      <c r="E2033">
        <f>car_price_prediction_[[#This Row],[Engine Size]]/10</f>
        <v>1.2</v>
      </c>
      <c r="F2033">
        <v>12</v>
      </c>
      <c r="G2033" s="1" t="s">
        <v>21</v>
      </c>
      <c r="H2033" s="1" t="s">
        <v>12</v>
      </c>
      <c r="I2033" s="12">
        <f>car_price_prediction_[[#This Row],[Mileage]]/1000</f>
        <v>215.93299999999999</v>
      </c>
      <c r="J2033" s="5">
        <v>215933</v>
      </c>
      <c r="K2033" s="1" t="s">
        <v>13</v>
      </c>
      <c r="L2033" s="5">
        <f>car_price_prediction_[[#This Row],[Price]]/100</f>
        <v>92136.05</v>
      </c>
      <c r="M2033">
        <v>9213605</v>
      </c>
      <c r="N2033" s="1" t="s">
        <v>34</v>
      </c>
      <c r="O2033" s="1">
        <f>IF(IFERROR(VLOOKUP(car_price_prediction_[[#This Row],[Car ID]],A2034:A4533,1,FALSE),0),1,0)</f>
        <v>0</v>
      </c>
    </row>
    <row r="2034" spans="1:15" x14ac:dyDescent="0.25">
      <c r="A2034">
        <v>2033</v>
      </c>
      <c r="B2034" s="1" t="s">
        <v>19</v>
      </c>
      <c r="C2034" s="1">
        <f>car_price_prediction_[[#This Row],[Year2]]</f>
        <v>2023</v>
      </c>
      <c r="D2034">
        <v>2023</v>
      </c>
      <c r="E2034">
        <f>car_price_prediction_[[#This Row],[Engine Size]]/10</f>
        <v>3.2</v>
      </c>
      <c r="F2034">
        <v>32</v>
      </c>
      <c r="G2034" s="1" t="s">
        <v>21</v>
      </c>
      <c r="H2034" s="1" t="s">
        <v>12</v>
      </c>
      <c r="I2034" s="12">
        <f>car_price_prediction_[[#This Row],[Mileage]]/1000</f>
        <v>196.87899999999999</v>
      </c>
      <c r="J2034" s="5">
        <v>196879</v>
      </c>
      <c r="K2034" s="1" t="s">
        <v>13</v>
      </c>
      <c r="L2034" s="5">
        <f>car_price_prediction_[[#This Row],[Price]]/100</f>
        <v>79194.62</v>
      </c>
      <c r="M2034">
        <v>7919462</v>
      </c>
      <c r="N2034" s="1" t="s">
        <v>28</v>
      </c>
      <c r="O2034" s="1">
        <f>IF(IFERROR(VLOOKUP(car_price_prediction_[[#This Row],[Car ID]],A2035:A4534,1,FALSE),0),1,0)</f>
        <v>0</v>
      </c>
    </row>
    <row r="2035" spans="1:15" x14ac:dyDescent="0.25">
      <c r="A2035">
        <v>2034</v>
      </c>
      <c r="B2035" s="1" t="s">
        <v>30</v>
      </c>
      <c r="C2035" s="1">
        <f>car_price_prediction_[[#This Row],[Year2]]</f>
        <v>2021</v>
      </c>
      <c r="D2035">
        <v>2021</v>
      </c>
      <c r="E2035">
        <f>car_price_prediction_[[#This Row],[Engine Size]]/10</f>
        <v>3.9</v>
      </c>
      <c r="F2035">
        <v>39</v>
      </c>
      <c r="G2035" s="1" t="s">
        <v>21</v>
      </c>
      <c r="H2035" s="1" t="s">
        <v>12</v>
      </c>
      <c r="I2035" s="12">
        <f>car_price_prediction_[[#This Row],[Mileage]]/1000</f>
        <v>280.55799999999999</v>
      </c>
      <c r="J2035" s="5">
        <v>280558</v>
      </c>
      <c r="K2035" s="1" t="s">
        <v>13</v>
      </c>
      <c r="L2035" s="5">
        <f>car_price_prediction_[[#This Row],[Price]]/100</f>
        <v>28113.77</v>
      </c>
      <c r="M2035">
        <v>2811377</v>
      </c>
      <c r="N2035" s="1" t="s">
        <v>48</v>
      </c>
      <c r="O2035" s="1">
        <f>IF(IFERROR(VLOOKUP(car_price_prediction_[[#This Row],[Car ID]],A2036:A4535,1,FALSE),0),1,0)</f>
        <v>0</v>
      </c>
    </row>
    <row r="2036" spans="1:15" x14ac:dyDescent="0.25">
      <c r="A2036">
        <v>2035</v>
      </c>
      <c r="B2036" s="1" t="s">
        <v>43</v>
      </c>
      <c r="C2036" s="1">
        <f>car_price_prediction_[[#This Row],[Year2]]</f>
        <v>2014</v>
      </c>
      <c r="D2036">
        <v>2014</v>
      </c>
      <c r="E2036">
        <f>car_price_prediction_[[#This Row],[Engine Size]]/10</f>
        <v>3.9</v>
      </c>
      <c r="F2036">
        <v>39</v>
      </c>
      <c r="G2036" s="1" t="s">
        <v>21</v>
      </c>
      <c r="H2036" s="1" t="s">
        <v>12</v>
      </c>
      <c r="I2036" s="12">
        <f>car_price_prediction_[[#This Row],[Mileage]]/1000</f>
        <v>24.22</v>
      </c>
      <c r="J2036" s="5">
        <v>24220</v>
      </c>
      <c r="K2036" s="1" t="s">
        <v>17</v>
      </c>
      <c r="L2036" s="5">
        <f>car_price_prediction_[[#This Row],[Price]]/100</f>
        <v>95135.69</v>
      </c>
      <c r="M2036">
        <v>9513569</v>
      </c>
      <c r="N2036" s="1" t="s">
        <v>52</v>
      </c>
      <c r="O2036" s="1">
        <f>IF(IFERROR(VLOOKUP(car_price_prediction_[[#This Row],[Car ID]],A2037:A4536,1,FALSE),0),1,0)</f>
        <v>0</v>
      </c>
    </row>
    <row r="2037" spans="1:15" x14ac:dyDescent="0.25">
      <c r="A2037">
        <v>2036</v>
      </c>
      <c r="B2037" s="1" t="s">
        <v>24</v>
      </c>
      <c r="C2037" s="1">
        <f>car_price_prediction_[[#This Row],[Year2]]</f>
        <v>2008</v>
      </c>
      <c r="D2037">
        <v>2008</v>
      </c>
      <c r="E2037">
        <f>car_price_prediction_[[#This Row],[Engine Size]]/10</f>
        <v>2.7</v>
      </c>
      <c r="F2037">
        <v>27</v>
      </c>
      <c r="G2037" s="1" t="s">
        <v>11</v>
      </c>
      <c r="H2037" s="1" t="s">
        <v>12</v>
      </c>
      <c r="I2037" s="12">
        <f>car_price_prediction_[[#This Row],[Mileage]]/1000</f>
        <v>60.530999999999999</v>
      </c>
      <c r="J2037" s="5">
        <v>60531</v>
      </c>
      <c r="K2037" s="1" t="s">
        <v>25</v>
      </c>
      <c r="L2037" s="5">
        <f>car_price_prediction_[[#This Row],[Price]]/100</f>
        <v>38929.97</v>
      </c>
      <c r="M2037">
        <v>3892997</v>
      </c>
      <c r="N2037" s="1" t="s">
        <v>53</v>
      </c>
      <c r="O2037" s="1">
        <f>IF(IFERROR(VLOOKUP(car_price_prediction_[[#This Row],[Car ID]],A2038:A4537,1,FALSE),0),1,0)</f>
        <v>0</v>
      </c>
    </row>
    <row r="2038" spans="1:15" x14ac:dyDescent="0.25">
      <c r="A2038">
        <v>2037</v>
      </c>
      <c r="B2038" s="1" t="s">
        <v>10</v>
      </c>
      <c r="C2038" s="1">
        <f>car_price_prediction_[[#This Row],[Year2]]</f>
        <v>2013</v>
      </c>
      <c r="D2038">
        <v>2013</v>
      </c>
      <c r="E2038">
        <f>car_price_prediction_[[#This Row],[Engine Size]]/10</f>
        <v>2.6</v>
      </c>
      <c r="F2038">
        <v>26</v>
      </c>
      <c r="G2038" s="1" t="s">
        <v>16</v>
      </c>
      <c r="H2038" s="1" t="s">
        <v>12</v>
      </c>
      <c r="I2038" s="12">
        <f>car_price_prediction_[[#This Row],[Mileage]]/1000</f>
        <v>173.49700000000001</v>
      </c>
      <c r="J2038" s="5">
        <v>173497</v>
      </c>
      <c r="K2038" s="1" t="s">
        <v>13</v>
      </c>
      <c r="L2038" s="5">
        <f>car_price_prediction_[[#This Row],[Price]]/100</f>
        <v>66927.17</v>
      </c>
      <c r="M2038">
        <v>6692717</v>
      </c>
      <c r="N2038" s="1" t="s">
        <v>14</v>
      </c>
      <c r="O2038" s="1">
        <f>IF(IFERROR(VLOOKUP(car_price_prediction_[[#This Row],[Car ID]],A2039:A4538,1,FALSE),0),1,0)</f>
        <v>0</v>
      </c>
    </row>
    <row r="2039" spans="1:15" x14ac:dyDescent="0.25">
      <c r="A2039">
        <v>2038</v>
      </c>
      <c r="B2039" s="1" t="s">
        <v>10</v>
      </c>
      <c r="C2039" s="1">
        <f>car_price_prediction_[[#This Row],[Year2]]</f>
        <v>2017</v>
      </c>
      <c r="D2039">
        <v>2017</v>
      </c>
      <c r="E2039">
        <f>car_price_prediction_[[#This Row],[Engine Size]]/10</f>
        <v>1.5</v>
      </c>
      <c r="F2039">
        <v>15</v>
      </c>
      <c r="G2039" s="1" t="s">
        <v>11</v>
      </c>
      <c r="H2039" s="1" t="s">
        <v>22</v>
      </c>
      <c r="I2039" s="12">
        <f>car_price_prediction_[[#This Row],[Mileage]]/1000</f>
        <v>9.3870000000000005</v>
      </c>
      <c r="J2039" s="5">
        <v>9387</v>
      </c>
      <c r="K2039" s="1" t="s">
        <v>13</v>
      </c>
      <c r="L2039" s="5">
        <f>car_price_prediction_[[#This Row],[Price]]/100</f>
        <v>75571.06</v>
      </c>
      <c r="M2039">
        <v>7557106</v>
      </c>
      <c r="N2039" s="1" t="s">
        <v>23</v>
      </c>
      <c r="O2039" s="1">
        <f>IF(IFERROR(VLOOKUP(car_price_prediction_[[#This Row],[Car ID]],A2040:A4539,1,FALSE),0),1,0)</f>
        <v>0</v>
      </c>
    </row>
    <row r="2040" spans="1:15" x14ac:dyDescent="0.25">
      <c r="A2040">
        <v>2039</v>
      </c>
      <c r="B2040" s="1" t="s">
        <v>30</v>
      </c>
      <c r="C2040" s="1">
        <f>car_price_prediction_[[#This Row],[Year2]]</f>
        <v>2016</v>
      </c>
      <c r="D2040">
        <v>2016</v>
      </c>
      <c r="E2040">
        <f>car_price_prediction_[[#This Row],[Engine Size]]/10</f>
        <v>2.8</v>
      </c>
      <c r="F2040">
        <v>28</v>
      </c>
      <c r="G2040" s="1" t="s">
        <v>11</v>
      </c>
      <c r="H2040" s="1" t="s">
        <v>22</v>
      </c>
      <c r="I2040" s="12">
        <f>car_price_prediction_[[#This Row],[Mileage]]/1000</f>
        <v>245.75200000000001</v>
      </c>
      <c r="J2040" s="5">
        <v>245752</v>
      </c>
      <c r="K2040" s="1" t="s">
        <v>25</v>
      </c>
      <c r="L2040" s="5">
        <f>car_price_prediction_[[#This Row],[Price]]/100</f>
        <v>7175.71</v>
      </c>
      <c r="M2040">
        <v>717571</v>
      </c>
      <c r="N2040" s="1" t="s">
        <v>48</v>
      </c>
      <c r="O2040" s="1">
        <f>IF(IFERROR(VLOOKUP(car_price_prediction_[[#This Row],[Car ID]],A2041:A4540,1,FALSE),0),1,0)</f>
        <v>0</v>
      </c>
    </row>
    <row r="2041" spans="1:15" x14ac:dyDescent="0.25">
      <c r="A2041">
        <v>2040</v>
      </c>
      <c r="B2041" s="1" t="s">
        <v>30</v>
      </c>
      <c r="C2041" s="1">
        <f>car_price_prediction_[[#This Row],[Year2]]</f>
        <v>2017</v>
      </c>
      <c r="D2041">
        <v>2017</v>
      </c>
      <c r="E2041">
        <f>car_price_prediction_[[#This Row],[Engine Size]]/10</f>
        <v>1.5</v>
      </c>
      <c r="F2041">
        <v>15</v>
      </c>
      <c r="G2041" s="1" t="s">
        <v>11</v>
      </c>
      <c r="H2041" s="1" t="s">
        <v>22</v>
      </c>
      <c r="I2041" s="12">
        <f>car_price_prediction_[[#This Row],[Mileage]]/1000</f>
        <v>76.814999999999998</v>
      </c>
      <c r="J2041" s="5">
        <v>76815</v>
      </c>
      <c r="K2041" s="1" t="s">
        <v>17</v>
      </c>
      <c r="L2041" s="5">
        <f>car_price_prediction_[[#This Row],[Price]]/100</f>
        <v>9610.19</v>
      </c>
      <c r="M2041">
        <v>961019</v>
      </c>
      <c r="N2041" s="1" t="s">
        <v>48</v>
      </c>
      <c r="O2041" s="1">
        <f>IF(IFERROR(VLOOKUP(car_price_prediction_[[#This Row],[Car ID]],A2042:A4541,1,FALSE),0),1,0)</f>
        <v>0</v>
      </c>
    </row>
    <row r="2042" spans="1:15" x14ac:dyDescent="0.25">
      <c r="A2042">
        <v>2041</v>
      </c>
      <c r="B2042" s="1" t="s">
        <v>24</v>
      </c>
      <c r="C2042" s="1">
        <f>car_price_prediction_[[#This Row],[Year2]]</f>
        <v>2004</v>
      </c>
      <c r="D2042">
        <v>2004</v>
      </c>
      <c r="E2042">
        <f>car_price_prediction_[[#This Row],[Engine Size]]/10</f>
        <v>4.8</v>
      </c>
      <c r="F2042">
        <v>48</v>
      </c>
      <c r="G2042" s="1" t="s">
        <v>21</v>
      </c>
      <c r="H2042" s="1" t="s">
        <v>12</v>
      </c>
      <c r="I2042" s="12">
        <f>car_price_prediction_[[#This Row],[Mileage]]/1000</f>
        <v>27.584</v>
      </c>
      <c r="J2042" s="5">
        <v>27584</v>
      </c>
      <c r="K2042" s="1" t="s">
        <v>17</v>
      </c>
      <c r="L2042" s="5">
        <f>car_price_prediction_[[#This Row],[Price]]/100</f>
        <v>37721.919999999998</v>
      </c>
      <c r="M2042">
        <v>3772192</v>
      </c>
      <c r="N2042" s="1" t="s">
        <v>32</v>
      </c>
      <c r="O2042" s="1">
        <f>IF(IFERROR(VLOOKUP(car_price_prediction_[[#This Row],[Car ID]],A2043:A4542,1,FALSE),0),1,0)</f>
        <v>0</v>
      </c>
    </row>
    <row r="2043" spans="1:15" x14ac:dyDescent="0.25">
      <c r="A2043">
        <v>2042</v>
      </c>
      <c r="B2043" s="1" t="s">
        <v>19</v>
      </c>
      <c r="C2043" s="1">
        <f>car_price_prediction_[[#This Row],[Year2]]</f>
        <v>2019</v>
      </c>
      <c r="D2043">
        <v>2019</v>
      </c>
      <c r="E2043">
        <f>car_price_prediction_[[#This Row],[Engine Size]]/10</f>
        <v>5.8</v>
      </c>
      <c r="F2043">
        <v>58</v>
      </c>
      <c r="G2043" s="1" t="s">
        <v>11</v>
      </c>
      <c r="H2043" s="1" t="s">
        <v>22</v>
      </c>
      <c r="I2043" s="12">
        <f>car_price_prediction_[[#This Row],[Mileage]]/1000</f>
        <v>44.783000000000001</v>
      </c>
      <c r="J2043" s="5">
        <v>44783</v>
      </c>
      <c r="K2043" s="1" t="s">
        <v>13</v>
      </c>
      <c r="L2043" s="5">
        <f>car_price_prediction_[[#This Row],[Price]]/100</f>
        <v>23028.99</v>
      </c>
      <c r="M2043">
        <v>2302899</v>
      </c>
      <c r="N2043" s="1" t="s">
        <v>27</v>
      </c>
      <c r="O2043" s="1">
        <f>IF(IFERROR(VLOOKUP(car_price_prediction_[[#This Row],[Car ID]],A2044:A4543,1,FALSE),0),1,0)</f>
        <v>0</v>
      </c>
    </row>
    <row r="2044" spans="1:15" x14ac:dyDescent="0.25">
      <c r="A2044">
        <v>2043</v>
      </c>
      <c r="B2044" s="1" t="s">
        <v>36</v>
      </c>
      <c r="C2044" s="1">
        <f>car_price_prediction_[[#This Row],[Year2]]</f>
        <v>2019</v>
      </c>
      <c r="D2044">
        <v>2019</v>
      </c>
      <c r="E2044">
        <f>car_price_prediction_[[#This Row],[Engine Size]]/10</f>
        <v>5.9</v>
      </c>
      <c r="F2044">
        <v>59</v>
      </c>
      <c r="G2044" s="1" t="s">
        <v>16</v>
      </c>
      <c r="H2044" s="1" t="s">
        <v>22</v>
      </c>
      <c r="I2044" s="12">
        <f>car_price_prediction_[[#This Row],[Mileage]]/1000</f>
        <v>170.881</v>
      </c>
      <c r="J2044" s="5">
        <v>170881</v>
      </c>
      <c r="K2044" s="1" t="s">
        <v>17</v>
      </c>
      <c r="L2044" s="5">
        <f>car_price_prediction_[[#This Row],[Price]]/100</f>
        <v>85817.24</v>
      </c>
      <c r="M2044">
        <v>8581724</v>
      </c>
      <c r="N2044" s="1" t="s">
        <v>41</v>
      </c>
      <c r="O2044" s="1">
        <f>IF(IFERROR(VLOOKUP(car_price_prediction_[[#This Row],[Car ID]],A2045:A4544,1,FALSE),0),1,0)</f>
        <v>0</v>
      </c>
    </row>
    <row r="2045" spans="1:15" x14ac:dyDescent="0.25">
      <c r="A2045">
        <v>2044</v>
      </c>
      <c r="B2045" s="1" t="s">
        <v>10</v>
      </c>
      <c r="C2045" s="1">
        <f>car_price_prediction_[[#This Row],[Year2]]</f>
        <v>2008</v>
      </c>
      <c r="D2045">
        <v>2008</v>
      </c>
      <c r="E2045">
        <f>car_price_prediction_[[#This Row],[Engine Size]]/10</f>
        <v>5.3</v>
      </c>
      <c r="F2045">
        <v>53</v>
      </c>
      <c r="G2045" s="1" t="s">
        <v>11</v>
      </c>
      <c r="H2045" s="1" t="s">
        <v>12</v>
      </c>
      <c r="I2045" s="12">
        <f>car_price_prediction_[[#This Row],[Mileage]]/1000</f>
        <v>185.399</v>
      </c>
      <c r="J2045" s="5">
        <v>185399</v>
      </c>
      <c r="K2045" s="1" t="s">
        <v>25</v>
      </c>
      <c r="L2045" s="5">
        <f>car_price_prediction_[[#This Row],[Price]]/100</f>
        <v>71775.429999999993</v>
      </c>
      <c r="M2045">
        <v>7177543</v>
      </c>
      <c r="N2045" s="1" t="s">
        <v>23</v>
      </c>
      <c r="O2045" s="1">
        <f>IF(IFERROR(VLOOKUP(car_price_prediction_[[#This Row],[Car ID]],A2046:A4545,1,FALSE),0),1,0)</f>
        <v>0</v>
      </c>
    </row>
    <row r="2046" spans="1:15" x14ac:dyDescent="0.25">
      <c r="A2046">
        <v>2045</v>
      </c>
      <c r="B2046" s="1" t="s">
        <v>10</v>
      </c>
      <c r="C2046" s="1">
        <f>car_price_prediction_[[#This Row],[Year2]]</f>
        <v>2010</v>
      </c>
      <c r="D2046">
        <v>2010</v>
      </c>
      <c r="E2046">
        <f>car_price_prediction_[[#This Row],[Engine Size]]/10</f>
        <v>4</v>
      </c>
      <c r="F2046">
        <v>40</v>
      </c>
      <c r="G2046" s="1" t="s">
        <v>29</v>
      </c>
      <c r="H2046" s="1" t="s">
        <v>22</v>
      </c>
      <c r="I2046" s="12">
        <f>car_price_prediction_[[#This Row],[Mileage]]/1000</f>
        <v>124.494</v>
      </c>
      <c r="J2046" s="5">
        <v>124494</v>
      </c>
      <c r="K2046" s="1" t="s">
        <v>17</v>
      </c>
      <c r="L2046" s="5">
        <f>car_price_prediction_[[#This Row],[Price]]/100</f>
        <v>13240.61</v>
      </c>
      <c r="M2046">
        <v>1324061</v>
      </c>
      <c r="N2046" s="1" t="s">
        <v>49</v>
      </c>
      <c r="O2046" s="1">
        <f>IF(IFERROR(VLOOKUP(car_price_prediction_[[#This Row],[Car ID]],A2047:A4546,1,FALSE),0),1,0)</f>
        <v>0</v>
      </c>
    </row>
    <row r="2047" spans="1:15" x14ac:dyDescent="0.25">
      <c r="A2047">
        <v>2046</v>
      </c>
      <c r="B2047" s="1" t="s">
        <v>30</v>
      </c>
      <c r="C2047" s="1">
        <f>car_price_prediction_[[#This Row],[Year2]]</f>
        <v>2023</v>
      </c>
      <c r="D2047">
        <v>2023</v>
      </c>
      <c r="E2047">
        <f>car_price_prediction_[[#This Row],[Engine Size]]/10</f>
        <v>4.5</v>
      </c>
      <c r="F2047">
        <v>45</v>
      </c>
      <c r="G2047" s="1" t="s">
        <v>21</v>
      </c>
      <c r="H2047" s="1" t="s">
        <v>12</v>
      </c>
      <c r="I2047" s="12">
        <f>car_price_prediction_[[#This Row],[Mileage]]/1000</f>
        <v>115.81399999999999</v>
      </c>
      <c r="J2047" s="5">
        <v>115814</v>
      </c>
      <c r="K2047" s="1" t="s">
        <v>25</v>
      </c>
      <c r="L2047" s="5">
        <f>car_price_prediction_[[#This Row],[Price]]/100</f>
        <v>16119.24</v>
      </c>
      <c r="M2047">
        <v>1611924</v>
      </c>
      <c r="N2047" s="1" t="s">
        <v>31</v>
      </c>
      <c r="O2047" s="1">
        <f>IF(IFERROR(VLOOKUP(car_price_prediction_[[#This Row],[Car ID]],A2048:A4547,1,FALSE),0),1,0)</f>
        <v>0</v>
      </c>
    </row>
    <row r="2048" spans="1:15" x14ac:dyDescent="0.25">
      <c r="A2048">
        <v>2047</v>
      </c>
      <c r="B2048" s="1" t="s">
        <v>15</v>
      </c>
      <c r="C2048" s="1">
        <f>car_price_prediction_[[#This Row],[Year2]]</f>
        <v>2021</v>
      </c>
      <c r="D2048">
        <v>2021</v>
      </c>
      <c r="E2048">
        <f>car_price_prediction_[[#This Row],[Engine Size]]/10</f>
        <v>2.4</v>
      </c>
      <c r="F2048">
        <v>24</v>
      </c>
      <c r="G2048" s="1" t="s">
        <v>29</v>
      </c>
      <c r="H2048" s="1" t="s">
        <v>22</v>
      </c>
      <c r="I2048" s="12">
        <f>car_price_prediction_[[#This Row],[Mileage]]/1000</f>
        <v>250.13900000000001</v>
      </c>
      <c r="J2048" s="5">
        <v>250139</v>
      </c>
      <c r="K2048" s="1" t="s">
        <v>13</v>
      </c>
      <c r="L2048" s="5">
        <f>car_price_prediction_[[#This Row],[Price]]/100</f>
        <v>72943.23</v>
      </c>
      <c r="M2048">
        <v>7294323</v>
      </c>
      <c r="N2048" s="1" t="s">
        <v>35</v>
      </c>
      <c r="O2048" s="1">
        <f>IF(IFERROR(VLOOKUP(car_price_prediction_[[#This Row],[Car ID]],A2049:A4548,1,FALSE),0),1,0)</f>
        <v>0</v>
      </c>
    </row>
    <row r="2049" spans="1:15" x14ac:dyDescent="0.25">
      <c r="A2049">
        <v>2048</v>
      </c>
      <c r="B2049" s="1" t="s">
        <v>30</v>
      </c>
      <c r="C2049" s="1">
        <f>car_price_prediction_[[#This Row],[Year2]]</f>
        <v>2000</v>
      </c>
      <c r="D2049">
        <v>2000</v>
      </c>
      <c r="E2049">
        <f>car_price_prediction_[[#This Row],[Engine Size]]/10</f>
        <v>4.2</v>
      </c>
      <c r="F2049">
        <v>42</v>
      </c>
      <c r="G2049" s="1" t="s">
        <v>16</v>
      </c>
      <c r="H2049" s="1" t="s">
        <v>12</v>
      </c>
      <c r="I2049" s="12">
        <f>car_price_prediction_[[#This Row],[Mileage]]/1000</f>
        <v>141.929</v>
      </c>
      <c r="J2049" s="5">
        <v>141929</v>
      </c>
      <c r="K2049" s="1" t="s">
        <v>25</v>
      </c>
      <c r="L2049" s="5">
        <f>car_price_prediction_[[#This Row],[Price]]/100</f>
        <v>12104.41</v>
      </c>
      <c r="M2049">
        <v>1210441</v>
      </c>
      <c r="N2049" s="1" t="s">
        <v>42</v>
      </c>
      <c r="O2049" s="1">
        <f>IF(IFERROR(VLOOKUP(car_price_prediction_[[#This Row],[Car ID]],A2050:A4549,1,FALSE),0),1,0)</f>
        <v>0</v>
      </c>
    </row>
    <row r="2050" spans="1:15" x14ac:dyDescent="0.25">
      <c r="A2050">
        <v>2049</v>
      </c>
      <c r="B2050" s="1" t="s">
        <v>36</v>
      </c>
      <c r="C2050" s="1">
        <f>car_price_prediction_[[#This Row],[Year2]]</f>
        <v>2017</v>
      </c>
      <c r="D2050">
        <v>2017</v>
      </c>
      <c r="E2050">
        <f>car_price_prediction_[[#This Row],[Engine Size]]/10</f>
        <v>3.3</v>
      </c>
      <c r="F2050">
        <v>33</v>
      </c>
      <c r="G2050" s="1" t="s">
        <v>16</v>
      </c>
      <c r="H2050" s="1" t="s">
        <v>12</v>
      </c>
      <c r="I2050" s="12">
        <f>car_price_prediction_[[#This Row],[Mileage]]/1000</f>
        <v>173.333</v>
      </c>
      <c r="J2050" s="5">
        <v>173333</v>
      </c>
      <c r="K2050" s="1" t="s">
        <v>13</v>
      </c>
      <c r="L2050" s="5">
        <f>car_price_prediction_[[#This Row],[Price]]/100</f>
        <v>92131.67</v>
      </c>
      <c r="M2050">
        <v>9213167</v>
      </c>
      <c r="N2050" s="1" t="s">
        <v>41</v>
      </c>
      <c r="O2050" s="1">
        <f>IF(IFERROR(VLOOKUP(car_price_prediction_[[#This Row],[Car ID]],A2051:A4550,1,FALSE),0),1,0)</f>
        <v>0</v>
      </c>
    </row>
    <row r="2051" spans="1:15" x14ac:dyDescent="0.25">
      <c r="A2051">
        <v>2050</v>
      </c>
      <c r="B2051" s="1" t="s">
        <v>19</v>
      </c>
      <c r="C2051" s="1">
        <f>car_price_prediction_[[#This Row],[Year2]]</f>
        <v>2005</v>
      </c>
      <c r="D2051">
        <v>2005</v>
      </c>
      <c r="E2051">
        <f>car_price_prediction_[[#This Row],[Engine Size]]/10</f>
        <v>3.4</v>
      </c>
      <c r="F2051">
        <v>34</v>
      </c>
      <c r="G2051" s="1" t="s">
        <v>16</v>
      </c>
      <c r="H2051" s="1" t="s">
        <v>12</v>
      </c>
      <c r="I2051" s="12">
        <f>car_price_prediction_[[#This Row],[Mileage]]/1000</f>
        <v>246.50899999999999</v>
      </c>
      <c r="J2051" s="5">
        <v>246509</v>
      </c>
      <c r="K2051" s="1" t="s">
        <v>25</v>
      </c>
      <c r="L2051" s="5">
        <f>car_price_prediction_[[#This Row],[Price]]/100</f>
        <v>75446.31</v>
      </c>
      <c r="M2051">
        <v>7544631</v>
      </c>
      <c r="N2051" s="1" t="s">
        <v>28</v>
      </c>
      <c r="O2051" s="1">
        <f>IF(IFERROR(VLOOKUP(car_price_prediction_[[#This Row],[Car ID]],A2052:A4551,1,FALSE),0),1,0)</f>
        <v>0</v>
      </c>
    </row>
    <row r="2052" spans="1:15" x14ac:dyDescent="0.25">
      <c r="A2052">
        <v>2051</v>
      </c>
      <c r="B2052" s="1" t="s">
        <v>19</v>
      </c>
      <c r="C2052" s="1">
        <f>car_price_prediction_[[#This Row],[Year2]]</f>
        <v>2001</v>
      </c>
      <c r="D2052">
        <v>2001</v>
      </c>
      <c r="E2052">
        <f>car_price_prediction_[[#This Row],[Engine Size]]/10</f>
        <v>4.8</v>
      </c>
      <c r="F2052">
        <v>48</v>
      </c>
      <c r="G2052" s="1" t="s">
        <v>16</v>
      </c>
      <c r="H2052" s="1" t="s">
        <v>22</v>
      </c>
      <c r="I2052" s="12">
        <f>car_price_prediction_[[#This Row],[Mileage]]/1000</f>
        <v>13.58</v>
      </c>
      <c r="J2052" s="5">
        <v>13580</v>
      </c>
      <c r="K2052" s="1" t="s">
        <v>25</v>
      </c>
      <c r="L2052" s="5">
        <f>car_price_prediction_[[#This Row],[Price]]/100</f>
        <v>36871.760000000002</v>
      </c>
      <c r="M2052">
        <v>3687176</v>
      </c>
      <c r="N2052" s="1" t="s">
        <v>38</v>
      </c>
      <c r="O2052" s="1">
        <f>IF(IFERROR(VLOOKUP(car_price_prediction_[[#This Row],[Car ID]],A2053:A4552,1,FALSE),0),1,0)</f>
        <v>0</v>
      </c>
    </row>
    <row r="2053" spans="1:15" x14ac:dyDescent="0.25">
      <c r="A2053">
        <v>2052</v>
      </c>
      <c r="B2053" s="1" t="s">
        <v>15</v>
      </c>
      <c r="C2053" s="1">
        <f>car_price_prediction_[[#This Row],[Year2]]</f>
        <v>2014</v>
      </c>
      <c r="D2053">
        <v>2014</v>
      </c>
      <c r="E2053">
        <f>car_price_prediction_[[#This Row],[Engine Size]]/10</f>
        <v>2.4</v>
      </c>
      <c r="F2053">
        <v>24</v>
      </c>
      <c r="G2053" s="1" t="s">
        <v>11</v>
      </c>
      <c r="H2053" s="1" t="s">
        <v>22</v>
      </c>
      <c r="I2053" s="12">
        <f>car_price_prediction_[[#This Row],[Mileage]]/1000</f>
        <v>18.239999999999998</v>
      </c>
      <c r="J2053" s="5">
        <v>18240</v>
      </c>
      <c r="K2053" s="1" t="s">
        <v>17</v>
      </c>
      <c r="L2053" s="5">
        <f>car_price_prediction_[[#This Row],[Price]]/100</f>
        <v>39479.18</v>
      </c>
      <c r="M2053">
        <v>3947918</v>
      </c>
      <c r="N2053" s="1" t="s">
        <v>35</v>
      </c>
      <c r="O2053" s="1">
        <f>IF(IFERROR(VLOOKUP(car_price_prediction_[[#This Row],[Car ID]],A2054:A4553,1,FALSE),0),1,0)</f>
        <v>0</v>
      </c>
    </row>
    <row r="2054" spans="1:15" x14ac:dyDescent="0.25">
      <c r="A2054">
        <v>2053</v>
      </c>
      <c r="B2054" s="1" t="s">
        <v>10</v>
      </c>
      <c r="C2054" s="1">
        <f>car_price_prediction_[[#This Row],[Year2]]</f>
        <v>2020</v>
      </c>
      <c r="D2054">
        <v>2020</v>
      </c>
      <c r="E2054">
        <f>car_price_prediction_[[#This Row],[Engine Size]]/10</f>
        <v>2.6</v>
      </c>
      <c r="F2054">
        <v>26</v>
      </c>
      <c r="G2054" s="1" t="s">
        <v>21</v>
      </c>
      <c r="H2054" s="1" t="s">
        <v>12</v>
      </c>
      <c r="I2054" s="12">
        <f>car_price_prediction_[[#This Row],[Mileage]]/1000</f>
        <v>254.351</v>
      </c>
      <c r="J2054" s="5">
        <v>254351</v>
      </c>
      <c r="K2054" s="1" t="s">
        <v>25</v>
      </c>
      <c r="L2054" s="5">
        <f>car_price_prediction_[[#This Row],[Price]]/100</f>
        <v>53117.13</v>
      </c>
      <c r="M2054">
        <v>5311713</v>
      </c>
      <c r="N2054" s="1" t="s">
        <v>33</v>
      </c>
      <c r="O2054" s="1">
        <f>IF(IFERROR(VLOOKUP(car_price_prediction_[[#This Row],[Car ID]],A2055:A4554,1,FALSE),0),1,0)</f>
        <v>0</v>
      </c>
    </row>
    <row r="2055" spans="1:15" x14ac:dyDescent="0.25">
      <c r="A2055">
        <v>2054</v>
      </c>
      <c r="B2055" s="1" t="s">
        <v>30</v>
      </c>
      <c r="C2055" s="1">
        <f>car_price_prediction_[[#This Row],[Year2]]</f>
        <v>2013</v>
      </c>
      <c r="D2055">
        <v>2013</v>
      </c>
      <c r="E2055">
        <f>car_price_prediction_[[#This Row],[Engine Size]]/10</f>
        <v>5.6</v>
      </c>
      <c r="F2055">
        <v>56</v>
      </c>
      <c r="G2055" s="1" t="s">
        <v>16</v>
      </c>
      <c r="H2055" s="1" t="s">
        <v>12</v>
      </c>
      <c r="I2055" s="12">
        <f>car_price_prediction_[[#This Row],[Mileage]]/1000</f>
        <v>254.27099999999999</v>
      </c>
      <c r="J2055" s="5">
        <v>254271</v>
      </c>
      <c r="K2055" s="1" t="s">
        <v>13</v>
      </c>
      <c r="L2055" s="5">
        <f>car_price_prediction_[[#This Row],[Price]]/100</f>
        <v>39292.089999999997</v>
      </c>
      <c r="M2055">
        <v>3929209</v>
      </c>
      <c r="N2055" s="1" t="s">
        <v>31</v>
      </c>
      <c r="O2055" s="1">
        <f>IF(IFERROR(VLOOKUP(car_price_prediction_[[#This Row],[Car ID]],A2056:A4555,1,FALSE),0),1,0)</f>
        <v>0</v>
      </c>
    </row>
    <row r="2056" spans="1:15" x14ac:dyDescent="0.25">
      <c r="A2056">
        <v>2055</v>
      </c>
      <c r="B2056" s="1" t="s">
        <v>19</v>
      </c>
      <c r="C2056" s="1">
        <f>car_price_prediction_[[#This Row],[Year2]]</f>
        <v>2004</v>
      </c>
      <c r="D2056">
        <v>2004</v>
      </c>
      <c r="E2056">
        <f>car_price_prediction_[[#This Row],[Engine Size]]/10</f>
        <v>1.3</v>
      </c>
      <c r="F2056">
        <v>13</v>
      </c>
      <c r="G2056" s="1" t="s">
        <v>29</v>
      </c>
      <c r="H2056" s="1" t="s">
        <v>22</v>
      </c>
      <c r="I2056" s="12">
        <f>car_price_prediction_[[#This Row],[Mileage]]/1000</f>
        <v>80.974000000000004</v>
      </c>
      <c r="J2056" s="5">
        <v>80974</v>
      </c>
      <c r="K2056" s="1" t="s">
        <v>25</v>
      </c>
      <c r="L2056" s="5">
        <f>car_price_prediction_[[#This Row],[Price]]/100</f>
        <v>79429.509999999995</v>
      </c>
      <c r="M2056">
        <v>7942951</v>
      </c>
      <c r="N2056" s="1" t="s">
        <v>27</v>
      </c>
      <c r="O2056" s="1">
        <f>IF(IFERROR(VLOOKUP(car_price_prediction_[[#This Row],[Car ID]],A2057:A4556,1,FALSE),0),1,0)</f>
        <v>0</v>
      </c>
    </row>
    <row r="2057" spans="1:15" x14ac:dyDescent="0.25">
      <c r="A2057">
        <v>2056</v>
      </c>
      <c r="B2057" s="1" t="s">
        <v>36</v>
      </c>
      <c r="C2057" s="1">
        <f>car_price_prediction_[[#This Row],[Year2]]</f>
        <v>2005</v>
      </c>
      <c r="D2057">
        <v>2005</v>
      </c>
      <c r="E2057">
        <f>car_price_prediction_[[#This Row],[Engine Size]]/10</f>
        <v>3.4</v>
      </c>
      <c r="F2057">
        <v>34</v>
      </c>
      <c r="G2057" s="1" t="s">
        <v>16</v>
      </c>
      <c r="H2057" s="1" t="s">
        <v>22</v>
      </c>
      <c r="I2057" s="12">
        <f>car_price_prediction_[[#This Row],[Mileage]]/1000</f>
        <v>73.400999999999996</v>
      </c>
      <c r="J2057" s="5">
        <v>73401</v>
      </c>
      <c r="K2057" s="1" t="s">
        <v>13</v>
      </c>
      <c r="L2057" s="5">
        <f>car_price_prediction_[[#This Row],[Price]]/100</f>
        <v>97600.01</v>
      </c>
      <c r="M2057">
        <v>9760001</v>
      </c>
      <c r="N2057" s="1" t="s">
        <v>40</v>
      </c>
      <c r="O2057" s="1">
        <f>IF(IFERROR(VLOOKUP(car_price_prediction_[[#This Row],[Car ID]],A2058:A4557,1,FALSE),0),1,0)</f>
        <v>0</v>
      </c>
    </row>
    <row r="2058" spans="1:15" x14ac:dyDescent="0.25">
      <c r="A2058">
        <v>2057</v>
      </c>
      <c r="B2058" s="1" t="s">
        <v>24</v>
      </c>
      <c r="C2058" s="1">
        <f>car_price_prediction_[[#This Row],[Year2]]</f>
        <v>2005</v>
      </c>
      <c r="D2058">
        <v>2005</v>
      </c>
      <c r="E2058">
        <f>car_price_prediction_[[#This Row],[Engine Size]]/10</f>
        <v>5.6</v>
      </c>
      <c r="F2058">
        <v>56</v>
      </c>
      <c r="G2058" s="1" t="s">
        <v>21</v>
      </c>
      <c r="H2058" s="1" t="s">
        <v>12</v>
      </c>
      <c r="I2058" s="12">
        <f>car_price_prediction_[[#This Row],[Mileage]]/1000</f>
        <v>213.16499999999999</v>
      </c>
      <c r="J2058" s="5">
        <v>213165</v>
      </c>
      <c r="K2058" s="1" t="s">
        <v>13</v>
      </c>
      <c r="L2058" s="5">
        <f>car_price_prediction_[[#This Row],[Price]]/100</f>
        <v>60529.54</v>
      </c>
      <c r="M2058">
        <v>6052954</v>
      </c>
      <c r="N2058" s="1" t="s">
        <v>32</v>
      </c>
      <c r="O2058" s="1">
        <f>IF(IFERROR(VLOOKUP(car_price_prediction_[[#This Row],[Car ID]],A2059:A4558,1,FALSE),0),1,0)</f>
        <v>0</v>
      </c>
    </row>
    <row r="2059" spans="1:15" x14ac:dyDescent="0.25">
      <c r="A2059">
        <v>2058</v>
      </c>
      <c r="B2059" s="1" t="s">
        <v>43</v>
      </c>
      <c r="C2059" s="1">
        <f>car_price_prediction_[[#This Row],[Year2]]</f>
        <v>2021</v>
      </c>
      <c r="D2059">
        <v>2021</v>
      </c>
      <c r="E2059">
        <f>car_price_prediction_[[#This Row],[Engine Size]]/10</f>
        <v>4.0999999999999996</v>
      </c>
      <c r="F2059">
        <v>41</v>
      </c>
      <c r="G2059" s="1" t="s">
        <v>29</v>
      </c>
      <c r="H2059" s="1" t="s">
        <v>22</v>
      </c>
      <c r="I2059" s="12">
        <f>car_price_prediction_[[#This Row],[Mileage]]/1000</f>
        <v>164.34</v>
      </c>
      <c r="J2059" s="5">
        <v>164340</v>
      </c>
      <c r="K2059" s="1" t="s">
        <v>25</v>
      </c>
      <c r="L2059" s="5">
        <f>car_price_prediction_[[#This Row],[Price]]/100</f>
        <v>47373.55</v>
      </c>
      <c r="M2059">
        <v>4737355</v>
      </c>
      <c r="N2059" s="1" t="s">
        <v>52</v>
      </c>
      <c r="O2059" s="1">
        <f>IF(IFERROR(VLOOKUP(car_price_prediction_[[#This Row],[Car ID]],A2060:A4559,1,FALSE),0),1,0)</f>
        <v>0</v>
      </c>
    </row>
    <row r="2060" spans="1:15" x14ac:dyDescent="0.25">
      <c r="A2060">
        <v>2059</v>
      </c>
      <c r="B2060" s="1" t="s">
        <v>43</v>
      </c>
      <c r="C2060" s="1">
        <f>car_price_prediction_[[#This Row],[Year2]]</f>
        <v>2017</v>
      </c>
      <c r="D2060">
        <v>2017</v>
      </c>
      <c r="E2060">
        <f>car_price_prediction_[[#This Row],[Engine Size]]/10</f>
        <v>3.7</v>
      </c>
      <c r="F2060">
        <v>37</v>
      </c>
      <c r="G2060" s="1" t="s">
        <v>29</v>
      </c>
      <c r="H2060" s="1" t="s">
        <v>22</v>
      </c>
      <c r="I2060" s="12">
        <f>car_price_prediction_[[#This Row],[Mileage]]/1000</f>
        <v>265.79000000000002</v>
      </c>
      <c r="J2060" s="5">
        <v>265790</v>
      </c>
      <c r="K2060" s="1" t="s">
        <v>17</v>
      </c>
      <c r="L2060" s="5">
        <f>car_price_prediction_[[#This Row],[Price]]/100</f>
        <v>26163.54</v>
      </c>
      <c r="M2060">
        <v>2616354</v>
      </c>
      <c r="N2060" s="1" t="s">
        <v>50</v>
      </c>
      <c r="O2060" s="1">
        <f>IF(IFERROR(VLOOKUP(car_price_prediction_[[#This Row],[Car ID]],A2061:A4560,1,FALSE),0),1,0)</f>
        <v>0</v>
      </c>
    </row>
    <row r="2061" spans="1:15" x14ac:dyDescent="0.25">
      <c r="A2061">
        <v>2060</v>
      </c>
      <c r="B2061" s="1" t="s">
        <v>43</v>
      </c>
      <c r="C2061" s="1">
        <f>car_price_prediction_[[#This Row],[Year2]]</f>
        <v>2013</v>
      </c>
      <c r="D2061">
        <v>2013</v>
      </c>
      <c r="E2061">
        <f>car_price_prediction_[[#This Row],[Engine Size]]/10</f>
        <v>2.2000000000000002</v>
      </c>
      <c r="F2061">
        <v>22</v>
      </c>
      <c r="G2061" s="1" t="s">
        <v>29</v>
      </c>
      <c r="H2061" s="1" t="s">
        <v>22</v>
      </c>
      <c r="I2061" s="12">
        <f>car_price_prediction_[[#This Row],[Mileage]]/1000</f>
        <v>186.44300000000001</v>
      </c>
      <c r="J2061" s="5">
        <v>186443</v>
      </c>
      <c r="K2061" s="1" t="s">
        <v>25</v>
      </c>
      <c r="L2061" s="5">
        <f>car_price_prediction_[[#This Row],[Price]]/100</f>
        <v>67076.17</v>
      </c>
      <c r="M2061">
        <v>6707617</v>
      </c>
      <c r="N2061" s="1" t="s">
        <v>52</v>
      </c>
      <c r="O2061" s="1">
        <f>IF(IFERROR(VLOOKUP(car_price_prediction_[[#This Row],[Car ID]],A2062:A4561,1,FALSE),0),1,0)</f>
        <v>0</v>
      </c>
    </row>
    <row r="2062" spans="1:15" x14ac:dyDescent="0.25">
      <c r="A2062">
        <v>2061</v>
      </c>
      <c r="B2062" s="1" t="s">
        <v>10</v>
      </c>
      <c r="C2062" s="1">
        <f>car_price_prediction_[[#This Row],[Year2]]</f>
        <v>2009</v>
      </c>
      <c r="D2062">
        <v>2009</v>
      </c>
      <c r="E2062">
        <f>car_price_prediction_[[#This Row],[Engine Size]]/10</f>
        <v>2.7</v>
      </c>
      <c r="F2062">
        <v>27</v>
      </c>
      <c r="G2062" s="1" t="s">
        <v>11</v>
      </c>
      <c r="H2062" s="1" t="s">
        <v>12</v>
      </c>
      <c r="I2062" s="12">
        <f>car_price_prediction_[[#This Row],[Mileage]]/1000</f>
        <v>248.12299999999999</v>
      </c>
      <c r="J2062" s="5">
        <v>248123</v>
      </c>
      <c r="K2062" s="1" t="s">
        <v>25</v>
      </c>
      <c r="L2062" s="5">
        <f>car_price_prediction_[[#This Row],[Price]]/100</f>
        <v>7012.98</v>
      </c>
      <c r="M2062">
        <v>701298</v>
      </c>
      <c r="N2062" s="1" t="s">
        <v>14</v>
      </c>
      <c r="O2062" s="1">
        <f>IF(IFERROR(VLOOKUP(car_price_prediction_[[#This Row],[Car ID]],A2063:A4562,1,FALSE),0),1,0)</f>
        <v>0</v>
      </c>
    </row>
    <row r="2063" spans="1:15" x14ac:dyDescent="0.25">
      <c r="A2063">
        <v>2062</v>
      </c>
      <c r="B2063" s="1" t="s">
        <v>30</v>
      </c>
      <c r="C2063" s="1">
        <f>car_price_prediction_[[#This Row],[Year2]]</f>
        <v>2013</v>
      </c>
      <c r="D2063">
        <v>2013</v>
      </c>
      <c r="E2063">
        <f>car_price_prediction_[[#This Row],[Engine Size]]/10</f>
        <v>5.3</v>
      </c>
      <c r="F2063">
        <v>53</v>
      </c>
      <c r="G2063" s="1" t="s">
        <v>16</v>
      </c>
      <c r="H2063" s="1" t="s">
        <v>12</v>
      </c>
      <c r="I2063" s="12">
        <f>car_price_prediction_[[#This Row],[Mileage]]/1000</f>
        <v>89.46</v>
      </c>
      <c r="J2063" s="5">
        <v>89460</v>
      </c>
      <c r="K2063" s="1" t="s">
        <v>17</v>
      </c>
      <c r="L2063" s="5">
        <f>car_price_prediction_[[#This Row],[Price]]/100</f>
        <v>70093.11</v>
      </c>
      <c r="M2063">
        <v>7009311</v>
      </c>
      <c r="N2063" s="1" t="s">
        <v>48</v>
      </c>
      <c r="O2063" s="1">
        <f>IF(IFERROR(VLOOKUP(car_price_prediction_[[#This Row],[Car ID]],A2064:A4563,1,FALSE),0),1,0)</f>
        <v>0</v>
      </c>
    </row>
    <row r="2064" spans="1:15" x14ac:dyDescent="0.25">
      <c r="A2064">
        <v>2063</v>
      </c>
      <c r="B2064" s="1" t="s">
        <v>15</v>
      </c>
      <c r="C2064" s="1">
        <f>car_price_prediction_[[#This Row],[Year2]]</f>
        <v>2012</v>
      </c>
      <c r="D2064">
        <v>2012</v>
      </c>
      <c r="E2064">
        <f>car_price_prediction_[[#This Row],[Engine Size]]/10</f>
        <v>3.8</v>
      </c>
      <c r="F2064">
        <v>38</v>
      </c>
      <c r="G2064" s="1" t="s">
        <v>11</v>
      </c>
      <c r="H2064" s="1" t="s">
        <v>22</v>
      </c>
      <c r="I2064" s="12">
        <f>car_price_prediction_[[#This Row],[Mileage]]/1000</f>
        <v>51.048000000000002</v>
      </c>
      <c r="J2064" s="5">
        <v>51048</v>
      </c>
      <c r="K2064" s="1" t="s">
        <v>13</v>
      </c>
      <c r="L2064" s="5">
        <f>car_price_prediction_[[#This Row],[Price]]/100</f>
        <v>7563.58</v>
      </c>
      <c r="M2064">
        <v>756358</v>
      </c>
      <c r="N2064" s="1" t="s">
        <v>18</v>
      </c>
      <c r="O2064" s="1">
        <f>IF(IFERROR(VLOOKUP(car_price_prediction_[[#This Row],[Car ID]],A2065:A4564,1,FALSE),0),1,0)</f>
        <v>0</v>
      </c>
    </row>
    <row r="2065" spans="1:15" x14ac:dyDescent="0.25">
      <c r="A2065">
        <v>2064</v>
      </c>
      <c r="B2065" s="1" t="s">
        <v>19</v>
      </c>
      <c r="C2065" s="1">
        <f>car_price_prediction_[[#This Row],[Year2]]</f>
        <v>2002</v>
      </c>
      <c r="D2065">
        <v>2002</v>
      </c>
      <c r="E2065">
        <f>car_price_prediction_[[#This Row],[Engine Size]]/10</f>
        <v>3.6</v>
      </c>
      <c r="F2065">
        <v>36</v>
      </c>
      <c r="G2065" s="1" t="s">
        <v>29</v>
      </c>
      <c r="H2065" s="1" t="s">
        <v>12</v>
      </c>
      <c r="I2065" s="12">
        <f>car_price_prediction_[[#This Row],[Mileage]]/1000</f>
        <v>206.518</v>
      </c>
      <c r="J2065" s="5">
        <v>206518</v>
      </c>
      <c r="K2065" s="1" t="s">
        <v>25</v>
      </c>
      <c r="L2065" s="5">
        <f>car_price_prediction_[[#This Row],[Price]]/100</f>
        <v>9041.66</v>
      </c>
      <c r="M2065">
        <v>904166</v>
      </c>
      <c r="N2065" s="1" t="s">
        <v>38</v>
      </c>
      <c r="O2065" s="1">
        <f>IF(IFERROR(VLOOKUP(car_price_prediction_[[#This Row],[Car ID]],A2066:A4565,1,FALSE),0),1,0)</f>
        <v>0</v>
      </c>
    </row>
    <row r="2066" spans="1:15" x14ac:dyDescent="0.25">
      <c r="A2066">
        <v>2065</v>
      </c>
      <c r="B2066" s="1" t="s">
        <v>24</v>
      </c>
      <c r="C2066" s="1">
        <f>car_price_prediction_[[#This Row],[Year2]]</f>
        <v>2005</v>
      </c>
      <c r="D2066">
        <v>2005</v>
      </c>
      <c r="E2066">
        <f>car_price_prediction_[[#This Row],[Engine Size]]/10</f>
        <v>1.5</v>
      </c>
      <c r="F2066">
        <v>15</v>
      </c>
      <c r="G2066" s="1" t="s">
        <v>11</v>
      </c>
      <c r="H2066" s="1" t="s">
        <v>22</v>
      </c>
      <c r="I2066" s="12">
        <f>car_price_prediction_[[#This Row],[Mileage]]/1000</f>
        <v>132.85</v>
      </c>
      <c r="J2066" s="5">
        <v>132850</v>
      </c>
      <c r="K2066" s="1" t="s">
        <v>17</v>
      </c>
      <c r="L2066" s="5">
        <f>car_price_prediction_[[#This Row],[Price]]/100</f>
        <v>37120.120000000003</v>
      </c>
      <c r="M2066">
        <v>3712012</v>
      </c>
      <c r="N2066" s="1" t="s">
        <v>53</v>
      </c>
      <c r="O2066" s="1">
        <f>IF(IFERROR(VLOOKUP(car_price_prediction_[[#This Row],[Car ID]],A2067:A4566,1,FALSE),0),1,0)</f>
        <v>0</v>
      </c>
    </row>
    <row r="2067" spans="1:15" x14ac:dyDescent="0.25">
      <c r="A2067">
        <v>2066</v>
      </c>
      <c r="B2067" s="1" t="s">
        <v>36</v>
      </c>
      <c r="C2067" s="1">
        <f>car_price_prediction_[[#This Row],[Year2]]</f>
        <v>2007</v>
      </c>
      <c r="D2067">
        <v>2007</v>
      </c>
      <c r="E2067">
        <f>car_price_prediction_[[#This Row],[Engine Size]]/10</f>
        <v>1.1000000000000001</v>
      </c>
      <c r="F2067">
        <v>11</v>
      </c>
      <c r="G2067" s="1" t="s">
        <v>11</v>
      </c>
      <c r="H2067" s="1" t="s">
        <v>22</v>
      </c>
      <c r="I2067" s="12">
        <f>car_price_prediction_[[#This Row],[Mileage]]/1000</f>
        <v>211.91200000000001</v>
      </c>
      <c r="J2067" s="5">
        <v>211912</v>
      </c>
      <c r="K2067" s="1" t="s">
        <v>17</v>
      </c>
      <c r="L2067" s="5">
        <f>car_price_prediction_[[#This Row],[Price]]/100</f>
        <v>75695.75</v>
      </c>
      <c r="M2067">
        <v>7569575</v>
      </c>
      <c r="N2067" s="1" t="s">
        <v>37</v>
      </c>
      <c r="O2067" s="1">
        <f>IF(IFERROR(VLOOKUP(car_price_prediction_[[#This Row],[Car ID]],A2068:A4567,1,FALSE),0),1,0)</f>
        <v>0</v>
      </c>
    </row>
    <row r="2068" spans="1:15" x14ac:dyDescent="0.25">
      <c r="A2068">
        <v>2067</v>
      </c>
      <c r="B2068" s="1" t="s">
        <v>24</v>
      </c>
      <c r="C2068" s="1">
        <f>car_price_prediction_[[#This Row],[Year2]]</f>
        <v>2011</v>
      </c>
      <c r="D2068">
        <v>2011</v>
      </c>
      <c r="E2068">
        <f>car_price_prediction_[[#This Row],[Engine Size]]/10</f>
        <v>5.8</v>
      </c>
      <c r="F2068">
        <v>58</v>
      </c>
      <c r="G2068" s="1" t="s">
        <v>11</v>
      </c>
      <c r="H2068" s="1" t="s">
        <v>12</v>
      </c>
      <c r="I2068" s="12">
        <f>car_price_prediction_[[#This Row],[Mileage]]/1000</f>
        <v>266.89100000000002</v>
      </c>
      <c r="J2068" s="5">
        <v>266891</v>
      </c>
      <c r="K2068" s="1" t="s">
        <v>13</v>
      </c>
      <c r="L2068" s="5">
        <f>car_price_prediction_[[#This Row],[Price]]/100</f>
        <v>77181.66</v>
      </c>
      <c r="M2068">
        <v>7718166</v>
      </c>
      <c r="N2068" s="1" t="s">
        <v>53</v>
      </c>
      <c r="O2068" s="1">
        <f>IF(IFERROR(VLOOKUP(car_price_prediction_[[#This Row],[Car ID]],A2069:A4568,1,FALSE),0),1,0)</f>
        <v>0</v>
      </c>
    </row>
    <row r="2069" spans="1:15" x14ac:dyDescent="0.25">
      <c r="A2069">
        <v>2068</v>
      </c>
      <c r="B2069" s="1" t="s">
        <v>36</v>
      </c>
      <c r="C2069" s="1">
        <f>car_price_prediction_[[#This Row],[Year2]]</f>
        <v>2012</v>
      </c>
      <c r="D2069">
        <v>2012</v>
      </c>
      <c r="E2069">
        <f>car_price_prediction_[[#This Row],[Engine Size]]/10</f>
        <v>2.9</v>
      </c>
      <c r="F2069">
        <v>29</v>
      </c>
      <c r="G2069" s="1" t="s">
        <v>16</v>
      </c>
      <c r="H2069" s="1" t="s">
        <v>12</v>
      </c>
      <c r="I2069" s="12">
        <f>car_price_prediction_[[#This Row],[Mileage]]/1000</f>
        <v>4.4999999999999998E-2</v>
      </c>
      <c r="J2069" s="5">
        <v>45</v>
      </c>
      <c r="K2069" s="1" t="s">
        <v>17</v>
      </c>
      <c r="L2069" s="5">
        <f>car_price_prediction_[[#This Row],[Price]]/100</f>
        <v>66802.720000000001</v>
      </c>
      <c r="M2069">
        <v>6680272</v>
      </c>
      <c r="N2069" s="1" t="s">
        <v>41</v>
      </c>
      <c r="O2069" s="1">
        <f>IF(IFERROR(VLOOKUP(car_price_prediction_[[#This Row],[Car ID]],A2070:A4569,1,FALSE),0),1,0)</f>
        <v>0</v>
      </c>
    </row>
    <row r="2070" spans="1:15" x14ac:dyDescent="0.25">
      <c r="A2070">
        <v>2069</v>
      </c>
      <c r="B2070" s="1" t="s">
        <v>10</v>
      </c>
      <c r="C2070" s="1">
        <f>car_price_prediction_[[#This Row],[Year2]]</f>
        <v>2010</v>
      </c>
      <c r="D2070">
        <v>2010</v>
      </c>
      <c r="E2070">
        <f>car_price_prediction_[[#This Row],[Engine Size]]/10</f>
        <v>4</v>
      </c>
      <c r="F2070">
        <v>40</v>
      </c>
      <c r="G2070" s="1" t="s">
        <v>29</v>
      </c>
      <c r="H2070" s="1" t="s">
        <v>12</v>
      </c>
      <c r="I2070" s="12">
        <f>car_price_prediction_[[#This Row],[Mileage]]/1000</f>
        <v>7.758</v>
      </c>
      <c r="J2070" s="5">
        <v>7758</v>
      </c>
      <c r="K2070" s="1" t="s">
        <v>13</v>
      </c>
      <c r="L2070" s="5">
        <f>car_price_prediction_[[#This Row],[Price]]/100</f>
        <v>42512.32</v>
      </c>
      <c r="M2070">
        <v>4251232</v>
      </c>
      <c r="N2070" s="1" t="s">
        <v>49</v>
      </c>
      <c r="O2070" s="1">
        <f>IF(IFERROR(VLOOKUP(car_price_prediction_[[#This Row],[Car ID]],A2071:A4570,1,FALSE),0),1,0)</f>
        <v>0</v>
      </c>
    </row>
    <row r="2071" spans="1:15" x14ac:dyDescent="0.25">
      <c r="A2071">
        <v>2070</v>
      </c>
      <c r="B2071" s="1" t="s">
        <v>30</v>
      </c>
      <c r="C2071" s="1">
        <f>car_price_prediction_[[#This Row],[Year2]]</f>
        <v>2011</v>
      </c>
      <c r="D2071">
        <v>2011</v>
      </c>
      <c r="E2071">
        <f>car_price_prediction_[[#This Row],[Engine Size]]/10</f>
        <v>1.4</v>
      </c>
      <c r="F2071">
        <v>14</v>
      </c>
      <c r="G2071" s="1" t="s">
        <v>29</v>
      </c>
      <c r="H2071" s="1" t="s">
        <v>22</v>
      </c>
      <c r="I2071" s="12">
        <f>car_price_prediction_[[#This Row],[Mileage]]/1000</f>
        <v>255.39699999999999</v>
      </c>
      <c r="J2071" s="5">
        <v>255397</v>
      </c>
      <c r="K2071" s="1" t="s">
        <v>25</v>
      </c>
      <c r="L2071" s="5">
        <f>car_price_prediction_[[#This Row],[Price]]/100</f>
        <v>6279.65</v>
      </c>
      <c r="M2071">
        <v>627965</v>
      </c>
      <c r="N2071" s="1" t="s">
        <v>48</v>
      </c>
      <c r="O2071" s="1">
        <f>IF(IFERROR(VLOOKUP(car_price_prediction_[[#This Row],[Car ID]],A2072:A4571,1,FALSE),0),1,0)</f>
        <v>0</v>
      </c>
    </row>
    <row r="2072" spans="1:15" x14ac:dyDescent="0.25">
      <c r="A2072">
        <v>2071</v>
      </c>
      <c r="B2072" s="1" t="s">
        <v>43</v>
      </c>
      <c r="C2072" s="1">
        <f>car_price_prediction_[[#This Row],[Year2]]</f>
        <v>2000</v>
      </c>
      <c r="D2072">
        <v>2000</v>
      </c>
      <c r="E2072">
        <f>car_price_prediction_[[#This Row],[Engine Size]]/10</f>
        <v>4.4000000000000004</v>
      </c>
      <c r="F2072">
        <v>44</v>
      </c>
      <c r="G2072" s="1" t="s">
        <v>16</v>
      </c>
      <c r="H2072" s="1" t="s">
        <v>22</v>
      </c>
      <c r="I2072" s="12">
        <f>car_price_prediction_[[#This Row],[Mileage]]/1000</f>
        <v>154.50899999999999</v>
      </c>
      <c r="J2072" s="5">
        <v>154509</v>
      </c>
      <c r="K2072" s="1" t="s">
        <v>17</v>
      </c>
      <c r="L2072" s="5">
        <f>car_price_prediction_[[#This Row],[Price]]/100</f>
        <v>8818.8799999999992</v>
      </c>
      <c r="M2072">
        <v>881888</v>
      </c>
      <c r="N2072" s="1" t="s">
        <v>47</v>
      </c>
      <c r="O2072" s="1">
        <f>IF(IFERROR(VLOOKUP(car_price_prediction_[[#This Row],[Car ID]],A2073:A4572,1,FALSE),0),1,0)</f>
        <v>0</v>
      </c>
    </row>
    <row r="2073" spans="1:15" x14ac:dyDescent="0.25">
      <c r="A2073">
        <v>2072</v>
      </c>
      <c r="B2073" s="1" t="s">
        <v>30</v>
      </c>
      <c r="C2073" s="1">
        <f>car_price_prediction_[[#This Row],[Year2]]</f>
        <v>2016</v>
      </c>
      <c r="D2073">
        <v>2016</v>
      </c>
      <c r="E2073">
        <f>car_price_prediction_[[#This Row],[Engine Size]]/10</f>
        <v>5.7</v>
      </c>
      <c r="F2073">
        <v>57</v>
      </c>
      <c r="G2073" s="1" t="s">
        <v>11</v>
      </c>
      <c r="H2073" s="1" t="s">
        <v>12</v>
      </c>
      <c r="I2073" s="12">
        <f>car_price_prediction_[[#This Row],[Mileage]]/1000</f>
        <v>150.65700000000001</v>
      </c>
      <c r="J2073" s="5">
        <v>150657</v>
      </c>
      <c r="K2073" s="1" t="s">
        <v>25</v>
      </c>
      <c r="L2073" s="5">
        <f>car_price_prediction_[[#This Row],[Price]]/100</f>
        <v>7738.01</v>
      </c>
      <c r="M2073">
        <v>773801</v>
      </c>
      <c r="N2073" s="1" t="s">
        <v>48</v>
      </c>
      <c r="O2073" s="1">
        <f>IF(IFERROR(VLOOKUP(car_price_prediction_[[#This Row],[Car ID]],A2074:A4573,1,FALSE),0),1,0)</f>
        <v>0</v>
      </c>
    </row>
    <row r="2074" spans="1:15" x14ac:dyDescent="0.25">
      <c r="A2074">
        <v>2073</v>
      </c>
      <c r="B2074" s="1" t="s">
        <v>10</v>
      </c>
      <c r="C2074" s="1">
        <f>car_price_prediction_[[#This Row],[Year2]]</f>
        <v>2015</v>
      </c>
      <c r="D2074">
        <v>2015</v>
      </c>
      <c r="E2074">
        <f>car_price_prediction_[[#This Row],[Engine Size]]/10</f>
        <v>3.9</v>
      </c>
      <c r="F2074">
        <v>39</v>
      </c>
      <c r="G2074" s="1" t="s">
        <v>11</v>
      </c>
      <c r="H2074" s="1" t="s">
        <v>12</v>
      </c>
      <c r="I2074" s="12">
        <f>car_price_prediction_[[#This Row],[Mileage]]/1000</f>
        <v>140.92599999999999</v>
      </c>
      <c r="J2074" s="5">
        <v>140926</v>
      </c>
      <c r="K2074" s="1" t="s">
        <v>17</v>
      </c>
      <c r="L2074" s="5">
        <f>car_price_prediction_[[#This Row],[Price]]/100</f>
        <v>14460.92</v>
      </c>
      <c r="M2074">
        <v>1446092</v>
      </c>
      <c r="N2074" s="1" t="s">
        <v>33</v>
      </c>
      <c r="O2074" s="1">
        <f>IF(IFERROR(VLOOKUP(car_price_prediction_[[#This Row],[Car ID]],A2075:A4574,1,FALSE),0),1,0)</f>
        <v>0</v>
      </c>
    </row>
    <row r="2075" spans="1:15" x14ac:dyDescent="0.25">
      <c r="A2075">
        <v>2074</v>
      </c>
      <c r="B2075" s="1" t="s">
        <v>15</v>
      </c>
      <c r="C2075" s="1">
        <f>car_price_prediction_[[#This Row],[Year2]]</f>
        <v>2010</v>
      </c>
      <c r="D2075">
        <v>2010</v>
      </c>
      <c r="E2075">
        <f>car_price_prediction_[[#This Row],[Engine Size]]/10</f>
        <v>1.6</v>
      </c>
      <c r="F2075">
        <v>16</v>
      </c>
      <c r="G2075" s="1" t="s">
        <v>21</v>
      </c>
      <c r="H2075" s="1" t="s">
        <v>12</v>
      </c>
      <c r="I2075" s="12">
        <f>car_price_prediction_[[#This Row],[Mileage]]/1000</f>
        <v>183.148</v>
      </c>
      <c r="J2075" s="5">
        <v>183148</v>
      </c>
      <c r="K2075" s="1" t="s">
        <v>17</v>
      </c>
      <c r="L2075" s="5">
        <f>car_price_prediction_[[#This Row],[Price]]/100</f>
        <v>42691.34</v>
      </c>
      <c r="M2075">
        <v>4269134</v>
      </c>
      <c r="N2075" s="1" t="s">
        <v>18</v>
      </c>
      <c r="O2075" s="1">
        <f>IF(IFERROR(VLOOKUP(car_price_prediction_[[#This Row],[Car ID]],A2076:A4575,1,FALSE),0),1,0)</f>
        <v>0</v>
      </c>
    </row>
    <row r="2076" spans="1:15" x14ac:dyDescent="0.25">
      <c r="A2076">
        <v>2075</v>
      </c>
      <c r="B2076" s="1" t="s">
        <v>15</v>
      </c>
      <c r="C2076" s="1">
        <f>car_price_prediction_[[#This Row],[Year2]]</f>
        <v>2012</v>
      </c>
      <c r="D2076">
        <v>2012</v>
      </c>
      <c r="E2076">
        <f>car_price_prediction_[[#This Row],[Engine Size]]/10</f>
        <v>3.9</v>
      </c>
      <c r="F2076">
        <v>39</v>
      </c>
      <c r="G2076" s="1" t="s">
        <v>21</v>
      </c>
      <c r="H2076" s="1" t="s">
        <v>22</v>
      </c>
      <c r="I2076" s="12">
        <f>car_price_prediction_[[#This Row],[Mileage]]/1000</f>
        <v>148.42099999999999</v>
      </c>
      <c r="J2076" s="5">
        <v>148421</v>
      </c>
      <c r="K2076" s="1" t="s">
        <v>25</v>
      </c>
      <c r="L2076" s="5">
        <f>car_price_prediction_[[#This Row],[Price]]/100</f>
        <v>14843.78</v>
      </c>
      <c r="M2076">
        <v>1484378</v>
      </c>
      <c r="N2076" s="1" t="s">
        <v>51</v>
      </c>
      <c r="O2076" s="1">
        <f>IF(IFERROR(VLOOKUP(car_price_prediction_[[#This Row],[Car ID]],A2077:A4576,1,FALSE),0),1,0)</f>
        <v>0</v>
      </c>
    </row>
    <row r="2077" spans="1:15" x14ac:dyDescent="0.25">
      <c r="A2077">
        <v>2076</v>
      </c>
      <c r="B2077" s="1" t="s">
        <v>10</v>
      </c>
      <c r="C2077" s="1">
        <f>car_price_prediction_[[#This Row],[Year2]]</f>
        <v>2017</v>
      </c>
      <c r="D2077">
        <v>2017</v>
      </c>
      <c r="E2077">
        <f>car_price_prediction_[[#This Row],[Engine Size]]/10</f>
        <v>4.8</v>
      </c>
      <c r="F2077">
        <v>48</v>
      </c>
      <c r="G2077" s="1" t="s">
        <v>21</v>
      </c>
      <c r="H2077" s="1" t="s">
        <v>22</v>
      </c>
      <c r="I2077" s="12">
        <f>car_price_prediction_[[#This Row],[Mileage]]/1000</f>
        <v>227.3</v>
      </c>
      <c r="J2077" s="5">
        <v>227300</v>
      </c>
      <c r="K2077" s="1" t="s">
        <v>17</v>
      </c>
      <c r="L2077" s="5">
        <f>car_price_prediction_[[#This Row],[Price]]/100</f>
        <v>84522.07</v>
      </c>
      <c r="M2077">
        <v>8452207</v>
      </c>
      <c r="N2077" s="1" t="s">
        <v>33</v>
      </c>
      <c r="O2077" s="1">
        <f>IF(IFERROR(VLOOKUP(car_price_prediction_[[#This Row],[Car ID]],A2078:A4577,1,FALSE),0),1,0)</f>
        <v>0</v>
      </c>
    </row>
    <row r="2078" spans="1:15" x14ac:dyDescent="0.25">
      <c r="A2078">
        <v>2077</v>
      </c>
      <c r="B2078" s="1" t="s">
        <v>36</v>
      </c>
      <c r="C2078" s="1">
        <f>car_price_prediction_[[#This Row],[Year2]]</f>
        <v>2010</v>
      </c>
      <c r="D2078">
        <v>2010</v>
      </c>
      <c r="E2078">
        <f>car_price_prediction_[[#This Row],[Engine Size]]/10</f>
        <v>3</v>
      </c>
      <c r="F2078">
        <v>30</v>
      </c>
      <c r="G2078" s="1" t="s">
        <v>16</v>
      </c>
      <c r="H2078" s="1" t="s">
        <v>22</v>
      </c>
      <c r="I2078" s="12">
        <f>car_price_prediction_[[#This Row],[Mileage]]/1000</f>
        <v>152.41999999999999</v>
      </c>
      <c r="J2078" s="5">
        <v>152420</v>
      </c>
      <c r="K2078" s="1" t="s">
        <v>25</v>
      </c>
      <c r="L2078" s="5">
        <f>car_price_prediction_[[#This Row],[Price]]/100</f>
        <v>57278.73</v>
      </c>
      <c r="M2078">
        <v>5727873</v>
      </c>
      <c r="N2078" s="1" t="s">
        <v>41</v>
      </c>
      <c r="O2078" s="1">
        <f>IF(IFERROR(VLOOKUP(car_price_prediction_[[#This Row],[Car ID]],A2079:A4578,1,FALSE),0),1,0)</f>
        <v>0</v>
      </c>
    </row>
    <row r="2079" spans="1:15" x14ac:dyDescent="0.25">
      <c r="A2079">
        <v>2078</v>
      </c>
      <c r="B2079" s="1" t="s">
        <v>19</v>
      </c>
      <c r="C2079" s="1">
        <f>car_price_prediction_[[#This Row],[Year2]]</f>
        <v>2011</v>
      </c>
      <c r="D2079">
        <v>2011</v>
      </c>
      <c r="E2079">
        <f>car_price_prediction_[[#This Row],[Engine Size]]/10</f>
        <v>5.4</v>
      </c>
      <c r="F2079">
        <v>54</v>
      </c>
      <c r="G2079" s="1" t="s">
        <v>29</v>
      </c>
      <c r="H2079" s="1" t="s">
        <v>12</v>
      </c>
      <c r="I2079" s="12">
        <f>car_price_prediction_[[#This Row],[Mileage]]/1000</f>
        <v>165.36799999999999</v>
      </c>
      <c r="J2079" s="5">
        <v>165368</v>
      </c>
      <c r="K2079" s="1" t="s">
        <v>25</v>
      </c>
      <c r="L2079" s="5">
        <f>car_price_prediction_[[#This Row],[Price]]/100</f>
        <v>70640.740000000005</v>
      </c>
      <c r="M2079">
        <v>7064074</v>
      </c>
      <c r="N2079" s="1" t="s">
        <v>20</v>
      </c>
      <c r="O2079" s="1">
        <f>IF(IFERROR(VLOOKUP(car_price_prediction_[[#This Row],[Car ID]],A2080:A4579,1,FALSE),0),1,0)</f>
        <v>0</v>
      </c>
    </row>
    <row r="2080" spans="1:15" x14ac:dyDescent="0.25">
      <c r="A2080">
        <v>2079</v>
      </c>
      <c r="B2080" s="1" t="s">
        <v>19</v>
      </c>
      <c r="C2080" s="1">
        <f>car_price_prediction_[[#This Row],[Year2]]</f>
        <v>2005</v>
      </c>
      <c r="D2080">
        <v>2005</v>
      </c>
      <c r="E2080">
        <f>car_price_prediction_[[#This Row],[Engine Size]]/10</f>
        <v>4.2</v>
      </c>
      <c r="F2080">
        <v>42</v>
      </c>
      <c r="G2080" s="1" t="s">
        <v>21</v>
      </c>
      <c r="H2080" s="1" t="s">
        <v>12</v>
      </c>
      <c r="I2080" s="12">
        <f>car_price_prediction_[[#This Row],[Mileage]]/1000</f>
        <v>19.454999999999998</v>
      </c>
      <c r="J2080" s="5">
        <v>19455</v>
      </c>
      <c r="K2080" s="1" t="s">
        <v>13</v>
      </c>
      <c r="L2080" s="5">
        <f>car_price_prediction_[[#This Row],[Price]]/100</f>
        <v>69845.31</v>
      </c>
      <c r="M2080">
        <v>6984531</v>
      </c>
      <c r="N2080" s="1" t="s">
        <v>28</v>
      </c>
      <c r="O2080" s="1">
        <f>IF(IFERROR(VLOOKUP(car_price_prediction_[[#This Row],[Car ID]],A2081:A4580,1,FALSE),0),1,0)</f>
        <v>0</v>
      </c>
    </row>
    <row r="2081" spans="1:15" x14ac:dyDescent="0.25">
      <c r="A2081">
        <v>2080</v>
      </c>
      <c r="B2081" s="1" t="s">
        <v>36</v>
      </c>
      <c r="C2081" s="1">
        <f>car_price_prediction_[[#This Row],[Year2]]</f>
        <v>2008</v>
      </c>
      <c r="D2081">
        <v>2008</v>
      </c>
      <c r="E2081">
        <f>car_price_prediction_[[#This Row],[Engine Size]]/10</f>
        <v>5.5</v>
      </c>
      <c r="F2081">
        <v>55</v>
      </c>
      <c r="G2081" s="1" t="s">
        <v>29</v>
      </c>
      <c r="H2081" s="1" t="s">
        <v>22</v>
      </c>
      <c r="I2081" s="12">
        <f>car_price_prediction_[[#This Row],[Mileage]]/1000</f>
        <v>209.89599999999999</v>
      </c>
      <c r="J2081" s="5">
        <v>209896</v>
      </c>
      <c r="K2081" s="1" t="s">
        <v>25</v>
      </c>
      <c r="L2081" s="5">
        <f>car_price_prediction_[[#This Row],[Price]]/100</f>
        <v>84952.59</v>
      </c>
      <c r="M2081">
        <v>8495259</v>
      </c>
      <c r="N2081" s="1" t="s">
        <v>40</v>
      </c>
      <c r="O2081" s="1">
        <f>IF(IFERROR(VLOOKUP(car_price_prediction_[[#This Row],[Car ID]],A2082:A4581,1,FALSE),0),1,0)</f>
        <v>0</v>
      </c>
    </row>
    <row r="2082" spans="1:15" x14ac:dyDescent="0.25">
      <c r="A2082">
        <v>2081</v>
      </c>
      <c r="B2082" s="1" t="s">
        <v>15</v>
      </c>
      <c r="C2082" s="1">
        <f>car_price_prediction_[[#This Row],[Year2]]</f>
        <v>2015</v>
      </c>
      <c r="D2082">
        <v>2015</v>
      </c>
      <c r="E2082">
        <f>car_price_prediction_[[#This Row],[Engine Size]]/10</f>
        <v>4.0999999999999996</v>
      </c>
      <c r="F2082">
        <v>41</v>
      </c>
      <c r="G2082" s="1" t="s">
        <v>29</v>
      </c>
      <c r="H2082" s="1" t="s">
        <v>12</v>
      </c>
      <c r="I2082" s="12">
        <f>car_price_prediction_[[#This Row],[Mileage]]/1000</f>
        <v>231.89699999999999</v>
      </c>
      <c r="J2082" s="5">
        <v>231897</v>
      </c>
      <c r="K2082" s="1" t="s">
        <v>13</v>
      </c>
      <c r="L2082" s="5">
        <f>car_price_prediction_[[#This Row],[Price]]/100</f>
        <v>17594.09</v>
      </c>
      <c r="M2082">
        <v>1759409</v>
      </c>
      <c r="N2082" s="1" t="s">
        <v>51</v>
      </c>
      <c r="O2082" s="1">
        <f>IF(IFERROR(VLOOKUP(car_price_prediction_[[#This Row],[Car ID]],A2083:A4582,1,FALSE),0),1,0)</f>
        <v>0</v>
      </c>
    </row>
    <row r="2083" spans="1:15" x14ac:dyDescent="0.25">
      <c r="A2083">
        <v>2082</v>
      </c>
      <c r="B2083" s="1" t="s">
        <v>15</v>
      </c>
      <c r="C2083" s="1">
        <f>car_price_prediction_[[#This Row],[Year2]]</f>
        <v>2003</v>
      </c>
      <c r="D2083">
        <v>2003</v>
      </c>
      <c r="E2083">
        <f>car_price_prediction_[[#This Row],[Engine Size]]/10</f>
        <v>1.7</v>
      </c>
      <c r="F2083">
        <v>17</v>
      </c>
      <c r="G2083" s="1" t="s">
        <v>29</v>
      </c>
      <c r="H2083" s="1" t="s">
        <v>12</v>
      </c>
      <c r="I2083" s="12">
        <f>car_price_prediction_[[#This Row],[Mileage]]/1000</f>
        <v>88.552000000000007</v>
      </c>
      <c r="J2083" s="5">
        <v>88552</v>
      </c>
      <c r="K2083" s="1" t="s">
        <v>25</v>
      </c>
      <c r="L2083" s="5">
        <f>car_price_prediction_[[#This Row],[Price]]/100</f>
        <v>67674.17</v>
      </c>
      <c r="M2083">
        <v>6767417</v>
      </c>
      <c r="N2083" s="1" t="s">
        <v>39</v>
      </c>
      <c r="O2083" s="1">
        <f>IF(IFERROR(VLOOKUP(car_price_prediction_[[#This Row],[Car ID]],A2084:A4583,1,FALSE),0),1,0)</f>
        <v>0</v>
      </c>
    </row>
    <row r="2084" spans="1:15" x14ac:dyDescent="0.25">
      <c r="A2084">
        <v>2083</v>
      </c>
      <c r="B2084" s="1" t="s">
        <v>15</v>
      </c>
      <c r="C2084" s="1">
        <f>car_price_prediction_[[#This Row],[Year2]]</f>
        <v>2002</v>
      </c>
      <c r="D2084">
        <v>2002</v>
      </c>
      <c r="E2084">
        <f>car_price_prediction_[[#This Row],[Engine Size]]/10</f>
        <v>2.5</v>
      </c>
      <c r="F2084">
        <v>25</v>
      </c>
      <c r="G2084" s="1" t="s">
        <v>16</v>
      </c>
      <c r="H2084" s="1" t="s">
        <v>12</v>
      </c>
      <c r="I2084" s="12">
        <f>car_price_prediction_[[#This Row],[Mileage]]/1000</f>
        <v>40.484000000000002</v>
      </c>
      <c r="J2084" s="5">
        <v>40484</v>
      </c>
      <c r="K2084" s="1" t="s">
        <v>17</v>
      </c>
      <c r="L2084" s="5">
        <f>car_price_prediction_[[#This Row],[Price]]/100</f>
        <v>59637.74</v>
      </c>
      <c r="M2084">
        <v>5963774</v>
      </c>
      <c r="N2084" s="1" t="s">
        <v>18</v>
      </c>
      <c r="O2084" s="1">
        <f>IF(IFERROR(VLOOKUP(car_price_prediction_[[#This Row],[Car ID]],A2085:A4584,1,FALSE),0),1,0)</f>
        <v>0</v>
      </c>
    </row>
    <row r="2085" spans="1:15" x14ac:dyDescent="0.25">
      <c r="A2085">
        <v>2084</v>
      </c>
      <c r="B2085" s="1" t="s">
        <v>30</v>
      </c>
      <c r="C2085" s="1">
        <f>car_price_prediction_[[#This Row],[Year2]]</f>
        <v>2015</v>
      </c>
      <c r="D2085">
        <v>2015</v>
      </c>
      <c r="E2085">
        <f>car_price_prediction_[[#This Row],[Engine Size]]/10</f>
        <v>2</v>
      </c>
      <c r="F2085">
        <v>20</v>
      </c>
      <c r="G2085" s="1" t="s">
        <v>16</v>
      </c>
      <c r="H2085" s="1" t="s">
        <v>12</v>
      </c>
      <c r="I2085" s="12">
        <f>car_price_prediction_[[#This Row],[Mileage]]/1000</f>
        <v>134.476</v>
      </c>
      <c r="J2085" s="5">
        <v>134476</v>
      </c>
      <c r="K2085" s="1" t="s">
        <v>25</v>
      </c>
      <c r="L2085" s="5">
        <f>car_price_prediction_[[#This Row],[Price]]/100</f>
        <v>7935.23</v>
      </c>
      <c r="M2085">
        <v>793523</v>
      </c>
      <c r="N2085" s="1" t="s">
        <v>45</v>
      </c>
      <c r="O2085" s="1">
        <f>IF(IFERROR(VLOOKUP(car_price_prediction_[[#This Row],[Car ID]],A2086:A4585,1,FALSE),0),1,0)</f>
        <v>0</v>
      </c>
    </row>
    <row r="2086" spans="1:15" x14ac:dyDescent="0.25">
      <c r="A2086">
        <v>2085</v>
      </c>
      <c r="B2086" s="1" t="s">
        <v>15</v>
      </c>
      <c r="C2086" s="1">
        <f>car_price_prediction_[[#This Row],[Year2]]</f>
        <v>2023</v>
      </c>
      <c r="D2086">
        <v>2023</v>
      </c>
      <c r="E2086">
        <f>car_price_prediction_[[#This Row],[Engine Size]]/10</f>
        <v>5.5</v>
      </c>
      <c r="F2086">
        <v>55</v>
      </c>
      <c r="G2086" s="1" t="s">
        <v>16</v>
      </c>
      <c r="H2086" s="1" t="s">
        <v>22</v>
      </c>
      <c r="I2086" s="12">
        <f>car_price_prediction_[[#This Row],[Mileage]]/1000</f>
        <v>168.33199999999999</v>
      </c>
      <c r="J2086" s="5">
        <v>168332</v>
      </c>
      <c r="K2086" s="1" t="s">
        <v>17</v>
      </c>
      <c r="L2086" s="5">
        <f>car_price_prediction_[[#This Row],[Price]]/100</f>
        <v>24135.18</v>
      </c>
      <c r="M2086">
        <v>2413518</v>
      </c>
      <c r="N2086" s="1" t="s">
        <v>51</v>
      </c>
      <c r="O2086" s="1">
        <f>IF(IFERROR(VLOOKUP(car_price_prediction_[[#This Row],[Car ID]],A2087:A4586,1,FALSE),0),1,0)</f>
        <v>0</v>
      </c>
    </row>
    <row r="2087" spans="1:15" x14ac:dyDescent="0.25">
      <c r="A2087">
        <v>2086</v>
      </c>
      <c r="B2087" s="1" t="s">
        <v>24</v>
      </c>
      <c r="C2087" s="1">
        <f>car_price_prediction_[[#This Row],[Year2]]</f>
        <v>2011</v>
      </c>
      <c r="D2087">
        <v>2011</v>
      </c>
      <c r="E2087">
        <f>car_price_prediction_[[#This Row],[Engine Size]]/10</f>
        <v>4.8</v>
      </c>
      <c r="F2087">
        <v>48</v>
      </c>
      <c r="G2087" s="1" t="s">
        <v>16</v>
      </c>
      <c r="H2087" s="1" t="s">
        <v>12</v>
      </c>
      <c r="I2087" s="12">
        <f>car_price_prediction_[[#This Row],[Mileage]]/1000</f>
        <v>100.64700000000001</v>
      </c>
      <c r="J2087" s="5">
        <v>100647</v>
      </c>
      <c r="K2087" s="1" t="s">
        <v>13</v>
      </c>
      <c r="L2087" s="5">
        <f>car_price_prediction_[[#This Row],[Price]]/100</f>
        <v>3041.93</v>
      </c>
      <c r="M2087">
        <v>304193</v>
      </c>
      <c r="N2087" s="1" t="s">
        <v>32</v>
      </c>
      <c r="O2087" s="1">
        <f>IF(IFERROR(VLOOKUP(car_price_prediction_[[#This Row],[Car ID]],A2088:A4587,1,FALSE),0),1,0)</f>
        <v>0</v>
      </c>
    </row>
    <row r="2088" spans="1:15" x14ac:dyDescent="0.25">
      <c r="A2088">
        <v>2087</v>
      </c>
      <c r="B2088" s="1" t="s">
        <v>43</v>
      </c>
      <c r="C2088" s="1">
        <f>car_price_prediction_[[#This Row],[Year2]]</f>
        <v>2010</v>
      </c>
      <c r="D2088">
        <v>2010</v>
      </c>
      <c r="E2088">
        <f>car_price_prediction_[[#This Row],[Engine Size]]/10</f>
        <v>4.4000000000000004</v>
      </c>
      <c r="F2088">
        <v>44</v>
      </c>
      <c r="G2088" s="1" t="s">
        <v>21</v>
      </c>
      <c r="H2088" s="1" t="s">
        <v>22</v>
      </c>
      <c r="I2088" s="12">
        <f>car_price_prediction_[[#This Row],[Mileage]]/1000</f>
        <v>65.641999999999996</v>
      </c>
      <c r="J2088" s="5">
        <v>65642</v>
      </c>
      <c r="K2088" s="1" t="s">
        <v>17</v>
      </c>
      <c r="L2088" s="5">
        <f>car_price_prediction_[[#This Row],[Price]]/100</f>
        <v>11892.86</v>
      </c>
      <c r="M2088">
        <v>1189286</v>
      </c>
      <c r="N2088" s="1" t="s">
        <v>52</v>
      </c>
      <c r="O2088" s="1">
        <f>IF(IFERROR(VLOOKUP(car_price_prediction_[[#This Row],[Car ID]],A2089:A4588,1,FALSE),0),1,0)</f>
        <v>0</v>
      </c>
    </row>
    <row r="2089" spans="1:15" x14ac:dyDescent="0.25">
      <c r="A2089">
        <v>2088</v>
      </c>
      <c r="B2089" s="1" t="s">
        <v>15</v>
      </c>
      <c r="C2089" s="1">
        <f>car_price_prediction_[[#This Row],[Year2]]</f>
        <v>2004</v>
      </c>
      <c r="D2089">
        <v>2004</v>
      </c>
      <c r="E2089">
        <f>car_price_prediction_[[#This Row],[Engine Size]]/10</f>
        <v>2.5</v>
      </c>
      <c r="F2089">
        <v>25</v>
      </c>
      <c r="G2089" s="1" t="s">
        <v>11</v>
      </c>
      <c r="H2089" s="1" t="s">
        <v>22</v>
      </c>
      <c r="I2089" s="12">
        <f>car_price_prediction_[[#This Row],[Mileage]]/1000</f>
        <v>211.803</v>
      </c>
      <c r="J2089" s="5">
        <v>211803</v>
      </c>
      <c r="K2089" s="1" t="s">
        <v>25</v>
      </c>
      <c r="L2089" s="5">
        <f>car_price_prediction_[[#This Row],[Price]]/100</f>
        <v>38698.379999999997</v>
      </c>
      <c r="M2089">
        <v>3869838</v>
      </c>
      <c r="N2089" s="1" t="s">
        <v>39</v>
      </c>
      <c r="O2089" s="1">
        <f>IF(IFERROR(VLOOKUP(car_price_prediction_[[#This Row],[Car ID]],A2090:A4589,1,FALSE),0),1,0)</f>
        <v>0</v>
      </c>
    </row>
    <row r="2090" spans="1:15" x14ac:dyDescent="0.25">
      <c r="A2090">
        <v>2089</v>
      </c>
      <c r="B2090" s="1" t="s">
        <v>36</v>
      </c>
      <c r="C2090" s="1">
        <f>car_price_prediction_[[#This Row],[Year2]]</f>
        <v>2017</v>
      </c>
      <c r="D2090">
        <v>2017</v>
      </c>
      <c r="E2090">
        <f>car_price_prediction_[[#This Row],[Engine Size]]/10</f>
        <v>1.9</v>
      </c>
      <c r="F2090">
        <v>19</v>
      </c>
      <c r="G2090" s="1" t="s">
        <v>11</v>
      </c>
      <c r="H2090" s="1" t="s">
        <v>12</v>
      </c>
      <c r="I2090" s="12">
        <f>car_price_prediction_[[#This Row],[Mileage]]/1000</f>
        <v>128.82400000000001</v>
      </c>
      <c r="J2090" s="5">
        <v>128824</v>
      </c>
      <c r="K2090" s="1" t="s">
        <v>17</v>
      </c>
      <c r="L2090" s="5">
        <f>car_price_prediction_[[#This Row],[Price]]/100</f>
        <v>7584.24</v>
      </c>
      <c r="M2090">
        <v>758424</v>
      </c>
      <c r="N2090" s="1" t="s">
        <v>37</v>
      </c>
      <c r="O2090" s="1">
        <f>IF(IFERROR(VLOOKUP(car_price_prediction_[[#This Row],[Car ID]],A2091:A4590,1,FALSE),0),1,0)</f>
        <v>0</v>
      </c>
    </row>
    <row r="2091" spans="1:15" x14ac:dyDescent="0.25">
      <c r="A2091">
        <v>2090</v>
      </c>
      <c r="B2091" s="1" t="s">
        <v>43</v>
      </c>
      <c r="C2091" s="1">
        <f>car_price_prediction_[[#This Row],[Year2]]</f>
        <v>2018</v>
      </c>
      <c r="D2091">
        <v>2018</v>
      </c>
      <c r="E2091">
        <f>car_price_prediction_[[#This Row],[Engine Size]]/10</f>
        <v>4.8</v>
      </c>
      <c r="F2091">
        <v>48</v>
      </c>
      <c r="G2091" s="1" t="s">
        <v>11</v>
      </c>
      <c r="H2091" s="1" t="s">
        <v>22</v>
      </c>
      <c r="I2091" s="12">
        <f>car_price_prediction_[[#This Row],[Mileage]]/1000</f>
        <v>248.91399999999999</v>
      </c>
      <c r="J2091" s="5">
        <v>248914</v>
      </c>
      <c r="K2091" s="1" t="s">
        <v>13</v>
      </c>
      <c r="L2091" s="5">
        <f>car_price_prediction_[[#This Row],[Price]]/100</f>
        <v>57552.43</v>
      </c>
      <c r="M2091">
        <v>5755243</v>
      </c>
      <c r="N2091" s="1" t="s">
        <v>44</v>
      </c>
      <c r="O2091" s="1">
        <f>IF(IFERROR(VLOOKUP(car_price_prediction_[[#This Row],[Car ID]],A2092:A4591,1,FALSE),0),1,0)</f>
        <v>0</v>
      </c>
    </row>
    <row r="2092" spans="1:15" x14ac:dyDescent="0.25">
      <c r="A2092">
        <v>2091</v>
      </c>
      <c r="B2092" s="1" t="s">
        <v>30</v>
      </c>
      <c r="C2092" s="1">
        <f>car_price_prediction_[[#This Row],[Year2]]</f>
        <v>2022</v>
      </c>
      <c r="D2092">
        <v>2022</v>
      </c>
      <c r="E2092">
        <f>car_price_prediction_[[#This Row],[Engine Size]]/10</f>
        <v>3.4</v>
      </c>
      <c r="F2092">
        <v>34</v>
      </c>
      <c r="G2092" s="1" t="s">
        <v>21</v>
      </c>
      <c r="H2092" s="1" t="s">
        <v>22</v>
      </c>
      <c r="I2092" s="12">
        <f>car_price_prediction_[[#This Row],[Mileage]]/1000</f>
        <v>291.74900000000002</v>
      </c>
      <c r="J2092" s="5">
        <v>291749</v>
      </c>
      <c r="K2092" s="1" t="s">
        <v>17</v>
      </c>
      <c r="L2092" s="5">
        <f>car_price_prediction_[[#This Row],[Price]]/100</f>
        <v>25092.59</v>
      </c>
      <c r="M2092">
        <v>2509259</v>
      </c>
      <c r="N2092" s="1" t="s">
        <v>45</v>
      </c>
      <c r="O2092" s="1">
        <f>IF(IFERROR(VLOOKUP(car_price_prediction_[[#This Row],[Car ID]],A2093:A4592,1,FALSE),0),1,0)</f>
        <v>0</v>
      </c>
    </row>
    <row r="2093" spans="1:15" x14ac:dyDescent="0.25">
      <c r="A2093">
        <v>2092</v>
      </c>
      <c r="B2093" s="1" t="s">
        <v>36</v>
      </c>
      <c r="C2093" s="1">
        <f>car_price_prediction_[[#This Row],[Year2]]</f>
        <v>2022</v>
      </c>
      <c r="D2093">
        <v>2022</v>
      </c>
      <c r="E2093">
        <f>car_price_prediction_[[#This Row],[Engine Size]]/10</f>
        <v>2.1</v>
      </c>
      <c r="F2093">
        <v>21</v>
      </c>
      <c r="G2093" s="1" t="s">
        <v>11</v>
      </c>
      <c r="H2093" s="1" t="s">
        <v>12</v>
      </c>
      <c r="I2093" s="12">
        <f>car_price_prediction_[[#This Row],[Mileage]]/1000</f>
        <v>110.879</v>
      </c>
      <c r="J2093" s="5">
        <v>110879</v>
      </c>
      <c r="K2093" s="1" t="s">
        <v>17</v>
      </c>
      <c r="L2093" s="5">
        <f>car_price_prediction_[[#This Row],[Price]]/100</f>
        <v>3226.53</v>
      </c>
      <c r="M2093">
        <v>322653</v>
      </c>
      <c r="N2093" s="1" t="s">
        <v>41</v>
      </c>
      <c r="O2093" s="1">
        <f>IF(IFERROR(VLOOKUP(car_price_prediction_[[#This Row],[Car ID]],A2094:A4593,1,FALSE),0),1,0)</f>
        <v>0</v>
      </c>
    </row>
    <row r="2094" spans="1:15" x14ac:dyDescent="0.25">
      <c r="A2094">
        <v>2093</v>
      </c>
      <c r="B2094" s="1" t="s">
        <v>43</v>
      </c>
      <c r="C2094" s="1">
        <f>car_price_prediction_[[#This Row],[Year2]]</f>
        <v>2005</v>
      </c>
      <c r="D2094">
        <v>2005</v>
      </c>
      <c r="E2094">
        <f>car_price_prediction_[[#This Row],[Engine Size]]/10</f>
        <v>4.0999999999999996</v>
      </c>
      <c r="F2094">
        <v>41</v>
      </c>
      <c r="G2094" s="1" t="s">
        <v>21</v>
      </c>
      <c r="H2094" s="1" t="s">
        <v>22</v>
      </c>
      <c r="I2094" s="12">
        <f>car_price_prediction_[[#This Row],[Mileage]]/1000</f>
        <v>120.827</v>
      </c>
      <c r="J2094" s="5">
        <v>120827</v>
      </c>
      <c r="K2094" s="1" t="s">
        <v>25</v>
      </c>
      <c r="L2094" s="5">
        <f>car_price_prediction_[[#This Row],[Price]]/100</f>
        <v>9149.48</v>
      </c>
      <c r="M2094">
        <v>914948</v>
      </c>
      <c r="N2094" s="1" t="s">
        <v>44</v>
      </c>
      <c r="O2094" s="1">
        <f>IF(IFERROR(VLOOKUP(car_price_prediction_[[#This Row],[Car ID]],A2095:A4594,1,FALSE),0),1,0)</f>
        <v>0</v>
      </c>
    </row>
    <row r="2095" spans="1:15" x14ac:dyDescent="0.25">
      <c r="A2095">
        <v>2094</v>
      </c>
      <c r="B2095" s="1" t="s">
        <v>36</v>
      </c>
      <c r="C2095" s="1">
        <f>car_price_prediction_[[#This Row],[Year2]]</f>
        <v>2021</v>
      </c>
      <c r="D2095">
        <v>2021</v>
      </c>
      <c r="E2095">
        <f>car_price_prediction_[[#This Row],[Engine Size]]/10</f>
        <v>1.2</v>
      </c>
      <c r="F2095">
        <v>12</v>
      </c>
      <c r="G2095" s="1" t="s">
        <v>21</v>
      </c>
      <c r="H2095" s="1" t="s">
        <v>22</v>
      </c>
      <c r="I2095" s="12">
        <f>car_price_prediction_[[#This Row],[Mileage]]/1000</f>
        <v>267.72399999999999</v>
      </c>
      <c r="J2095" s="5">
        <v>267724</v>
      </c>
      <c r="K2095" s="1" t="s">
        <v>25</v>
      </c>
      <c r="L2095" s="5">
        <f>car_price_prediction_[[#This Row],[Price]]/100</f>
        <v>5276.76</v>
      </c>
      <c r="M2095">
        <v>527676</v>
      </c>
      <c r="N2095" s="1" t="s">
        <v>41</v>
      </c>
      <c r="O2095" s="1">
        <f>IF(IFERROR(VLOOKUP(car_price_prediction_[[#This Row],[Car ID]],A2096:A4595,1,FALSE),0),1,0)</f>
        <v>0</v>
      </c>
    </row>
    <row r="2096" spans="1:15" x14ac:dyDescent="0.25">
      <c r="A2096">
        <v>2095</v>
      </c>
      <c r="B2096" s="1" t="s">
        <v>30</v>
      </c>
      <c r="C2096" s="1">
        <f>car_price_prediction_[[#This Row],[Year2]]</f>
        <v>2017</v>
      </c>
      <c r="D2096">
        <v>2017</v>
      </c>
      <c r="E2096">
        <f>car_price_prediction_[[#This Row],[Engine Size]]/10</f>
        <v>2.6</v>
      </c>
      <c r="F2096">
        <v>26</v>
      </c>
      <c r="G2096" s="1" t="s">
        <v>21</v>
      </c>
      <c r="H2096" s="1" t="s">
        <v>22</v>
      </c>
      <c r="I2096" s="12">
        <f>car_price_prediction_[[#This Row],[Mileage]]/1000</f>
        <v>267.54399999999998</v>
      </c>
      <c r="J2096" s="5">
        <v>267544</v>
      </c>
      <c r="K2096" s="1" t="s">
        <v>17</v>
      </c>
      <c r="L2096" s="5">
        <f>car_price_prediction_[[#This Row],[Price]]/100</f>
        <v>30556.32</v>
      </c>
      <c r="M2096">
        <v>3055632</v>
      </c>
      <c r="N2096" s="1" t="s">
        <v>42</v>
      </c>
      <c r="O2096" s="1">
        <f>IF(IFERROR(VLOOKUP(car_price_prediction_[[#This Row],[Car ID]],A2097:A4596,1,FALSE),0),1,0)</f>
        <v>0</v>
      </c>
    </row>
    <row r="2097" spans="1:15" x14ac:dyDescent="0.25">
      <c r="A2097">
        <v>2096</v>
      </c>
      <c r="B2097" s="1" t="s">
        <v>24</v>
      </c>
      <c r="C2097" s="1">
        <f>car_price_prediction_[[#This Row],[Year2]]</f>
        <v>2005</v>
      </c>
      <c r="D2097">
        <v>2005</v>
      </c>
      <c r="E2097">
        <f>car_price_prediction_[[#This Row],[Engine Size]]/10</f>
        <v>3.3</v>
      </c>
      <c r="F2097">
        <v>33</v>
      </c>
      <c r="G2097" s="1" t="s">
        <v>11</v>
      </c>
      <c r="H2097" s="1" t="s">
        <v>22</v>
      </c>
      <c r="I2097" s="12">
        <f>car_price_prediction_[[#This Row],[Mileage]]/1000</f>
        <v>170.715</v>
      </c>
      <c r="J2097" s="5">
        <v>170715</v>
      </c>
      <c r="K2097" s="1" t="s">
        <v>13</v>
      </c>
      <c r="L2097" s="5">
        <f>car_price_prediction_[[#This Row],[Price]]/100</f>
        <v>61853.87</v>
      </c>
      <c r="M2097">
        <v>6185387</v>
      </c>
      <c r="N2097" s="1" t="s">
        <v>26</v>
      </c>
      <c r="O2097" s="1">
        <f>IF(IFERROR(VLOOKUP(car_price_prediction_[[#This Row],[Car ID]],A2098:A4597,1,FALSE),0),1,0)</f>
        <v>0</v>
      </c>
    </row>
    <row r="2098" spans="1:15" x14ac:dyDescent="0.25">
      <c r="A2098">
        <v>2097</v>
      </c>
      <c r="B2098" s="1" t="s">
        <v>30</v>
      </c>
      <c r="C2098" s="1">
        <f>car_price_prediction_[[#This Row],[Year2]]</f>
        <v>2003</v>
      </c>
      <c r="D2098">
        <v>2003</v>
      </c>
      <c r="E2098">
        <f>car_price_prediction_[[#This Row],[Engine Size]]/10</f>
        <v>1.7</v>
      </c>
      <c r="F2098">
        <v>17</v>
      </c>
      <c r="G2098" s="1" t="s">
        <v>29</v>
      </c>
      <c r="H2098" s="1" t="s">
        <v>22</v>
      </c>
      <c r="I2098" s="12">
        <f>car_price_prediction_[[#This Row],[Mileage]]/1000</f>
        <v>227.25700000000001</v>
      </c>
      <c r="J2098" s="5">
        <v>227257</v>
      </c>
      <c r="K2098" s="1" t="s">
        <v>17</v>
      </c>
      <c r="L2098" s="5">
        <f>car_price_prediction_[[#This Row],[Price]]/100</f>
        <v>24158.79</v>
      </c>
      <c r="M2098">
        <v>2415879</v>
      </c>
      <c r="N2098" s="1" t="s">
        <v>45</v>
      </c>
      <c r="O2098" s="1">
        <f>IF(IFERROR(VLOOKUP(car_price_prediction_[[#This Row],[Car ID]],A2099:A4598,1,FALSE),0),1,0)</f>
        <v>0</v>
      </c>
    </row>
    <row r="2099" spans="1:15" x14ac:dyDescent="0.25">
      <c r="A2099">
        <v>2098</v>
      </c>
      <c r="B2099" s="1" t="s">
        <v>30</v>
      </c>
      <c r="C2099" s="1">
        <f>car_price_prediction_[[#This Row],[Year2]]</f>
        <v>2011</v>
      </c>
      <c r="D2099">
        <v>2011</v>
      </c>
      <c r="E2099">
        <f>car_price_prediction_[[#This Row],[Engine Size]]/10</f>
        <v>5.9</v>
      </c>
      <c r="F2099">
        <v>59</v>
      </c>
      <c r="G2099" s="1" t="s">
        <v>11</v>
      </c>
      <c r="H2099" s="1" t="s">
        <v>22</v>
      </c>
      <c r="I2099" s="12">
        <f>car_price_prediction_[[#This Row],[Mileage]]/1000</f>
        <v>127.319</v>
      </c>
      <c r="J2099" s="5">
        <v>127319</v>
      </c>
      <c r="K2099" s="1" t="s">
        <v>13</v>
      </c>
      <c r="L2099" s="5">
        <f>car_price_prediction_[[#This Row],[Price]]/100</f>
        <v>12067.59</v>
      </c>
      <c r="M2099">
        <v>1206759</v>
      </c>
      <c r="N2099" s="1" t="s">
        <v>31</v>
      </c>
      <c r="O2099" s="1">
        <f>IF(IFERROR(VLOOKUP(car_price_prediction_[[#This Row],[Car ID]],A2100:A4599,1,FALSE),0),1,0)</f>
        <v>0</v>
      </c>
    </row>
    <row r="2100" spans="1:15" x14ac:dyDescent="0.25">
      <c r="A2100">
        <v>2099</v>
      </c>
      <c r="B2100" s="1" t="s">
        <v>36</v>
      </c>
      <c r="C2100" s="1">
        <f>car_price_prediction_[[#This Row],[Year2]]</f>
        <v>2018</v>
      </c>
      <c r="D2100">
        <v>2018</v>
      </c>
      <c r="E2100">
        <f>car_price_prediction_[[#This Row],[Engine Size]]/10</f>
        <v>2</v>
      </c>
      <c r="F2100">
        <v>20</v>
      </c>
      <c r="G2100" s="1" t="s">
        <v>11</v>
      </c>
      <c r="H2100" s="1" t="s">
        <v>22</v>
      </c>
      <c r="I2100" s="12">
        <f>car_price_prediction_[[#This Row],[Mileage]]/1000</f>
        <v>106.96</v>
      </c>
      <c r="J2100" s="5">
        <v>106960</v>
      </c>
      <c r="K2100" s="1" t="s">
        <v>13</v>
      </c>
      <c r="L2100" s="5">
        <f>car_price_prediction_[[#This Row],[Price]]/100</f>
        <v>698.61</v>
      </c>
      <c r="M2100">
        <v>69861</v>
      </c>
      <c r="N2100" s="1" t="s">
        <v>37</v>
      </c>
      <c r="O2100" s="1">
        <f>IF(IFERROR(VLOOKUP(car_price_prediction_[[#This Row],[Car ID]],A2101:A4600,1,FALSE),0),1,0)</f>
        <v>0</v>
      </c>
    </row>
    <row r="2101" spans="1:15" x14ac:dyDescent="0.25">
      <c r="A2101">
        <v>2100</v>
      </c>
      <c r="B2101" s="1" t="s">
        <v>10</v>
      </c>
      <c r="C2101" s="1">
        <f>car_price_prediction_[[#This Row],[Year2]]</f>
        <v>2001</v>
      </c>
      <c r="D2101">
        <v>2001</v>
      </c>
      <c r="E2101">
        <f>car_price_prediction_[[#This Row],[Engine Size]]/10</f>
        <v>1.7</v>
      </c>
      <c r="F2101">
        <v>17</v>
      </c>
      <c r="G2101" s="1" t="s">
        <v>16</v>
      </c>
      <c r="H2101" s="1" t="s">
        <v>22</v>
      </c>
      <c r="I2101" s="12">
        <f>car_price_prediction_[[#This Row],[Mileage]]/1000</f>
        <v>39.015000000000001</v>
      </c>
      <c r="J2101" s="5">
        <v>39015</v>
      </c>
      <c r="K2101" s="1" t="s">
        <v>13</v>
      </c>
      <c r="L2101" s="5">
        <f>car_price_prediction_[[#This Row],[Price]]/100</f>
        <v>95395.26</v>
      </c>
      <c r="M2101">
        <v>9539526</v>
      </c>
      <c r="N2101" s="1" t="s">
        <v>33</v>
      </c>
      <c r="O2101" s="1">
        <f>IF(IFERROR(VLOOKUP(car_price_prediction_[[#This Row],[Car ID]],A2102:A4601,1,FALSE),0),1,0)</f>
        <v>0</v>
      </c>
    </row>
    <row r="2102" spans="1:15" x14ac:dyDescent="0.25">
      <c r="A2102">
        <v>2101</v>
      </c>
      <c r="B2102" s="1" t="s">
        <v>19</v>
      </c>
      <c r="C2102" s="1">
        <f>car_price_prediction_[[#This Row],[Year2]]</f>
        <v>2016</v>
      </c>
      <c r="D2102">
        <v>2016</v>
      </c>
      <c r="E2102">
        <f>car_price_prediction_[[#This Row],[Engine Size]]/10</f>
        <v>2</v>
      </c>
      <c r="F2102">
        <v>20</v>
      </c>
      <c r="G2102" s="1" t="s">
        <v>21</v>
      </c>
      <c r="H2102" s="1" t="s">
        <v>12</v>
      </c>
      <c r="I2102" s="12">
        <f>car_price_prediction_[[#This Row],[Mileage]]/1000</f>
        <v>203.87700000000001</v>
      </c>
      <c r="J2102" s="5">
        <v>203877</v>
      </c>
      <c r="K2102" s="1" t="s">
        <v>17</v>
      </c>
      <c r="L2102" s="5">
        <f>car_price_prediction_[[#This Row],[Price]]/100</f>
        <v>73838.03</v>
      </c>
      <c r="M2102">
        <v>7383803</v>
      </c>
      <c r="N2102" s="1" t="s">
        <v>28</v>
      </c>
      <c r="O2102" s="1">
        <f>IF(IFERROR(VLOOKUP(car_price_prediction_[[#This Row],[Car ID]],A2103:A4602,1,FALSE),0),1,0)</f>
        <v>0</v>
      </c>
    </row>
    <row r="2103" spans="1:15" x14ac:dyDescent="0.25">
      <c r="A2103">
        <v>2102</v>
      </c>
      <c r="B2103" s="1" t="s">
        <v>15</v>
      </c>
      <c r="C2103" s="1">
        <f>car_price_prediction_[[#This Row],[Year2]]</f>
        <v>2010</v>
      </c>
      <c r="D2103">
        <v>2010</v>
      </c>
      <c r="E2103">
        <f>car_price_prediction_[[#This Row],[Engine Size]]/10</f>
        <v>4.8</v>
      </c>
      <c r="F2103">
        <v>48</v>
      </c>
      <c r="G2103" s="1" t="s">
        <v>29</v>
      </c>
      <c r="H2103" s="1" t="s">
        <v>12</v>
      </c>
      <c r="I2103" s="12">
        <f>car_price_prediction_[[#This Row],[Mileage]]/1000</f>
        <v>145.10900000000001</v>
      </c>
      <c r="J2103" s="5">
        <v>145109</v>
      </c>
      <c r="K2103" s="1" t="s">
        <v>13</v>
      </c>
      <c r="L2103" s="5">
        <f>car_price_prediction_[[#This Row],[Price]]/100</f>
        <v>80995.070000000007</v>
      </c>
      <c r="M2103">
        <v>8099507</v>
      </c>
      <c r="N2103" s="1" t="s">
        <v>39</v>
      </c>
      <c r="O2103" s="1">
        <f>IF(IFERROR(VLOOKUP(car_price_prediction_[[#This Row],[Car ID]],A2104:A4603,1,FALSE),0),1,0)</f>
        <v>0</v>
      </c>
    </row>
    <row r="2104" spans="1:15" x14ac:dyDescent="0.25">
      <c r="A2104">
        <v>2103</v>
      </c>
      <c r="B2104" s="1" t="s">
        <v>15</v>
      </c>
      <c r="C2104" s="1">
        <f>car_price_prediction_[[#This Row],[Year2]]</f>
        <v>2010</v>
      </c>
      <c r="D2104">
        <v>2010</v>
      </c>
      <c r="E2104">
        <f>car_price_prediction_[[#This Row],[Engine Size]]/10</f>
        <v>3.1</v>
      </c>
      <c r="F2104">
        <v>31</v>
      </c>
      <c r="G2104" s="1" t="s">
        <v>16</v>
      </c>
      <c r="H2104" s="1" t="s">
        <v>12</v>
      </c>
      <c r="I2104" s="12">
        <f>car_price_prediction_[[#This Row],[Mileage]]/1000</f>
        <v>262.06299999999999</v>
      </c>
      <c r="J2104" s="5">
        <v>262063</v>
      </c>
      <c r="K2104" s="1" t="s">
        <v>17</v>
      </c>
      <c r="L2104" s="5">
        <f>car_price_prediction_[[#This Row],[Price]]/100</f>
        <v>98187.18</v>
      </c>
      <c r="M2104">
        <v>9818718</v>
      </c>
      <c r="N2104" s="1" t="s">
        <v>35</v>
      </c>
      <c r="O2104" s="1">
        <f>IF(IFERROR(VLOOKUP(car_price_prediction_[[#This Row],[Car ID]],A2105:A4604,1,FALSE),0),1,0)</f>
        <v>0</v>
      </c>
    </row>
    <row r="2105" spans="1:15" x14ac:dyDescent="0.25">
      <c r="A2105">
        <v>2104</v>
      </c>
      <c r="B2105" s="1" t="s">
        <v>24</v>
      </c>
      <c r="C2105" s="1">
        <f>car_price_prediction_[[#This Row],[Year2]]</f>
        <v>2020</v>
      </c>
      <c r="D2105">
        <v>2020</v>
      </c>
      <c r="E2105">
        <f>car_price_prediction_[[#This Row],[Engine Size]]/10</f>
        <v>3.8</v>
      </c>
      <c r="F2105">
        <v>38</v>
      </c>
      <c r="G2105" s="1" t="s">
        <v>29</v>
      </c>
      <c r="H2105" s="1" t="s">
        <v>22</v>
      </c>
      <c r="I2105" s="12">
        <f>car_price_prediction_[[#This Row],[Mileage]]/1000</f>
        <v>88.754000000000005</v>
      </c>
      <c r="J2105" s="5">
        <v>88754</v>
      </c>
      <c r="K2105" s="1" t="s">
        <v>13</v>
      </c>
      <c r="L2105" s="5">
        <f>car_price_prediction_[[#This Row],[Price]]/100</f>
        <v>93504.73</v>
      </c>
      <c r="M2105">
        <v>9350473</v>
      </c>
      <c r="N2105" s="1" t="s">
        <v>32</v>
      </c>
      <c r="O2105" s="1">
        <f>IF(IFERROR(VLOOKUP(car_price_prediction_[[#This Row],[Car ID]],A2106:A4605,1,FALSE),0),1,0)</f>
        <v>0</v>
      </c>
    </row>
    <row r="2106" spans="1:15" x14ac:dyDescent="0.25">
      <c r="A2106">
        <v>2105</v>
      </c>
      <c r="B2106" s="1" t="s">
        <v>24</v>
      </c>
      <c r="C2106" s="1">
        <f>car_price_prediction_[[#This Row],[Year2]]</f>
        <v>2015</v>
      </c>
      <c r="D2106">
        <v>2015</v>
      </c>
      <c r="E2106">
        <f>car_price_prediction_[[#This Row],[Engine Size]]/10</f>
        <v>1.1000000000000001</v>
      </c>
      <c r="F2106">
        <v>11</v>
      </c>
      <c r="G2106" s="1" t="s">
        <v>29</v>
      </c>
      <c r="H2106" s="1" t="s">
        <v>22</v>
      </c>
      <c r="I2106" s="12">
        <f>car_price_prediction_[[#This Row],[Mileage]]/1000</f>
        <v>221.77500000000001</v>
      </c>
      <c r="J2106" s="5">
        <v>221775</v>
      </c>
      <c r="K2106" s="1" t="s">
        <v>13</v>
      </c>
      <c r="L2106" s="5">
        <f>car_price_prediction_[[#This Row],[Price]]/100</f>
        <v>75006.75</v>
      </c>
      <c r="M2106">
        <v>7500675</v>
      </c>
      <c r="N2106" s="1" t="s">
        <v>32</v>
      </c>
      <c r="O2106" s="1">
        <f>IF(IFERROR(VLOOKUP(car_price_prediction_[[#This Row],[Car ID]],A2107:A4606,1,FALSE),0),1,0)</f>
        <v>0</v>
      </c>
    </row>
    <row r="2107" spans="1:15" x14ac:dyDescent="0.25">
      <c r="A2107">
        <v>2106</v>
      </c>
      <c r="B2107" s="1" t="s">
        <v>15</v>
      </c>
      <c r="C2107" s="1">
        <f>car_price_prediction_[[#This Row],[Year2]]</f>
        <v>2001</v>
      </c>
      <c r="D2107">
        <v>2001</v>
      </c>
      <c r="E2107">
        <f>car_price_prediction_[[#This Row],[Engine Size]]/10</f>
        <v>1.2</v>
      </c>
      <c r="F2107">
        <v>12</v>
      </c>
      <c r="G2107" s="1" t="s">
        <v>21</v>
      </c>
      <c r="H2107" s="1" t="s">
        <v>22</v>
      </c>
      <c r="I2107" s="12">
        <f>car_price_prediction_[[#This Row],[Mileage]]/1000</f>
        <v>203.22499999999999</v>
      </c>
      <c r="J2107" s="5">
        <v>203225</v>
      </c>
      <c r="K2107" s="1" t="s">
        <v>17</v>
      </c>
      <c r="L2107" s="5">
        <f>car_price_prediction_[[#This Row],[Price]]/100</f>
        <v>70928.77</v>
      </c>
      <c r="M2107">
        <v>7092877</v>
      </c>
      <c r="N2107" s="1" t="s">
        <v>18</v>
      </c>
      <c r="O2107" s="1">
        <f>IF(IFERROR(VLOOKUP(car_price_prediction_[[#This Row],[Car ID]],A2108:A4607,1,FALSE),0),1,0)</f>
        <v>0</v>
      </c>
    </row>
    <row r="2108" spans="1:15" x14ac:dyDescent="0.25">
      <c r="A2108">
        <v>2107</v>
      </c>
      <c r="B2108" s="1" t="s">
        <v>19</v>
      </c>
      <c r="C2108" s="1">
        <f>car_price_prediction_[[#This Row],[Year2]]</f>
        <v>2001</v>
      </c>
      <c r="D2108">
        <v>2001</v>
      </c>
      <c r="E2108">
        <f>car_price_prediction_[[#This Row],[Engine Size]]/10</f>
        <v>3.2</v>
      </c>
      <c r="F2108">
        <v>32</v>
      </c>
      <c r="G2108" s="1" t="s">
        <v>11</v>
      </c>
      <c r="H2108" s="1" t="s">
        <v>12</v>
      </c>
      <c r="I2108" s="12">
        <f>car_price_prediction_[[#This Row],[Mileage]]/1000</f>
        <v>152.60599999999999</v>
      </c>
      <c r="J2108" s="5">
        <v>152606</v>
      </c>
      <c r="K2108" s="1" t="s">
        <v>25</v>
      </c>
      <c r="L2108" s="5">
        <f>car_price_prediction_[[#This Row],[Price]]/100</f>
        <v>37000.75</v>
      </c>
      <c r="M2108">
        <v>3700075</v>
      </c>
      <c r="N2108" s="1" t="s">
        <v>27</v>
      </c>
      <c r="O2108" s="1">
        <f>IF(IFERROR(VLOOKUP(car_price_prediction_[[#This Row],[Car ID]],A2109:A4608,1,FALSE),0),1,0)</f>
        <v>0</v>
      </c>
    </row>
    <row r="2109" spans="1:15" x14ac:dyDescent="0.25">
      <c r="A2109">
        <v>2108</v>
      </c>
      <c r="B2109" s="1" t="s">
        <v>15</v>
      </c>
      <c r="C2109" s="1">
        <f>car_price_prediction_[[#This Row],[Year2]]</f>
        <v>2022</v>
      </c>
      <c r="D2109">
        <v>2022</v>
      </c>
      <c r="E2109">
        <f>car_price_prediction_[[#This Row],[Engine Size]]/10</f>
        <v>5.0999999999999996</v>
      </c>
      <c r="F2109">
        <v>51</v>
      </c>
      <c r="G2109" s="1" t="s">
        <v>21</v>
      </c>
      <c r="H2109" s="1" t="s">
        <v>12</v>
      </c>
      <c r="I2109" s="12">
        <f>car_price_prediction_[[#This Row],[Mileage]]/1000</f>
        <v>222.06700000000001</v>
      </c>
      <c r="J2109" s="5">
        <v>222067</v>
      </c>
      <c r="K2109" s="1" t="s">
        <v>25</v>
      </c>
      <c r="L2109" s="5">
        <f>car_price_prediction_[[#This Row],[Price]]/100</f>
        <v>14881.64</v>
      </c>
      <c r="M2109">
        <v>1488164</v>
      </c>
      <c r="N2109" s="1" t="s">
        <v>35</v>
      </c>
      <c r="O2109" s="1">
        <f>IF(IFERROR(VLOOKUP(car_price_prediction_[[#This Row],[Car ID]],A2110:A4609,1,FALSE),0),1,0)</f>
        <v>0</v>
      </c>
    </row>
    <row r="2110" spans="1:15" x14ac:dyDescent="0.25">
      <c r="A2110">
        <v>2109</v>
      </c>
      <c r="B2110" s="1" t="s">
        <v>10</v>
      </c>
      <c r="C2110" s="1">
        <f>car_price_prediction_[[#This Row],[Year2]]</f>
        <v>2007</v>
      </c>
      <c r="D2110">
        <v>2007</v>
      </c>
      <c r="E2110">
        <f>car_price_prediction_[[#This Row],[Engine Size]]/10</f>
        <v>5.4</v>
      </c>
      <c r="F2110">
        <v>54</v>
      </c>
      <c r="G2110" s="1" t="s">
        <v>21</v>
      </c>
      <c r="H2110" s="1" t="s">
        <v>12</v>
      </c>
      <c r="I2110" s="12">
        <f>car_price_prediction_[[#This Row],[Mileage]]/1000</f>
        <v>56.878999999999998</v>
      </c>
      <c r="J2110" s="5">
        <v>56879</v>
      </c>
      <c r="K2110" s="1" t="s">
        <v>17</v>
      </c>
      <c r="L2110" s="5">
        <f>car_price_prediction_[[#This Row],[Price]]/100</f>
        <v>59503.64</v>
      </c>
      <c r="M2110">
        <v>5950364</v>
      </c>
      <c r="N2110" s="1" t="s">
        <v>23</v>
      </c>
      <c r="O2110" s="1">
        <f>IF(IFERROR(VLOOKUP(car_price_prediction_[[#This Row],[Car ID]],A2111:A4610,1,FALSE),0),1,0)</f>
        <v>0</v>
      </c>
    </row>
    <row r="2111" spans="1:15" x14ac:dyDescent="0.25">
      <c r="A2111">
        <v>2110</v>
      </c>
      <c r="B2111" s="1" t="s">
        <v>19</v>
      </c>
      <c r="C2111" s="1">
        <f>car_price_prediction_[[#This Row],[Year2]]</f>
        <v>2012</v>
      </c>
      <c r="D2111">
        <v>2012</v>
      </c>
      <c r="E2111">
        <f>car_price_prediction_[[#This Row],[Engine Size]]/10</f>
        <v>1.4</v>
      </c>
      <c r="F2111">
        <v>14</v>
      </c>
      <c r="G2111" s="1" t="s">
        <v>16</v>
      </c>
      <c r="H2111" s="1" t="s">
        <v>22</v>
      </c>
      <c r="I2111" s="12">
        <f>car_price_prediction_[[#This Row],[Mileage]]/1000</f>
        <v>119.89400000000001</v>
      </c>
      <c r="J2111" s="5">
        <v>119894</v>
      </c>
      <c r="K2111" s="1" t="s">
        <v>17</v>
      </c>
      <c r="L2111" s="5">
        <f>car_price_prediction_[[#This Row],[Price]]/100</f>
        <v>59744.06</v>
      </c>
      <c r="M2111">
        <v>5974406</v>
      </c>
      <c r="N2111" s="1" t="s">
        <v>28</v>
      </c>
      <c r="O2111" s="1">
        <f>IF(IFERROR(VLOOKUP(car_price_prediction_[[#This Row],[Car ID]],A2112:A4611,1,FALSE),0),1,0)</f>
        <v>0</v>
      </c>
    </row>
    <row r="2112" spans="1:15" x14ac:dyDescent="0.25">
      <c r="A2112">
        <v>2111</v>
      </c>
      <c r="B2112" s="1" t="s">
        <v>24</v>
      </c>
      <c r="C2112" s="1">
        <f>car_price_prediction_[[#This Row],[Year2]]</f>
        <v>2009</v>
      </c>
      <c r="D2112">
        <v>2009</v>
      </c>
      <c r="E2112">
        <f>car_price_prediction_[[#This Row],[Engine Size]]/10</f>
        <v>3.7</v>
      </c>
      <c r="F2112">
        <v>37</v>
      </c>
      <c r="G2112" s="1" t="s">
        <v>21</v>
      </c>
      <c r="H2112" s="1" t="s">
        <v>12</v>
      </c>
      <c r="I2112" s="12">
        <f>car_price_prediction_[[#This Row],[Mileage]]/1000</f>
        <v>65.838999999999999</v>
      </c>
      <c r="J2112" s="5">
        <v>65839</v>
      </c>
      <c r="K2112" s="1" t="s">
        <v>25</v>
      </c>
      <c r="L2112" s="5">
        <f>car_price_prediction_[[#This Row],[Price]]/100</f>
        <v>95462.54</v>
      </c>
      <c r="M2112">
        <v>9546254</v>
      </c>
      <c r="N2112" s="1" t="s">
        <v>32</v>
      </c>
      <c r="O2112" s="1">
        <f>IF(IFERROR(VLOOKUP(car_price_prediction_[[#This Row],[Car ID]],A2113:A4612,1,FALSE),0),1,0)</f>
        <v>0</v>
      </c>
    </row>
    <row r="2113" spans="1:15" x14ac:dyDescent="0.25">
      <c r="A2113">
        <v>2112</v>
      </c>
      <c r="B2113" s="1" t="s">
        <v>43</v>
      </c>
      <c r="C2113" s="1">
        <f>car_price_prediction_[[#This Row],[Year2]]</f>
        <v>2007</v>
      </c>
      <c r="D2113">
        <v>2007</v>
      </c>
      <c r="E2113">
        <f>car_price_prediction_[[#This Row],[Engine Size]]/10</f>
        <v>5.6</v>
      </c>
      <c r="F2113">
        <v>56</v>
      </c>
      <c r="G2113" s="1" t="s">
        <v>11</v>
      </c>
      <c r="H2113" s="1" t="s">
        <v>12</v>
      </c>
      <c r="I2113" s="12">
        <f>car_price_prediction_[[#This Row],[Mileage]]/1000</f>
        <v>29.756</v>
      </c>
      <c r="J2113" s="5">
        <v>29756</v>
      </c>
      <c r="K2113" s="1" t="s">
        <v>25</v>
      </c>
      <c r="L2113" s="5">
        <f>car_price_prediction_[[#This Row],[Price]]/100</f>
        <v>47044.23</v>
      </c>
      <c r="M2113">
        <v>4704423</v>
      </c>
      <c r="N2113" s="1" t="s">
        <v>50</v>
      </c>
      <c r="O2113" s="1">
        <f>IF(IFERROR(VLOOKUP(car_price_prediction_[[#This Row],[Car ID]],A2114:A4613,1,FALSE),0),1,0)</f>
        <v>0</v>
      </c>
    </row>
    <row r="2114" spans="1:15" x14ac:dyDescent="0.25">
      <c r="A2114">
        <v>2113</v>
      </c>
      <c r="B2114" s="1" t="s">
        <v>36</v>
      </c>
      <c r="C2114" s="1">
        <f>car_price_prediction_[[#This Row],[Year2]]</f>
        <v>2003</v>
      </c>
      <c r="D2114">
        <v>2003</v>
      </c>
      <c r="E2114">
        <f>car_price_prediction_[[#This Row],[Engine Size]]/10</f>
        <v>2.9</v>
      </c>
      <c r="F2114">
        <v>29</v>
      </c>
      <c r="G2114" s="1" t="s">
        <v>29</v>
      </c>
      <c r="H2114" s="1" t="s">
        <v>22</v>
      </c>
      <c r="I2114" s="12">
        <f>car_price_prediction_[[#This Row],[Mileage]]/1000</f>
        <v>143.755</v>
      </c>
      <c r="J2114" s="5">
        <v>143755</v>
      </c>
      <c r="K2114" s="1" t="s">
        <v>25</v>
      </c>
      <c r="L2114" s="5">
        <f>car_price_prediction_[[#This Row],[Price]]/100</f>
        <v>70626.720000000001</v>
      </c>
      <c r="M2114">
        <v>7062672</v>
      </c>
      <c r="N2114" s="1" t="s">
        <v>40</v>
      </c>
      <c r="O2114" s="1">
        <f>IF(IFERROR(VLOOKUP(car_price_prediction_[[#This Row],[Car ID]],A2115:A4614,1,FALSE),0),1,0)</f>
        <v>0</v>
      </c>
    </row>
    <row r="2115" spans="1:15" x14ac:dyDescent="0.25">
      <c r="A2115">
        <v>2114</v>
      </c>
      <c r="B2115" s="1" t="s">
        <v>10</v>
      </c>
      <c r="C2115" s="1">
        <f>car_price_prediction_[[#This Row],[Year2]]</f>
        <v>2014</v>
      </c>
      <c r="D2115">
        <v>2014</v>
      </c>
      <c r="E2115">
        <f>car_price_prediction_[[#This Row],[Engine Size]]/10</f>
        <v>5.0999999999999996</v>
      </c>
      <c r="F2115">
        <v>51</v>
      </c>
      <c r="G2115" s="1" t="s">
        <v>21</v>
      </c>
      <c r="H2115" s="1" t="s">
        <v>12</v>
      </c>
      <c r="I2115" s="12">
        <f>car_price_prediction_[[#This Row],[Mileage]]/1000</f>
        <v>180.55699999999999</v>
      </c>
      <c r="J2115" s="5">
        <v>180557</v>
      </c>
      <c r="K2115" s="1" t="s">
        <v>17</v>
      </c>
      <c r="L2115" s="5">
        <f>car_price_prediction_[[#This Row],[Price]]/100</f>
        <v>59622.21</v>
      </c>
      <c r="M2115">
        <v>5962221</v>
      </c>
      <c r="N2115" s="1" t="s">
        <v>14</v>
      </c>
      <c r="O2115" s="1">
        <f>IF(IFERROR(VLOOKUP(car_price_prediction_[[#This Row],[Car ID]],A2116:A4615,1,FALSE),0),1,0)</f>
        <v>0</v>
      </c>
    </row>
    <row r="2116" spans="1:15" x14ac:dyDescent="0.25">
      <c r="A2116">
        <v>2115</v>
      </c>
      <c r="B2116" s="1" t="s">
        <v>10</v>
      </c>
      <c r="C2116" s="1">
        <f>car_price_prediction_[[#This Row],[Year2]]</f>
        <v>2000</v>
      </c>
      <c r="D2116">
        <v>2000</v>
      </c>
      <c r="E2116">
        <f>car_price_prediction_[[#This Row],[Engine Size]]/10</f>
        <v>1.7</v>
      </c>
      <c r="F2116">
        <v>17</v>
      </c>
      <c r="G2116" s="1" t="s">
        <v>29</v>
      </c>
      <c r="H2116" s="1" t="s">
        <v>22</v>
      </c>
      <c r="I2116" s="12">
        <f>car_price_prediction_[[#This Row],[Mileage]]/1000</f>
        <v>229.303</v>
      </c>
      <c r="J2116" s="5">
        <v>229303</v>
      </c>
      <c r="K2116" s="1" t="s">
        <v>13</v>
      </c>
      <c r="L2116" s="5">
        <f>car_price_prediction_[[#This Row],[Price]]/100</f>
        <v>21792.22</v>
      </c>
      <c r="M2116">
        <v>2179222</v>
      </c>
      <c r="N2116" s="1" t="s">
        <v>33</v>
      </c>
      <c r="O2116" s="1">
        <f>IF(IFERROR(VLOOKUP(car_price_prediction_[[#This Row],[Car ID]],A2117:A4616,1,FALSE),0),1,0)</f>
        <v>0</v>
      </c>
    </row>
    <row r="2117" spans="1:15" x14ac:dyDescent="0.25">
      <c r="A2117">
        <v>2116</v>
      </c>
      <c r="B2117" s="1" t="s">
        <v>24</v>
      </c>
      <c r="C2117" s="1">
        <f>car_price_prediction_[[#This Row],[Year2]]</f>
        <v>2010</v>
      </c>
      <c r="D2117">
        <v>2010</v>
      </c>
      <c r="E2117">
        <f>car_price_prediction_[[#This Row],[Engine Size]]/10</f>
        <v>5.7</v>
      </c>
      <c r="F2117">
        <v>57</v>
      </c>
      <c r="G2117" s="1" t="s">
        <v>21</v>
      </c>
      <c r="H2117" s="1" t="s">
        <v>12</v>
      </c>
      <c r="I2117" s="12">
        <f>car_price_prediction_[[#This Row],[Mileage]]/1000</f>
        <v>149.78700000000001</v>
      </c>
      <c r="J2117" s="5">
        <v>149787</v>
      </c>
      <c r="K2117" s="1" t="s">
        <v>17</v>
      </c>
      <c r="L2117" s="5">
        <f>car_price_prediction_[[#This Row],[Price]]/100</f>
        <v>61246.11</v>
      </c>
      <c r="M2117">
        <v>6124611</v>
      </c>
      <c r="N2117" s="1" t="s">
        <v>32</v>
      </c>
      <c r="O2117" s="1">
        <f>IF(IFERROR(VLOOKUP(car_price_prediction_[[#This Row],[Car ID]],A2118:A4617,1,FALSE),0),1,0)</f>
        <v>0</v>
      </c>
    </row>
    <row r="2118" spans="1:15" x14ac:dyDescent="0.25">
      <c r="A2118">
        <v>2117</v>
      </c>
      <c r="B2118" s="1" t="s">
        <v>24</v>
      </c>
      <c r="C2118" s="1">
        <f>car_price_prediction_[[#This Row],[Year2]]</f>
        <v>2006</v>
      </c>
      <c r="D2118">
        <v>2006</v>
      </c>
      <c r="E2118">
        <f>car_price_prediction_[[#This Row],[Engine Size]]/10</f>
        <v>4.8</v>
      </c>
      <c r="F2118">
        <v>48</v>
      </c>
      <c r="G2118" s="1" t="s">
        <v>29</v>
      </c>
      <c r="H2118" s="1" t="s">
        <v>22</v>
      </c>
      <c r="I2118" s="12">
        <f>car_price_prediction_[[#This Row],[Mileage]]/1000</f>
        <v>92.942999999999998</v>
      </c>
      <c r="J2118" s="5">
        <v>92943</v>
      </c>
      <c r="K2118" s="1" t="s">
        <v>25</v>
      </c>
      <c r="L2118" s="5">
        <f>car_price_prediction_[[#This Row],[Price]]/100</f>
        <v>56311.09</v>
      </c>
      <c r="M2118">
        <v>5631109</v>
      </c>
      <c r="N2118" s="1" t="s">
        <v>53</v>
      </c>
      <c r="O2118" s="1">
        <f>IF(IFERROR(VLOOKUP(car_price_prediction_[[#This Row],[Car ID]],A2119:A4618,1,FALSE),0),1,0)</f>
        <v>0</v>
      </c>
    </row>
    <row r="2119" spans="1:15" x14ac:dyDescent="0.25">
      <c r="A2119">
        <v>2118</v>
      </c>
      <c r="B2119" s="1" t="s">
        <v>30</v>
      </c>
      <c r="C2119" s="1">
        <f>car_price_prediction_[[#This Row],[Year2]]</f>
        <v>2016</v>
      </c>
      <c r="D2119">
        <v>2016</v>
      </c>
      <c r="E2119">
        <f>car_price_prediction_[[#This Row],[Engine Size]]/10</f>
        <v>5.7</v>
      </c>
      <c r="F2119">
        <v>57</v>
      </c>
      <c r="G2119" s="1" t="s">
        <v>21</v>
      </c>
      <c r="H2119" s="1" t="s">
        <v>22</v>
      </c>
      <c r="I2119" s="12">
        <f>car_price_prediction_[[#This Row],[Mileage]]/1000</f>
        <v>218.18799999999999</v>
      </c>
      <c r="J2119" s="5">
        <v>218188</v>
      </c>
      <c r="K2119" s="1" t="s">
        <v>13</v>
      </c>
      <c r="L2119" s="5">
        <f>car_price_prediction_[[#This Row],[Price]]/100</f>
        <v>51921.07</v>
      </c>
      <c r="M2119">
        <v>5192107</v>
      </c>
      <c r="N2119" s="1" t="s">
        <v>42</v>
      </c>
      <c r="O2119" s="1">
        <f>IF(IFERROR(VLOOKUP(car_price_prediction_[[#This Row],[Car ID]],A2120:A4619,1,FALSE),0),1,0)</f>
        <v>0</v>
      </c>
    </row>
    <row r="2120" spans="1:15" x14ac:dyDescent="0.25">
      <c r="A2120">
        <v>2119</v>
      </c>
      <c r="B2120" s="1" t="s">
        <v>10</v>
      </c>
      <c r="C2120" s="1">
        <f>car_price_prediction_[[#This Row],[Year2]]</f>
        <v>2019</v>
      </c>
      <c r="D2120">
        <v>2019</v>
      </c>
      <c r="E2120">
        <f>car_price_prediction_[[#This Row],[Engine Size]]/10</f>
        <v>4.4000000000000004</v>
      </c>
      <c r="F2120">
        <v>44</v>
      </c>
      <c r="G2120" s="1" t="s">
        <v>16</v>
      </c>
      <c r="H2120" s="1" t="s">
        <v>22</v>
      </c>
      <c r="I2120" s="12">
        <f>car_price_prediction_[[#This Row],[Mileage]]/1000</f>
        <v>148.18799999999999</v>
      </c>
      <c r="J2120" s="5">
        <v>148188</v>
      </c>
      <c r="K2120" s="1" t="s">
        <v>17</v>
      </c>
      <c r="L2120" s="5">
        <f>car_price_prediction_[[#This Row],[Price]]/100</f>
        <v>53775.18</v>
      </c>
      <c r="M2120">
        <v>5377518</v>
      </c>
      <c r="N2120" s="1" t="s">
        <v>14</v>
      </c>
      <c r="O2120" s="1">
        <f>IF(IFERROR(VLOOKUP(car_price_prediction_[[#This Row],[Car ID]],A2121:A4620,1,FALSE),0),1,0)</f>
        <v>0</v>
      </c>
    </row>
    <row r="2121" spans="1:15" x14ac:dyDescent="0.25">
      <c r="A2121">
        <v>2120</v>
      </c>
      <c r="B2121" s="1" t="s">
        <v>30</v>
      </c>
      <c r="C2121" s="1">
        <f>car_price_prediction_[[#This Row],[Year2]]</f>
        <v>2023</v>
      </c>
      <c r="D2121">
        <v>2023</v>
      </c>
      <c r="E2121">
        <f>car_price_prediction_[[#This Row],[Engine Size]]/10</f>
        <v>2.8</v>
      </c>
      <c r="F2121">
        <v>28</v>
      </c>
      <c r="G2121" s="1" t="s">
        <v>29</v>
      </c>
      <c r="H2121" s="1" t="s">
        <v>22</v>
      </c>
      <c r="I2121" s="12">
        <f>car_price_prediction_[[#This Row],[Mileage]]/1000</f>
        <v>36.744</v>
      </c>
      <c r="J2121" s="5">
        <v>36744</v>
      </c>
      <c r="K2121" s="1" t="s">
        <v>25</v>
      </c>
      <c r="L2121" s="5">
        <f>car_price_prediction_[[#This Row],[Price]]/100</f>
        <v>20578.86</v>
      </c>
      <c r="M2121">
        <v>2057886</v>
      </c>
      <c r="N2121" s="1" t="s">
        <v>45</v>
      </c>
      <c r="O2121" s="1">
        <f>IF(IFERROR(VLOOKUP(car_price_prediction_[[#This Row],[Car ID]],A2122:A4621,1,FALSE),0),1,0)</f>
        <v>0</v>
      </c>
    </row>
    <row r="2122" spans="1:15" x14ac:dyDescent="0.25">
      <c r="A2122">
        <v>2121</v>
      </c>
      <c r="B2122" s="1" t="s">
        <v>30</v>
      </c>
      <c r="C2122" s="1">
        <f>car_price_prediction_[[#This Row],[Year2]]</f>
        <v>2017</v>
      </c>
      <c r="D2122">
        <v>2017</v>
      </c>
      <c r="E2122">
        <f>car_price_prediction_[[#This Row],[Engine Size]]/10</f>
        <v>5.7</v>
      </c>
      <c r="F2122">
        <v>57</v>
      </c>
      <c r="G2122" s="1" t="s">
        <v>21</v>
      </c>
      <c r="H2122" s="1" t="s">
        <v>22</v>
      </c>
      <c r="I2122" s="12">
        <f>car_price_prediction_[[#This Row],[Mileage]]/1000</f>
        <v>124.697</v>
      </c>
      <c r="J2122" s="5">
        <v>124697</v>
      </c>
      <c r="K2122" s="1" t="s">
        <v>17</v>
      </c>
      <c r="L2122" s="5">
        <f>car_price_prediction_[[#This Row],[Price]]/100</f>
        <v>49030.38</v>
      </c>
      <c r="M2122">
        <v>4903038</v>
      </c>
      <c r="N2122" s="1" t="s">
        <v>31</v>
      </c>
      <c r="O2122" s="1">
        <f>IF(IFERROR(VLOOKUP(car_price_prediction_[[#This Row],[Car ID]],A2123:A4622,1,FALSE),0),1,0)</f>
        <v>0</v>
      </c>
    </row>
    <row r="2123" spans="1:15" x14ac:dyDescent="0.25">
      <c r="A2123">
        <v>2122</v>
      </c>
      <c r="B2123" s="1" t="s">
        <v>36</v>
      </c>
      <c r="C2123" s="1">
        <f>car_price_prediction_[[#This Row],[Year2]]</f>
        <v>2021</v>
      </c>
      <c r="D2123">
        <v>2021</v>
      </c>
      <c r="E2123">
        <f>car_price_prediction_[[#This Row],[Engine Size]]/10</f>
        <v>2.4</v>
      </c>
      <c r="F2123">
        <v>24</v>
      </c>
      <c r="G2123" s="1" t="s">
        <v>21</v>
      </c>
      <c r="H2123" s="1" t="s">
        <v>12</v>
      </c>
      <c r="I2123" s="12">
        <f>car_price_prediction_[[#This Row],[Mileage]]/1000</f>
        <v>116.072</v>
      </c>
      <c r="J2123" s="5">
        <v>116072</v>
      </c>
      <c r="K2123" s="1" t="s">
        <v>13</v>
      </c>
      <c r="L2123" s="5">
        <f>car_price_prediction_[[#This Row],[Price]]/100</f>
        <v>62537.06</v>
      </c>
      <c r="M2123">
        <v>6253706</v>
      </c>
      <c r="N2123" s="1" t="s">
        <v>40</v>
      </c>
      <c r="O2123" s="1">
        <f>IF(IFERROR(VLOOKUP(car_price_prediction_[[#This Row],[Car ID]],A2124:A4623,1,FALSE),0),1,0)</f>
        <v>0</v>
      </c>
    </row>
    <row r="2124" spans="1:15" x14ac:dyDescent="0.25">
      <c r="A2124">
        <v>2123</v>
      </c>
      <c r="B2124" s="1" t="s">
        <v>30</v>
      </c>
      <c r="C2124" s="1">
        <f>car_price_prediction_[[#This Row],[Year2]]</f>
        <v>2021</v>
      </c>
      <c r="D2124">
        <v>2021</v>
      </c>
      <c r="E2124">
        <f>car_price_prediction_[[#This Row],[Engine Size]]/10</f>
        <v>2.7</v>
      </c>
      <c r="F2124">
        <v>27</v>
      </c>
      <c r="G2124" s="1" t="s">
        <v>16</v>
      </c>
      <c r="H2124" s="1" t="s">
        <v>22</v>
      </c>
      <c r="I2124" s="12">
        <f>car_price_prediction_[[#This Row],[Mileage]]/1000</f>
        <v>236.02799999999999</v>
      </c>
      <c r="J2124" s="5">
        <v>236028</v>
      </c>
      <c r="K2124" s="1" t="s">
        <v>25</v>
      </c>
      <c r="L2124" s="5">
        <f>car_price_prediction_[[#This Row],[Price]]/100</f>
        <v>51497.67</v>
      </c>
      <c r="M2124">
        <v>5149767</v>
      </c>
      <c r="N2124" s="1" t="s">
        <v>48</v>
      </c>
      <c r="O2124" s="1">
        <f>IF(IFERROR(VLOOKUP(car_price_prediction_[[#This Row],[Car ID]],A2125:A4624,1,FALSE),0),1,0)</f>
        <v>0</v>
      </c>
    </row>
    <row r="2125" spans="1:15" x14ac:dyDescent="0.25">
      <c r="A2125">
        <v>2124</v>
      </c>
      <c r="B2125" s="1" t="s">
        <v>19</v>
      </c>
      <c r="C2125" s="1">
        <f>car_price_prediction_[[#This Row],[Year2]]</f>
        <v>2011</v>
      </c>
      <c r="D2125">
        <v>2011</v>
      </c>
      <c r="E2125">
        <f>car_price_prediction_[[#This Row],[Engine Size]]/10</f>
        <v>4.5</v>
      </c>
      <c r="F2125">
        <v>45</v>
      </c>
      <c r="G2125" s="1" t="s">
        <v>16</v>
      </c>
      <c r="H2125" s="1" t="s">
        <v>22</v>
      </c>
      <c r="I2125" s="12">
        <f>car_price_prediction_[[#This Row],[Mileage]]/1000</f>
        <v>169.12299999999999</v>
      </c>
      <c r="J2125" s="5">
        <v>169123</v>
      </c>
      <c r="K2125" s="1" t="s">
        <v>17</v>
      </c>
      <c r="L2125" s="5">
        <f>car_price_prediction_[[#This Row],[Price]]/100</f>
        <v>51425.19</v>
      </c>
      <c r="M2125">
        <v>5142519</v>
      </c>
      <c r="N2125" s="1" t="s">
        <v>28</v>
      </c>
      <c r="O2125" s="1">
        <f>IF(IFERROR(VLOOKUP(car_price_prediction_[[#This Row],[Car ID]],A2126:A4625,1,FALSE),0),1,0)</f>
        <v>0</v>
      </c>
    </row>
    <row r="2126" spans="1:15" x14ac:dyDescent="0.25">
      <c r="A2126">
        <v>2125</v>
      </c>
      <c r="B2126" s="1" t="s">
        <v>15</v>
      </c>
      <c r="C2126" s="1">
        <f>car_price_prediction_[[#This Row],[Year2]]</f>
        <v>2008</v>
      </c>
      <c r="D2126">
        <v>2008</v>
      </c>
      <c r="E2126">
        <f>car_price_prediction_[[#This Row],[Engine Size]]/10</f>
        <v>4.8</v>
      </c>
      <c r="F2126">
        <v>48</v>
      </c>
      <c r="G2126" s="1" t="s">
        <v>16</v>
      </c>
      <c r="H2126" s="1" t="s">
        <v>22</v>
      </c>
      <c r="I2126" s="12">
        <f>car_price_prediction_[[#This Row],[Mileage]]/1000</f>
        <v>7.1760000000000002</v>
      </c>
      <c r="J2126" s="5">
        <v>7176</v>
      </c>
      <c r="K2126" s="1" t="s">
        <v>13</v>
      </c>
      <c r="L2126" s="5">
        <f>car_price_prediction_[[#This Row],[Price]]/100</f>
        <v>12364.18</v>
      </c>
      <c r="M2126">
        <v>1236418</v>
      </c>
      <c r="N2126" s="1" t="s">
        <v>35</v>
      </c>
      <c r="O2126" s="1">
        <f>IF(IFERROR(VLOOKUP(car_price_prediction_[[#This Row],[Car ID]],A2127:A4626,1,FALSE),0),1,0)</f>
        <v>0</v>
      </c>
    </row>
    <row r="2127" spans="1:15" x14ac:dyDescent="0.25">
      <c r="A2127">
        <v>2126</v>
      </c>
      <c r="B2127" s="1" t="s">
        <v>43</v>
      </c>
      <c r="C2127" s="1">
        <f>car_price_prediction_[[#This Row],[Year2]]</f>
        <v>2004</v>
      </c>
      <c r="D2127">
        <v>2004</v>
      </c>
      <c r="E2127">
        <f>car_price_prediction_[[#This Row],[Engine Size]]/10</f>
        <v>5.6</v>
      </c>
      <c r="F2127">
        <v>56</v>
      </c>
      <c r="G2127" s="1" t="s">
        <v>29</v>
      </c>
      <c r="H2127" s="1" t="s">
        <v>22</v>
      </c>
      <c r="I2127" s="12">
        <f>car_price_prediction_[[#This Row],[Mileage]]/1000</f>
        <v>252.36500000000001</v>
      </c>
      <c r="J2127" s="5">
        <v>252365</v>
      </c>
      <c r="K2127" s="1" t="s">
        <v>13</v>
      </c>
      <c r="L2127" s="5">
        <f>car_price_prediction_[[#This Row],[Price]]/100</f>
        <v>23123.54</v>
      </c>
      <c r="M2127">
        <v>2312354</v>
      </c>
      <c r="N2127" s="1" t="s">
        <v>52</v>
      </c>
      <c r="O2127" s="1">
        <f>IF(IFERROR(VLOOKUP(car_price_prediction_[[#This Row],[Car ID]],A2128:A4627,1,FALSE),0),1,0)</f>
        <v>0</v>
      </c>
    </row>
    <row r="2128" spans="1:15" x14ac:dyDescent="0.25">
      <c r="A2128">
        <v>2127</v>
      </c>
      <c r="B2128" s="1" t="s">
        <v>24</v>
      </c>
      <c r="C2128" s="1">
        <f>car_price_prediction_[[#This Row],[Year2]]</f>
        <v>2009</v>
      </c>
      <c r="D2128">
        <v>2009</v>
      </c>
      <c r="E2128">
        <f>car_price_prediction_[[#This Row],[Engine Size]]/10</f>
        <v>2</v>
      </c>
      <c r="F2128">
        <v>20</v>
      </c>
      <c r="G2128" s="1" t="s">
        <v>29</v>
      </c>
      <c r="H2128" s="1" t="s">
        <v>12</v>
      </c>
      <c r="I2128" s="12">
        <f>car_price_prediction_[[#This Row],[Mileage]]/1000</f>
        <v>149.74799999999999</v>
      </c>
      <c r="J2128" s="5">
        <v>149748</v>
      </c>
      <c r="K2128" s="1" t="s">
        <v>17</v>
      </c>
      <c r="L2128" s="5">
        <f>car_price_prediction_[[#This Row],[Price]]/100</f>
        <v>35492.410000000003</v>
      </c>
      <c r="M2128">
        <v>3549241</v>
      </c>
      <c r="N2128" s="1" t="s">
        <v>34</v>
      </c>
      <c r="O2128" s="1">
        <f>IF(IFERROR(VLOOKUP(car_price_prediction_[[#This Row],[Car ID]],A2129:A4628,1,FALSE),0),1,0)</f>
        <v>0</v>
      </c>
    </row>
    <row r="2129" spans="1:15" x14ac:dyDescent="0.25">
      <c r="A2129">
        <v>2128</v>
      </c>
      <c r="B2129" s="1" t="s">
        <v>19</v>
      </c>
      <c r="C2129" s="1">
        <f>car_price_prediction_[[#This Row],[Year2]]</f>
        <v>2003</v>
      </c>
      <c r="D2129">
        <v>2003</v>
      </c>
      <c r="E2129">
        <f>car_price_prediction_[[#This Row],[Engine Size]]/10</f>
        <v>5</v>
      </c>
      <c r="F2129">
        <v>50</v>
      </c>
      <c r="G2129" s="1" t="s">
        <v>16</v>
      </c>
      <c r="H2129" s="1" t="s">
        <v>22</v>
      </c>
      <c r="I2129" s="12">
        <f>car_price_prediction_[[#This Row],[Mileage]]/1000</f>
        <v>45.177</v>
      </c>
      <c r="J2129" s="5">
        <v>45177</v>
      </c>
      <c r="K2129" s="1" t="s">
        <v>13</v>
      </c>
      <c r="L2129" s="5">
        <f>car_price_prediction_[[#This Row],[Price]]/100</f>
        <v>44837.96</v>
      </c>
      <c r="M2129">
        <v>4483796</v>
      </c>
      <c r="N2129" s="1" t="s">
        <v>20</v>
      </c>
      <c r="O2129" s="1">
        <f>IF(IFERROR(VLOOKUP(car_price_prediction_[[#This Row],[Car ID]],A2130:A4629,1,FALSE),0),1,0)</f>
        <v>0</v>
      </c>
    </row>
    <row r="2130" spans="1:15" x14ac:dyDescent="0.25">
      <c r="A2130">
        <v>2129</v>
      </c>
      <c r="B2130" s="1" t="s">
        <v>43</v>
      </c>
      <c r="C2130" s="1">
        <f>car_price_prediction_[[#This Row],[Year2]]</f>
        <v>2004</v>
      </c>
      <c r="D2130">
        <v>2004</v>
      </c>
      <c r="E2130">
        <f>car_price_prediction_[[#This Row],[Engine Size]]/10</f>
        <v>4.7</v>
      </c>
      <c r="F2130">
        <v>47</v>
      </c>
      <c r="G2130" s="1" t="s">
        <v>11</v>
      </c>
      <c r="H2130" s="1" t="s">
        <v>12</v>
      </c>
      <c r="I2130" s="12">
        <f>car_price_prediction_[[#This Row],[Mileage]]/1000</f>
        <v>110.623</v>
      </c>
      <c r="J2130" s="5">
        <v>110623</v>
      </c>
      <c r="K2130" s="1" t="s">
        <v>25</v>
      </c>
      <c r="L2130" s="5">
        <f>car_price_prediction_[[#This Row],[Price]]/100</f>
        <v>61424.06</v>
      </c>
      <c r="M2130">
        <v>6142406</v>
      </c>
      <c r="N2130" s="1" t="s">
        <v>47</v>
      </c>
      <c r="O2130" s="1">
        <f>IF(IFERROR(VLOOKUP(car_price_prediction_[[#This Row],[Car ID]],A2131:A4630,1,FALSE),0),1,0)</f>
        <v>0</v>
      </c>
    </row>
    <row r="2131" spans="1:15" x14ac:dyDescent="0.25">
      <c r="A2131">
        <v>2130</v>
      </c>
      <c r="B2131" s="1" t="s">
        <v>10</v>
      </c>
      <c r="C2131" s="1">
        <f>car_price_prediction_[[#This Row],[Year2]]</f>
        <v>2009</v>
      </c>
      <c r="D2131">
        <v>2009</v>
      </c>
      <c r="E2131">
        <f>car_price_prediction_[[#This Row],[Engine Size]]/10</f>
        <v>1.3</v>
      </c>
      <c r="F2131">
        <v>13</v>
      </c>
      <c r="G2131" s="1" t="s">
        <v>11</v>
      </c>
      <c r="H2131" s="1" t="s">
        <v>22</v>
      </c>
      <c r="I2131" s="12">
        <f>car_price_prediction_[[#This Row],[Mileage]]/1000</f>
        <v>0.997</v>
      </c>
      <c r="J2131" s="5">
        <v>997</v>
      </c>
      <c r="K2131" s="1" t="s">
        <v>13</v>
      </c>
      <c r="L2131" s="5">
        <f>car_price_prediction_[[#This Row],[Price]]/100</f>
        <v>87017.78</v>
      </c>
      <c r="M2131">
        <v>8701778</v>
      </c>
      <c r="N2131" s="1" t="s">
        <v>49</v>
      </c>
      <c r="O2131" s="1">
        <f>IF(IFERROR(VLOOKUP(car_price_prediction_[[#This Row],[Car ID]],A2132:A4631,1,FALSE),0),1,0)</f>
        <v>0</v>
      </c>
    </row>
    <row r="2132" spans="1:15" x14ac:dyDescent="0.25">
      <c r="A2132">
        <v>2131</v>
      </c>
      <c r="B2132" s="1" t="s">
        <v>10</v>
      </c>
      <c r="C2132" s="1">
        <f>car_price_prediction_[[#This Row],[Year2]]</f>
        <v>2010</v>
      </c>
      <c r="D2132">
        <v>2010</v>
      </c>
      <c r="E2132">
        <f>car_price_prediction_[[#This Row],[Engine Size]]/10</f>
        <v>2.9</v>
      </c>
      <c r="F2132">
        <v>29</v>
      </c>
      <c r="G2132" s="1" t="s">
        <v>21</v>
      </c>
      <c r="H2132" s="1" t="s">
        <v>22</v>
      </c>
      <c r="I2132" s="12">
        <f>car_price_prediction_[[#This Row],[Mileage]]/1000</f>
        <v>120.179</v>
      </c>
      <c r="J2132" s="5">
        <v>120179</v>
      </c>
      <c r="K2132" s="1" t="s">
        <v>17</v>
      </c>
      <c r="L2132" s="5">
        <f>car_price_prediction_[[#This Row],[Price]]/100</f>
        <v>20120.650000000001</v>
      </c>
      <c r="M2132">
        <v>2012065</v>
      </c>
      <c r="N2132" s="1" t="s">
        <v>23</v>
      </c>
      <c r="O2132" s="1">
        <f>IF(IFERROR(VLOOKUP(car_price_prediction_[[#This Row],[Car ID]],A2133:A4632,1,FALSE),0),1,0)</f>
        <v>0</v>
      </c>
    </row>
    <row r="2133" spans="1:15" x14ac:dyDescent="0.25">
      <c r="A2133">
        <v>2132</v>
      </c>
      <c r="B2133" s="1" t="s">
        <v>10</v>
      </c>
      <c r="C2133" s="1">
        <f>car_price_prediction_[[#This Row],[Year2]]</f>
        <v>2020</v>
      </c>
      <c r="D2133">
        <v>2020</v>
      </c>
      <c r="E2133">
        <f>car_price_prediction_[[#This Row],[Engine Size]]/10</f>
        <v>2.4</v>
      </c>
      <c r="F2133">
        <v>24</v>
      </c>
      <c r="G2133" s="1" t="s">
        <v>11</v>
      </c>
      <c r="H2133" s="1" t="s">
        <v>12</v>
      </c>
      <c r="I2133" s="12">
        <f>car_price_prediction_[[#This Row],[Mileage]]/1000</f>
        <v>247.43899999999999</v>
      </c>
      <c r="J2133" s="5">
        <v>247439</v>
      </c>
      <c r="K2133" s="1" t="s">
        <v>25</v>
      </c>
      <c r="L2133" s="5">
        <f>car_price_prediction_[[#This Row],[Price]]/100</f>
        <v>6433.36</v>
      </c>
      <c r="M2133">
        <v>643336</v>
      </c>
      <c r="N2133" s="1" t="s">
        <v>14</v>
      </c>
      <c r="O2133" s="1">
        <f>IF(IFERROR(VLOOKUP(car_price_prediction_[[#This Row],[Car ID]],A2134:A4633,1,FALSE),0),1,0)</f>
        <v>0</v>
      </c>
    </row>
    <row r="2134" spans="1:15" x14ac:dyDescent="0.25">
      <c r="A2134">
        <v>2133</v>
      </c>
      <c r="B2134" s="1" t="s">
        <v>19</v>
      </c>
      <c r="C2134" s="1">
        <f>car_price_prediction_[[#This Row],[Year2]]</f>
        <v>2023</v>
      </c>
      <c r="D2134">
        <v>2023</v>
      </c>
      <c r="E2134">
        <f>car_price_prediction_[[#This Row],[Engine Size]]/10</f>
        <v>2.5</v>
      </c>
      <c r="F2134">
        <v>25</v>
      </c>
      <c r="G2134" s="1" t="s">
        <v>21</v>
      </c>
      <c r="H2134" s="1" t="s">
        <v>12</v>
      </c>
      <c r="I2134" s="12">
        <f>car_price_prediction_[[#This Row],[Mileage]]/1000</f>
        <v>120.40300000000001</v>
      </c>
      <c r="J2134" s="5">
        <v>120403</v>
      </c>
      <c r="K2134" s="1" t="s">
        <v>13</v>
      </c>
      <c r="L2134" s="5">
        <f>car_price_prediction_[[#This Row],[Price]]/100</f>
        <v>47677.53</v>
      </c>
      <c r="M2134">
        <v>4767753</v>
      </c>
      <c r="N2134" s="1" t="s">
        <v>20</v>
      </c>
      <c r="O2134" s="1">
        <f>IF(IFERROR(VLOOKUP(car_price_prediction_[[#This Row],[Car ID]],A2135:A4634,1,FALSE),0),1,0)</f>
        <v>0</v>
      </c>
    </row>
    <row r="2135" spans="1:15" x14ac:dyDescent="0.25">
      <c r="A2135">
        <v>2134</v>
      </c>
      <c r="B2135" s="1" t="s">
        <v>19</v>
      </c>
      <c r="C2135" s="1">
        <f>car_price_prediction_[[#This Row],[Year2]]</f>
        <v>2009</v>
      </c>
      <c r="D2135">
        <v>2009</v>
      </c>
      <c r="E2135">
        <f>car_price_prediction_[[#This Row],[Engine Size]]/10</f>
        <v>5.9</v>
      </c>
      <c r="F2135">
        <v>59</v>
      </c>
      <c r="G2135" s="1" t="s">
        <v>29</v>
      </c>
      <c r="H2135" s="1" t="s">
        <v>12</v>
      </c>
      <c r="I2135" s="12">
        <f>car_price_prediction_[[#This Row],[Mileage]]/1000</f>
        <v>95.287000000000006</v>
      </c>
      <c r="J2135" s="5">
        <v>95287</v>
      </c>
      <c r="K2135" s="1" t="s">
        <v>13</v>
      </c>
      <c r="L2135" s="5">
        <f>car_price_prediction_[[#This Row],[Price]]/100</f>
        <v>46049.78</v>
      </c>
      <c r="M2135">
        <v>4604978</v>
      </c>
      <c r="N2135" s="1" t="s">
        <v>20</v>
      </c>
      <c r="O2135" s="1">
        <f>IF(IFERROR(VLOOKUP(car_price_prediction_[[#This Row],[Car ID]],A2136:A4635,1,FALSE),0),1,0)</f>
        <v>0</v>
      </c>
    </row>
    <row r="2136" spans="1:15" x14ac:dyDescent="0.25">
      <c r="A2136">
        <v>2135</v>
      </c>
      <c r="B2136" s="1" t="s">
        <v>24</v>
      </c>
      <c r="C2136" s="1">
        <f>car_price_prediction_[[#This Row],[Year2]]</f>
        <v>2007</v>
      </c>
      <c r="D2136">
        <v>2007</v>
      </c>
      <c r="E2136">
        <f>car_price_prediction_[[#This Row],[Engine Size]]/10</f>
        <v>4.2</v>
      </c>
      <c r="F2136">
        <v>42</v>
      </c>
      <c r="G2136" s="1" t="s">
        <v>29</v>
      </c>
      <c r="H2136" s="1" t="s">
        <v>22</v>
      </c>
      <c r="I2136" s="12">
        <f>car_price_prediction_[[#This Row],[Mileage]]/1000</f>
        <v>119.574</v>
      </c>
      <c r="J2136" s="5">
        <v>119574</v>
      </c>
      <c r="K2136" s="1" t="s">
        <v>25</v>
      </c>
      <c r="L2136" s="5">
        <f>car_price_prediction_[[#This Row],[Price]]/100</f>
        <v>57430.62</v>
      </c>
      <c r="M2136">
        <v>5743062</v>
      </c>
      <c r="N2136" s="1" t="s">
        <v>34</v>
      </c>
      <c r="O2136" s="1">
        <f>IF(IFERROR(VLOOKUP(car_price_prediction_[[#This Row],[Car ID]],A2137:A4636,1,FALSE),0),1,0)</f>
        <v>0</v>
      </c>
    </row>
    <row r="2137" spans="1:15" x14ac:dyDescent="0.25">
      <c r="A2137">
        <v>2136</v>
      </c>
      <c r="B2137" s="1" t="s">
        <v>15</v>
      </c>
      <c r="C2137" s="1">
        <f>car_price_prediction_[[#This Row],[Year2]]</f>
        <v>2001</v>
      </c>
      <c r="D2137">
        <v>2001</v>
      </c>
      <c r="E2137">
        <f>car_price_prediction_[[#This Row],[Engine Size]]/10</f>
        <v>4.5999999999999996</v>
      </c>
      <c r="F2137">
        <v>46</v>
      </c>
      <c r="G2137" s="1" t="s">
        <v>11</v>
      </c>
      <c r="H2137" s="1" t="s">
        <v>12</v>
      </c>
      <c r="I2137" s="12">
        <f>car_price_prediction_[[#This Row],[Mileage]]/1000</f>
        <v>256.46300000000002</v>
      </c>
      <c r="J2137" s="5">
        <v>256463</v>
      </c>
      <c r="K2137" s="1" t="s">
        <v>25</v>
      </c>
      <c r="L2137" s="5">
        <f>car_price_prediction_[[#This Row],[Price]]/100</f>
        <v>84156.07</v>
      </c>
      <c r="M2137">
        <v>8415607</v>
      </c>
      <c r="N2137" s="1" t="s">
        <v>39</v>
      </c>
      <c r="O2137" s="1">
        <f>IF(IFERROR(VLOOKUP(car_price_prediction_[[#This Row],[Car ID]],A2138:A4637,1,FALSE),0),1,0)</f>
        <v>0</v>
      </c>
    </row>
    <row r="2138" spans="1:15" x14ac:dyDescent="0.25">
      <c r="A2138">
        <v>2137</v>
      </c>
      <c r="B2138" s="1" t="s">
        <v>30</v>
      </c>
      <c r="C2138" s="1">
        <f>car_price_prediction_[[#This Row],[Year2]]</f>
        <v>2022</v>
      </c>
      <c r="D2138">
        <v>2022</v>
      </c>
      <c r="E2138">
        <f>car_price_prediction_[[#This Row],[Engine Size]]/10</f>
        <v>5.9</v>
      </c>
      <c r="F2138">
        <v>59</v>
      </c>
      <c r="G2138" s="1" t="s">
        <v>29</v>
      </c>
      <c r="H2138" s="1" t="s">
        <v>22</v>
      </c>
      <c r="I2138" s="12">
        <f>car_price_prediction_[[#This Row],[Mileage]]/1000</f>
        <v>121.509</v>
      </c>
      <c r="J2138" s="5">
        <v>121509</v>
      </c>
      <c r="K2138" s="1" t="s">
        <v>13</v>
      </c>
      <c r="L2138" s="5">
        <f>car_price_prediction_[[#This Row],[Price]]/100</f>
        <v>81224.25</v>
      </c>
      <c r="M2138">
        <v>8122425</v>
      </c>
      <c r="N2138" s="1" t="s">
        <v>42</v>
      </c>
      <c r="O2138" s="1">
        <f>IF(IFERROR(VLOOKUP(car_price_prediction_[[#This Row],[Car ID]],A2139:A4638,1,FALSE),0),1,0)</f>
        <v>0</v>
      </c>
    </row>
    <row r="2139" spans="1:15" x14ac:dyDescent="0.25">
      <c r="A2139">
        <v>2138</v>
      </c>
      <c r="B2139" s="1" t="s">
        <v>10</v>
      </c>
      <c r="C2139" s="1">
        <f>car_price_prediction_[[#This Row],[Year2]]</f>
        <v>2007</v>
      </c>
      <c r="D2139">
        <v>2007</v>
      </c>
      <c r="E2139">
        <f>car_price_prediction_[[#This Row],[Engine Size]]/10</f>
        <v>2.9</v>
      </c>
      <c r="F2139">
        <v>29</v>
      </c>
      <c r="G2139" s="1" t="s">
        <v>16</v>
      </c>
      <c r="H2139" s="1" t="s">
        <v>12</v>
      </c>
      <c r="I2139" s="12">
        <f>car_price_prediction_[[#This Row],[Mileage]]/1000</f>
        <v>248.505</v>
      </c>
      <c r="J2139" s="5">
        <v>248505</v>
      </c>
      <c r="K2139" s="1" t="s">
        <v>25</v>
      </c>
      <c r="L2139" s="5">
        <f>car_price_prediction_[[#This Row],[Price]]/100</f>
        <v>14504.11</v>
      </c>
      <c r="M2139">
        <v>1450411</v>
      </c>
      <c r="N2139" s="1" t="s">
        <v>23</v>
      </c>
      <c r="O2139" s="1">
        <f>IF(IFERROR(VLOOKUP(car_price_prediction_[[#This Row],[Car ID]],A2140:A4639,1,FALSE),0),1,0)</f>
        <v>0</v>
      </c>
    </row>
    <row r="2140" spans="1:15" x14ac:dyDescent="0.25">
      <c r="A2140">
        <v>2139</v>
      </c>
      <c r="B2140" s="1" t="s">
        <v>36</v>
      </c>
      <c r="C2140" s="1">
        <f>car_price_prediction_[[#This Row],[Year2]]</f>
        <v>2015</v>
      </c>
      <c r="D2140">
        <v>2015</v>
      </c>
      <c r="E2140">
        <f>car_price_prediction_[[#This Row],[Engine Size]]/10</f>
        <v>5</v>
      </c>
      <c r="F2140">
        <v>50</v>
      </c>
      <c r="G2140" s="1" t="s">
        <v>16</v>
      </c>
      <c r="H2140" s="1" t="s">
        <v>12</v>
      </c>
      <c r="I2140" s="12">
        <f>car_price_prediction_[[#This Row],[Mileage]]/1000</f>
        <v>192.589</v>
      </c>
      <c r="J2140" s="5">
        <v>192589</v>
      </c>
      <c r="K2140" s="1" t="s">
        <v>17</v>
      </c>
      <c r="L2140" s="5">
        <f>car_price_prediction_[[#This Row],[Price]]/100</f>
        <v>93729.56</v>
      </c>
      <c r="M2140">
        <v>9372956</v>
      </c>
      <c r="N2140" s="1" t="s">
        <v>41</v>
      </c>
      <c r="O2140" s="1">
        <f>IF(IFERROR(VLOOKUP(car_price_prediction_[[#This Row],[Car ID]],A2141:A4640,1,FALSE),0),1,0)</f>
        <v>0</v>
      </c>
    </row>
    <row r="2141" spans="1:15" x14ac:dyDescent="0.25">
      <c r="A2141">
        <v>2140</v>
      </c>
      <c r="B2141" s="1" t="s">
        <v>15</v>
      </c>
      <c r="C2141" s="1">
        <f>car_price_prediction_[[#This Row],[Year2]]</f>
        <v>2021</v>
      </c>
      <c r="D2141">
        <v>2021</v>
      </c>
      <c r="E2141">
        <f>car_price_prediction_[[#This Row],[Engine Size]]/10</f>
        <v>3.2</v>
      </c>
      <c r="F2141">
        <v>32</v>
      </c>
      <c r="G2141" s="1" t="s">
        <v>11</v>
      </c>
      <c r="H2141" s="1" t="s">
        <v>22</v>
      </c>
      <c r="I2141" s="12">
        <f>car_price_prediction_[[#This Row],[Mileage]]/1000</f>
        <v>289.53100000000001</v>
      </c>
      <c r="J2141" s="5">
        <v>289531</v>
      </c>
      <c r="K2141" s="1" t="s">
        <v>13</v>
      </c>
      <c r="L2141" s="5">
        <f>car_price_prediction_[[#This Row],[Price]]/100</f>
        <v>15489.37</v>
      </c>
      <c r="M2141">
        <v>1548937</v>
      </c>
      <c r="N2141" s="1" t="s">
        <v>18</v>
      </c>
      <c r="O2141" s="1">
        <f>IF(IFERROR(VLOOKUP(car_price_prediction_[[#This Row],[Car ID]],A2142:A4641,1,FALSE),0),1,0)</f>
        <v>0</v>
      </c>
    </row>
    <row r="2142" spans="1:15" x14ac:dyDescent="0.25">
      <c r="A2142">
        <v>2141</v>
      </c>
      <c r="B2142" s="1" t="s">
        <v>36</v>
      </c>
      <c r="C2142" s="1">
        <f>car_price_prediction_[[#This Row],[Year2]]</f>
        <v>2004</v>
      </c>
      <c r="D2142">
        <v>2004</v>
      </c>
      <c r="E2142">
        <f>car_price_prediction_[[#This Row],[Engine Size]]/10</f>
        <v>5.3</v>
      </c>
      <c r="F2142">
        <v>53</v>
      </c>
      <c r="G2142" s="1" t="s">
        <v>11</v>
      </c>
      <c r="H2142" s="1" t="s">
        <v>12</v>
      </c>
      <c r="I2142" s="12">
        <f>car_price_prediction_[[#This Row],[Mileage]]/1000</f>
        <v>4.09</v>
      </c>
      <c r="J2142" s="5">
        <v>4090</v>
      </c>
      <c r="K2142" s="1" t="s">
        <v>17</v>
      </c>
      <c r="L2142" s="5">
        <f>car_price_prediction_[[#This Row],[Price]]/100</f>
        <v>6528.42</v>
      </c>
      <c r="M2142">
        <v>652842</v>
      </c>
      <c r="N2142" s="1" t="s">
        <v>37</v>
      </c>
      <c r="O2142" s="1">
        <f>IF(IFERROR(VLOOKUP(car_price_prediction_[[#This Row],[Car ID]],A2143:A4642,1,FALSE),0),1,0)</f>
        <v>0</v>
      </c>
    </row>
    <row r="2143" spans="1:15" x14ac:dyDescent="0.25">
      <c r="A2143">
        <v>2142</v>
      </c>
      <c r="B2143" s="1" t="s">
        <v>24</v>
      </c>
      <c r="C2143" s="1">
        <f>car_price_prediction_[[#This Row],[Year2]]</f>
        <v>2002</v>
      </c>
      <c r="D2143">
        <v>2002</v>
      </c>
      <c r="E2143">
        <f>car_price_prediction_[[#This Row],[Engine Size]]/10</f>
        <v>1.9</v>
      </c>
      <c r="F2143">
        <v>19</v>
      </c>
      <c r="G2143" s="1" t="s">
        <v>21</v>
      </c>
      <c r="H2143" s="1" t="s">
        <v>12</v>
      </c>
      <c r="I2143" s="12">
        <f>car_price_prediction_[[#This Row],[Mileage]]/1000</f>
        <v>3.7429999999999999</v>
      </c>
      <c r="J2143" s="5">
        <v>3743</v>
      </c>
      <c r="K2143" s="1" t="s">
        <v>13</v>
      </c>
      <c r="L2143" s="5">
        <f>car_price_prediction_[[#This Row],[Price]]/100</f>
        <v>6887.86</v>
      </c>
      <c r="M2143">
        <v>688786</v>
      </c>
      <c r="N2143" s="1" t="s">
        <v>26</v>
      </c>
      <c r="O2143" s="1">
        <f>IF(IFERROR(VLOOKUP(car_price_prediction_[[#This Row],[Car ID]],A2144:A4643,1,FALSE),0),1,0)</f>
        <v>0</v>
      </c>
    </row>
    <row r="2144" spans="1:15" x14ac:dyDescent="0.25">
      <c r="A2144">
        <v>2143</v>
      </c>
      <c r="B2144" s="1" t="s">
        <v>24</v>
      </c>
      <c r="C2144" s="1">
        <f>car_price_prediction_[[#This Row],[Year2]]</f>
        <v>2011</v>
      </c>
      <c r="D2144">
        <v>2011</v>
      </c>
      <c r="E2144">
        <f>car_price_prediction_[[#This Row],[Engine Size]]/10</f>
        <v>5.7</v>
      </c>
      <c r="F2144">
        <v>57</v>
      </c>
      <c r="G2144" s="1" t="s">
        <v>29</v>
      </c>
      <c r="H2144" s="1" t="s">
        <v>22</v>
      </c>
      <c r="I2144" s="12">
        <f>car_price_prediction_[[#This Row],[Mileage]]/1000</f>
        <v>30.923999999999999</v>
      </c>
      <c r="J2144" s="5">
        <v>30924</v>
      </c>
      <c r="K2144" s="1" t="s">
        <v>17</v>
      </c>
      <c r="L2144" s="5">
        <f>car_price_prediction_[[#This Row],[Price]]/100</f>
        <v>69588.36</v>
      </c>
      <c r="M2144">
        <v>6958836</v>
      </c>
      <c r="N2144" s="1" t="s">
        <v>34</v>
      </c>
      <c r="O2144" s="1">
        <f>IF(IFERROR(VLOOKUP(car_price_prediction_[[#This Row],[Car ID]],A2145:A4644,1,FALSE),0),1,0)</f>
        <v>0</v>
      </c>
    </row>
    <row r="2145" spans="1:15" x14ac:dyDescent="0.25">
      <c r="A2145">
        <v>2144</v>
      </c>
      <c r="B2145" s="1" t="s">
        <v>24</v>
      </c>
      <c r="C2145" s="1">
        <f>car_price_prediction_[[#This Row],[Year2]]</f>
        <v>2012</v>
      </c>
      <c r="D2145">
        <v>2012</v>
      </c>
      <c r="E2145">
        <f>car_price_prediction_[[#This Row],[Engine Size]]/10</f>
        <v>2.1</v>
      </c>
      <c r="F2145">
        <v>21</v>
      </c>
      <c r="G2145" s="1" t="s">
        <v>21</v>
      </c>
      <c r="H2145" s="1" t="s">
        <v>22</v>
      </c>
      <c r="I2145" s="12">
        <f>car_price_prediction_[[#This Row],[Mileage]]/1000</f>
        <v>141.268</v>
      </c>
      <c r="J2145" s="5">
        <v>141268</v>
      </c>
      <c r="K2145" s="1" t="s">
        <v>17</v>
      </c>
      <c r="L2145" s="5">
        <f>car_price_prediction_[[#This Row],[Price]]/100</f>
        <v>30208.36</v>
      </c>
      <c r="M2145">
        <v>3020836</v>
      </c>
      <c r="N2145" s="1" t="s">
        <v>34</v>
      </c>
      <c r="O2145" s="1">
        <f>IF(IFERROR(VLOOKUP(car_price_prediction_[[#This Row],[Car ID]],A2146:A4645,1,FALSE),0),1,0)</f>
        <v>0</v>
      </c>
    </row>
    <row r="2146" spans="1:15" x14ac:dyDescent="0.25">
      <c r="A2146">
        <v>2145</v>
      </c>
      <c r="B2146" s="1" t="s">
        <v>43</v>
      </c>
      <c r="C2146" s="1">
        <f>car_price_prediction_[[#This Row],[Year2]]</f>
        <v>2012</v>
      </c>
      <c r="D2146">
        <v>2012</v>
      </c>
      <c r="E2146">
        <f>car_price_prediction_[[#This Row],[Engine Size]]/10</f>
        <v>2.6</v>
      </c>
      <c r="F2146">
        <v>26</v>
      </c>
      <c r="G2146" s="1" t="s">
        <v>21</v>
      </c>
      <c r="H2146" s="1" t="s">
        <v>22</v>
      </c>
      <c r="I2146" s="12">
        <f>car_price_prediction_[[#This Row],[Mileage]]/1000</f>
        <v>105.312</v>
      </c>
      <c r="J2146" s="5">
        <v>105312</v>
      </c>
      <c r="K2146" s="1" t="s">
        <v>25</v>
      </c>
      <c r="L2146" s="5">
        <f>car_price_prediction_[[#This Row],[Price]]/100</f>
        <v>36382.78</v>
      </c>
      <c r="M2146">
        <v>3638278</v>
      </c>
      <c r="N2146" s="1" t="s">
        <v>52</v>
      </c>
      <c r="O2146" s="1">
        <f>IF(IFERROR(VLOOKUP(car_price_prediction_[[#This Row],[Car ID]],A2147:A4646,1,FALSE),0),1,0)</f>
        <v>0</v>
      </c>
    </row>
    <row r="2147" spans="1:15" x14ac:dyDescent="0.25">
      <c r="A2147">
        <v>2146</v>
      </c>
      <c r="B2147" s="1" t="s">
        <v>36</v>
      </c>
      <c r="C2147" s="1">
        <f>car_price_prediction_[[#This Row],[Year2]]</f>
        <v>2009</v>
      </c>
      <c r="D2147">
        <v>2009</v>
      </c>
      <c r="E2147">
        <f>car_price_prediction_[[#This Row],[Engine Size]]/10</f>
        <v>4.8</v>
      </c>
      <c r="F2147">
        <v>48</v>
      </c>
      <c r="G2147" s="1" t="s">
        <v>16</v>
      </c>
      <c r="H2147" s="1" t="s">
        <v>12</v>
      </c>
      <c r="I2147" s="12">
        <f>car_price_prediction_[[#This Row],[Mileage]]/1000</f>
        <v>216.249</v>
      </c>
      <c r="J2147" s="5">
        <v>216249</v>
      </c>
      <c r="K2147" s="1" t="s">
        <v>13</v>
      </c>
      <c r="L2147" s="5">
        <f>car_price_prediction_[[#This Row],[Price]]/100</f>
        <v>5712.43</v>
      </c>
      <c r="M2147">
        <v>571243</v>
      </c>
      <c r="N2147" s="1" t="s">
        <v>41</v>
      </c>
      <c r="O2147" s="1">
        <f>IF(IFERROR(VLOOKUP(car_price_prediction_[[#This Row],[Car ID]],A2148:A4647,1,FALSE),0),1,0)</f>
        <v>0</v>
      </c>
    </row>
    <row r="2148" spans="1:15" x14ac:dyDescent="0.25">
      <c r="A2148">
        <v>2147</v>
      </c>
      <c r="B2148" s="1" t="s">
        <v>15</v>
      </c>
      <c r="C2148" s="1">
        <f>car_price_prediction_[[#This Row],[Year2]]</f>
        <v>2003</v>
      </c>
      <c r="D2148">
        <v>2003</v>
      </c>
      <c r="E2148">
        <f>car_price_prediction_[[#This Row],[Engine Size]]/10</f>
        <v>3</v>
      </c>
      <c r="F2148">
        <v>30</v>
      </c>
      <c r="G2148" s="1" t="s">
        <v>16</v>
      </c>
      <c r="H2148" s="1" t="s">
        <v>12</v>
      </c>
      <c r="I2148" s="12">
        <f>car_price_prediction_[[#This Row],[Mileage]]/1000</f>
        <v>224.09</v>
      </c>
      <c r="J2148" s="5">
        <v>224090</v>
      </c>
      <c r="K2148" s="1" t="s">
        <v>25</v>
      </c>
      <c r="L2148" s="5">
        <f>car_price_prediction_[[#This Row],[Price]]/100</f>
        <v>23960.81</v>
      </c>
      <c r="M2148">
        <v>2396081</v>
      </c>
      <c r="N2148" s="1" t="s">
        <v>18</v>
      </c>
      <c r="O2148" s="1">
        <f>IF(IFERROR(VLOOKUP(car_price_prediction_[[#This Row],[Car ID]],A2149:A4648,1,FALSE),0),1,0)</f>
        <v>0</v>
      </c>
    </row>
    <row r="2149" spans="1:15" x14ac:dyDescent="0.25">
      <c r="A2149">
        <v>2148</v>
      </c>
      <c r="B2149" s="1" t="s">
        <v>15</v>
      </c>
      <c r="C2149" s="1">
        <f>car_price_prediction_[[#This Row],[Year2]]</f>
        <v>2008</v>
      </c>
      <c r="D2149">
        <v>2008</v>
      </c>
      <c r="E2149">
        <f>car_price_prediction_[[#This Row],[Engine Size]]/10</f>
        <v>4</v>
      </c>
      <c r="F2149">
        <v>40</v>
      </c>
      <c r="G2149" s="1" t="s">
        <v>16</v>
      </c>
      <c r="H2149" s="1" t="s">
        <v>12</v>
      </c>
      <c r="I2149" s="12">
        <f>car_price_prediction_[[#This Row],[Mileage]]/1000</f>
        <v>229.602</v>
      </c>
      <c r="J2149" s="5">
        <v>229602</v>
      </c>
      <c r="K2149" s="1" t="s">
        <v>25</v>
      </c>
      <c r="L2149" s="5">
        <f>car_price_prediction_[[#This Row],[Price]]/100</f>
        <v>6929.49</v>
      </c>
      <c r="M2149">
        <v>692949</v>
      </c>
      <c r="N2149" s="1" t="s">
        <v>35</v>
      </c>
      <c r="O2149" s="1">
        <f>IF(IFERROR(VLOOKUP(car_price_prediction_[[#This Row],[Car ID]],A2150:A4649,1,FALSE),0),1,0)</f>
        <v>0</v>
      </c>
    </row>
    <row r="2150" spans="1:15" x14ac:dyDescent="0.25">
      <c r="A2150">
        <v>2149</v>
      </c>
      <c r="B2150" s="1" t="s">
        <v>19</v>
      </c>
      <c r="C2150" s="1">
        <f>car_price_prediction_[[#This Row],[Year2]]</f>
        <v>2021</v>
      </c>
      <c r="D2150">
        <v>2021</v>
      </c>
      <c r="E2150">
        <f>car_price_prediction_[[#This Row],[Engine Size]]/10</f>
        <v>3.2</v>
      </c>
      <c r="F2150">
        <v>32</v>
      </c>
      <c r="G2150" s="1" t="s">
        <v>16</v>
      </c>
      <c r="H2150" s="1" t="s">
        <v>12</v>
      </c>
      <c r="I2150" s="12">
        <f>car_price_prediction_[[#This Row],[Mileage]]/1000</f>
        <v>103.976</v>
      </c>
      <c r="J2150" s="5">
        <v>103976</v>
      </c>
      <c r="K2150" s="1" t="s">
        <v>13</v>
      </c>
      <c r="L2150" s="5">
        <f>car_price_prediction_[[#This Row],[Price]]/100</f>
        <v>58403.72</v>
      </c>
      <c r="M2150">
        <v>5840372</v>
      </c>
      <c r="N2150" s="1" t="s">
        <v>20</v>
      </c>
      <c r="O2150" s="1">
        <f>IF(IFERROR(VLOOKUP(car_price_prediction_[[#This Row],[Car ID]],A2151:A4650,1,FALSE),0),1,0)</f>
        <v>0</v>
      </c>
    </row>
    <row r="2151" spans="1:15" x14ac:dyDescent="0.25">
      <c r="A2151">
        <v>2150</v>
      </c>
      <c r="B2151" s="1" t="s">
        <v>19</v>
      </c>
      <c r="C2151" s="1">
        <f>car_price_prediction_[[#This Row],[Year2]]</f>
        <v>2023</v>
      </c>
      <c r="D2151">
        <v>2023</v>
      </c>
      <c r="E2151">
        <f>car_price_prediction_[[#This Row],[Engine Size]]/10</f>
        <v>4.7</v>
      </c>
      <c r="F2151">
        <v>47</v>
      </c>
      <c r="G2151" s="1" t="s">
        <v>21</v>
      </c>
      <c r="H2151" s="1" t="s">
        <v>12</v>
      </c>
      <c r="I2151" s="12">
        <f>car_price_prediction_[[#This Row],[Mileage]]/1000</f>
        <v>155.18299999999999</v>
      </c>
      <c r="J2151" s="5">
        <v>155183</v>
      </c>
      <c r="K2151" s="1" t="s">
        <v>17</v>
      </c>
      <c r="L2151" s="5">
        <f>car_price_prediction_[[#This Row],[Price]]/100</f>
        <v>49201.46</v>
      </c>
      <c r="M2151">
        <v>4920146</v>
      </c>
      <c r="N2151" s="1" t="s">
        <v>38</v>
      </c>
      <c r="O2151" s="1">
        <f>IF(IFERROR(VLOOKUP(car_price_prediction_[[#This Row],[Car ID]],A2152:A4651,1,FALSE),0),1,0)</f>
        <v>0</v>
      </c>
    </row>
    <row r="2152" spans="1:15" x14ac:dyDescent="0.25">
      <c r="A2152">
        <v>2151</v>
      </c>
      <c r="B2152" s="1" t="s">
        <v>10</v>
      </c>
      <c r="C2152" s="1">
        <f>car_price_prediction_[[#This Row],[Year2]]</f>
        <v>2022</v>
      </c>
      <c r="D2152">
        <v>2022</v>
      </c>
      <c r="E2152">
        <f>car_price_prediction_[[#This Row],[Engine Size]]/10</f>
        <v>2.1</v>
      </c>
      <c r="F2152">
        <v>21</v>
      </c>
      <c r="G2152" s="1" t="s">
        <v>16</v>
      </c>
      <c r="H2152" s="1" t="s">
        <v>22</v>
      </c>
      <c r="I2152" s="12">
        <f>car_price_prediction_[[#This Row],[Mileage]]/1000</f>
        <v>113.566</v>
      </c>
      <c r="J2152" s="5">
        <v>113566</v>
      </c>
      <c r="K2152" s="1" t="s">
        <v>13</v>
      </c>
      <c r="L2152" s="5">
        <f>car_price_prediction_[[#This Row],[Price]]/100</f>
        <v>67389.460000000006</v>
      </c>
      <c r="M2152">
        <v>6738946</v>
      </c>
      <c r="N2152" s="1" t="s">
        <v>14</v>
      </c>
      <c r="O2152" s="1">
        <f>IF(IFERROR(VLOOKUP(car_price_prediction_[[#This Row],[Car ID]],A2153:A4652,1,FALSE),0),1,0)</f>
        <v>0</v>
      </c>
    </row>
    <row r="2153" spans="1:15" x14ac:dyDescent="0.25">
      <c r="A2153">
        <v>2152</v>
      </c>
      <c r="B2153" s="1" t="s">
        <v>19</v>
      </c>
      <c r="C2153" s="1">
        <f>car_price_prediction_[[#This Row],[Year2]]</f>
        <v>2001</v>
      </c>
      <c r="D2153">
        <v>2001</v>
      </c>
      <c r="E2153">
        <f>car_price_prediction_[[#This Row],[Engine Size]]/10</f>
        <v>1.3</v>
      </c>
      <c r="F2153">
        <v>13</v>
      </c>
      <c r="G2153" s="1" t="s">
        <v>29</v>
      </c>
      <c r="H2153" s="1" t="s">
        <v>12</v>
      </c>
      <c r="I2153" s="12">
        <f>car_price_prediction_[[#This Row],[Mileage]]/1000</f>
        <v>257.44299999999998</v>
      </c>
      <c r="J2153" s="5">
        <v>257443</v>
      </c>
      <c r="K2153" s="1" t="s">
        <v>13</v>
      </c>
      <c r="L2153" s="5">
        <f>car_price_prediction_[[#This Row],[Price]]/100</f>
        <v>18936.55</v>
      </c>
      <c r="M2153">
        <v>1893655</v>
      </c>
      <c r="N2153" s="1" t="s">
        <v>38</v>
      </c>
      <c r="O2153" s="1">
        <f>IF(IFERROR(VLOOKUP(car_price_prediction_[[#This Row],[Car ID]],A2154:A4653,1,FALSE),0),1,0)</f>
        <v>0</v>
      </c>
    </row>
    <row r="2154" spans="1:15" x14ac:dyDescent="0.25">
      <c r="A2154">
        <v>2153</v>
      </c>
      <c r="B2154" s="1" t="s">
        <v>24</v>
      </c>
      <c r="C2154" s="1">
        <f>car_price_prediction_[[#This Row],[Year2]]</f>
        <v>2018</v>
      </c>
      <c r="D2154">
        <v>2018</v>
      </c>
      <c r="E2154">
        <f>car_price_prediction_[[#This Row],[Engine Size]]/10</f>
        <v>2.5</v>
      </c>
      <c r="F2154">
        <v>25</v>
      </c>
      <c r="G2154" s="1" t="s">
        <v>16</v>
      </c>
      <c r="H2154" s="1" t="s">
        <v>22</v>
      </c>
      <c r="I2154" s="12">
        <f>car_price_prediction_[[#This Row],[Mileage]]/1000</f>
        <v>119.968</v>
      </c>
      <c r="J2154" s="5">
        <v>119968</v>
      </c>
      <c r="K2154" s="1" t="s">
        <v>13</v>
      </c>
      <c r="L2154" s="5">
        <f>car_price_prediction_[[#This Row],[Price]]/100</f>
        <v>84887.86</v>
      </c>
      <c r="M2154">
        <v>8488786</v>
      </c>
      <c r="N2154" s="1" t="s">
        <v>53</v>
      </c>
      <c r="O2154" s="1">
        <f>IF(IFERROR(VLOOKUP(car_price_prediction_[[#This Row],[Car ID]],A2155:A4654,1,FALSE),0),1,0)</f>
        <v>0</v>
      </c>
    </row>
    <row r="2155" spans="1:15" x14ac:dyDescent="0.25">
      <c r="A2155">
        <v>2154</v>
      </c>
      <c r="B2155" s="1" t="s">
        <v>15</v>
      </c>
      <c r="C2155" s="1">
        <f>car_price_prediction_[[#This Row],[Year2]]</f>
        <v>2000</v>
      </c>
      <c r="D2155">
        <v>2000</v>
      </c>
      <c r="E2155">
        <f>car_price_prediction_[[#This Row],[Engine Size]]/10</f>
        <v>3.4</v>
      </c>
      <c r="F2155">
        <v>34</v>
      </c>
      <c r="G2155" s="1" t="s">
        <v>16</v>
      </c>
      <c r="H2155" s="1" t="s">
        <v>12</v>
      </c>
      <c r="I2155" s="12">
        <f>car_price_prediction_[[#This Row],[Mileage]]/1000</f>
        <v>61.6</v>
      </c>
      <c r="J2155" s="5">
        <v>61600</v>
      </c>
      <c r="K2155" s="1" t="s">
        <v>25</v>
      </c>
      <c r="L2155" s="5">
        <f>car_price_prediction_[[#This Row],[Price]]/100</f>
        <v>18891.04</v>
      </c>
      <c r="M2155">
        <v>1889104</v>
      </c>
      <c r="N2155" s="1" t="s">
        <v>39</v>
      </c>
      <c r="O2155" s="1">
        <f>IF(IFERROR(VLOOKUP(car_price_prediction_[[#This Row],[Car ID]],A2156:A4655,1,FALSE),0),1,0)</f>
        <v>0</v>
      </c>
    </row>
    <row r="2156" spans="1:15" x14ac:dyDescent="0.25">
      <c r="A2156">
        <v>2155</v>
      </c>
      <c r="B2156" s="1" t="s">
        <v>36</v>
      </c>
      <c r="C2156" s="1">
        <f>car_price_prediction_[[#This Row],[Year2]]</f>
        <v>2006</v>
      </c>
      <c r="D2156">
        <v>2006</v>
      </c>
      <c r="E2156">
        <f>car_price_prediction_[[#This Row],[Engine Size]]/10</f>
        <v>1.8</v>
      </c>
      <c r="F2156">
        <v>18</v>
      </c>
      <c r="G2156" s="1" t="s">
        <v>16</v>
      </c>
      <c r="H2156" s="1" t="s">
        <v>22</v>
      </c>
      <c r="I2156" s="12">
        <f>car_price_prediction_[[#This Row],[Mileage]]/1000</f>
        <v>50.021999999999998</v>
      </c>
      <c r="J2156" s="5">
        <v>50022</v>
      </c>
      <c r="K2156" s="1" t="s">
        <v>13</v>
      </c>
      <c r="L2156" s="5">
        <f>car_price_prediction_[[#This Row],[Price]]/100</f>
        <v>89677.64</v>
      </c>
      <c r="M2156">
        <v>8967764</v>
      </c>
      <c r="N2156" s="1" t="s">
        <v>37</v>
      </c>
      <c r="O2156" s="1">
        <f>IF(IFERROR(VLOOKUP(car_price_prediction_[[#This Row],[Car ID]],A2157:A4656,1,FALSE),0),1,0)</f>
        <v>0</v>
      </c>
    </row>
    <row r="2157" spans="1:15" x14ac:dyDescent="0.25">
      <c r="A2157">
        <v>2156</v>
      </c>
      <c r="B2157" s="1" t="s">
        <v>24</v>
      </c>
      <c r="C2157" s="1">
        <f>car_price_prediction_[[#This Row],[Year2]]</f>
        <v>2016</v>
      </c>
      <c r="D2157">
        <v>2016</v>
      </c>
      <c r="E2157">
        <f>car_price_prediction_[[#This Row],[Engine Size]]/10</f>
        <v>2.8</v>
      </c>
      <c r="F2157">
        <v>28</v>
      </c>
      <c r="G2157" s="1" t="s">
        <v>11</v>
      </c>
      <c r="H2157" s="1" t="s">
        <v>12</v>
      </c>
      <c r="I2157" s="12">
        <f>car_price_prediction_[[#This Row],[Mileage]]/1000</f>
        <v>134.27099999999999</v>
      </c>
      <c r="J2157" s="5">
        <v>134271</v>
      </c>
      <c r="K2157" s="1" t="s">
        <v>13</v>
      </c>
      <c r="L2157" s="5">
        <f>car_price_prediction_[[#This Row],[Price]]/100</f>
        <v>47704.51</v>
      </c>
      <c r="M2157">
        <v>4770451</v>
      </c>
      <c r="N2157" s="1" t="s">
        <v>53</v>
      </c>
      <c r="O2157" s="1">
        <f>IF(IFERROR(VLOOKUP(car_price_prediction_[[#This Row],[Car ID]],A2158:A4657,1,FALSE),0),1,0)</f>
        <v>0</v>
      </c>
    </row>
    <row r="2158" spans="1:15" x14ac:dyDescent="0.25">
      <c r="A2158">
        <v>2157</v>
      </c>
      <c r="B2158" s="1" t="s">
        <v>43</v>
      </c>
      <c r="C2158" s="1">
        <f>car_price_prediction_[[#This Row],[Year2]]</f>
        <v>2002</v>
      </c>
      <c r="D2158">
        <v>2002</v>
      </c>
      <c r="E2158">
        <f>car_price_prediction_[[#This Row],[Engine Size]]/10</f>
        <v>3</v>
      </c>
      <c r="F2158">
        <v>30</v>
      </c>
      <c r="G2158" s="1" t="s">
        <v>29</v>
      </c>
      <c r="H2158" s="1" t="s">
        <v>12</v>
      </c>
      <c r="I2158" s="12">
        <f>car_price_prediction_[[#This Row],[Mileage]]/1000</f>
        <v>123.32299999999999</v>
      </c>
      <c r="J2158" s="5">
        <v>123323</v>
      </c>
      <c r="K2158" s="1" t="s">
        <v>13</v>
      </c>
      <c r="L2158" s="5">
        <f>car_price_prediction_[[#This Row],[Price]]/100</f>
        <v>5723.15</v>
      </c>
      <c r="M2158">
        <v>572315</v>
      </c>
      <c r="N2158" s="1" t="s">
        <v>50</v>
      </c>
      <c r="O2158" s="1">
        <f>IF(IFERROR(VLOOKUP(car_price_prediction_[[#This Row],[Car ID]],A2159:A4658,1,FALSE),0),1,0)</f>
        <v>0</v>
      </c>
    </row>
    <row r="2159" spans="1:15" x14ac:dyDescent="0.25">
      <c r="A2159">
        <v>2158</v>
      </c>
      <c r="B2159" s="1" t="s">
        <v>19</v>
      </c>
      <c r="C2159" s="1">
        <f>car_price_prediction_[[#This Row],[Year2]]</f>
        <v>2019</v>
      </c>
      <c r="D2159">
        <v>2019</v>
      </c>
      <c r="E2159">
        <f>car_price_prediction_[[#This Row],[Engine Size]]/10</f>
        <v>1.3</v>
      </c>
      <c r="F2159">
        <v>13</v>
      </c>
      <c r="G2159" s="1" t="s">
        <v>29</v>
      </c>
      <c r="H2159" s="1" t="s">
        <v>22</v>
      </c>
      <c r="I2159" s="12">
        <f>car_price_prediction_[[#This Row],[Mileage]]/1000</f>
        <v>186.11</v>
      </c>
      <c r="J2159" s="5">
        <v>186110</v>
      </c>
      <c r="K2159" s="1" t="s">
        <v>17</v>
      </c>
      <c r="L2159" s="5">
        <f>car_price_prediction_[[#This Row],[Price]]/100</f>
        <v>90175.23</v>
      </c>
      <c r="M2159">
        <v>9017523</v>
      </c>
      <c r="N2159" s="1" t="s">
        <v>38</v>
      </c>
      <c r="O2159" s="1">
        <f>IF(IFERROR(VLOOKUP(car_price_prediction_[[#This Row],[Car ID]],A2160:A4659,1,FALSE),0),1,0)</f>
        <v>0</v>
      </c>
    </row>
    <row r="2160" spans="1:15" x14ac:dyDescent="0.25">
      <c r="A2160">
        <v>2159</v>
      </c>
      <c r="B2160" s="1" t="s">
        <v>24</v>
      </c>
      <c r="C2160" s="1">
        <f>car_price_prediction_[[#This Row],[Year2]]</f>
        <v>2019</v>
      </c>
      <c r="D2160">
        <v>2019</v>
      </c>
      <c r="E2160">
        <f>car_price_prediction_[[#This Row],[Engine Size]]/10</f>
        <v>3.9</v>
      </c>
      <c r="F2160">
        <v>39</v>
      </c>
      <c r="G2160" s="1" t="s">
        <v>21</v>
      </c>
      <c r="H2160" s="1" t="s">
        <v>12</v>
      </c>
      <c r="I2160" s="12">
        <f>car_price_prediction_[[#This Row],[Mileage]]/1000</f>
        <v>120.27800000000001</v>
      </c>
      <c r="J2160" s="5">
        <v>120278</v>
      </c>
      <c r="K2160" s="1" t="s">
        <v>17</v>
      </c>
      <c r="L2160" s="5">
        <f>car_price_prediction_[[#This Row],[Price]]/100</f>
        <v>33491.74</v>
      </c>
      <c r="M2160">
        <v>3349174</v>
      </c>
      <c r="N2160" s="1" t="s">
        <v>32</v>
      </c>
      <c r="O2160" s="1">
        <f>IF(IFERROR(VLOOKUP(car_price_prediction_[[#This Row],[Car ID]],A2161:A4660,1,FALSE),0),1,0)</f>
        <v>0</v>
      </c>
    </row>
    <row r="2161" spans="1:15" x14ac:dyDescent="0.25">
      <c r="A2161">
        <v>2160</v>
      </c>
      <c r="B2161" s="1" t="s">
        <v>24</v>
      </c>
      <c r="C2161" s="1">
        <f>car_price_prediction_[[#This Row],[Year2]]</f>
        <v>2020</v>
      </c>
      <c r="D2161">
        <v>2020</v>
      </c>
      <c r="E2161">
        <f>car_price_prediction_[[#This Row],[Engine Size]]/10</f>
        <v>5.4</v>
      </c>
      <c r="F2161">
        <v>54</v>
      </c>
      <c r="G2161" s="1" t="s">
        <v>21</v>
      </c>
      <c r="H2161" s="1" t="s">
        <v>22</v>
      </c>
      <c r="I2161" s="12">
        <f>car_price_prediction_[[#This Row],[Mileage]]/1000</f>
        <v>270.041</v>
      </c>
      <c r="J2161" s="5">
        <v>270041</v>
      </c>
      <c r="K2161" s="1" t="s">
        <v>17</v>
      </c>
      <c r="L2161" s="5">
        <f>car_price_prediction_[[#This Row],[Price]]/100</f>
        <v>22273.56</v>
      </c>
      <c r="M2161">
        <v>2227356</v>
      </c>
      <c r="N2161" s="1" t="s">
        <v>32</v>
      </c>
      <c r="O2161" s="1">
        <f>IF(IFERROR(VLOOKUP(car_price_prediction_[[#This Row],[Car ID]],A2162:A4661,1,FALSE),0),1,0)</f>
        <v>0</v>
      </c>
    </row>
    <row r="2162" spans="1:15" x14ac:dyDescent="0.25">
      <c r="A2162">
        <v>2161</v>
      </c>
      <c r="B2162" s="1" t="s">
        <v>43</v>
      </c>
      <c r="C2162" s="1">
        <f>car_price_prediction_[[#This Row],[Year2]]</f>
        <v>2002</v>
      </c>
      <c r="D2162">
        <v>2002</v>
      </c>
      <c r="E2162">
        <f>car_price_prediction_[[#This Row],[Engine Size]]/10</f>
        <v>1.8</v>
      </c>
      <c r="F2162">
        <v>18</v>
      </c>
      <c r="G2162" s="1" t="s">
        <v>16</v>
      </c>
      <c r="H2162" s="1" t="s">
        <v>12</v>
      </c>
      <c r="I2162" s="12">
        <f>car_price_prediction_[[#This Row],[Mileage]]/1000</f>
        <v>64.540999999999997</v>
      </c>
      <c r="J2162" s="5">
        <v>64541</v>
      </c>
      <c r="K2162" s="1" t="s">
        <v>17</v>
      </c>
      <c r="L2162" s="5">
        <f>car_price_prediction_[[#This Row],[Price]]/100</f>
        <v>4734.6400000000003</v>
      </c>
      <c r="M2162">
        <v>473464</v>
      </c>
      <c r="N2162" s="1" t="s">
        <v>47</v>
      </c>
      <c r="O2162" s="1">
        <f>IF(IFERROR(VLOOKUP(car_price_prediction_[[#This Row],[Car ID]],A2163:A4662,1,FALSE),0),1,0)</f>
        <v>0</v>
      </c>
    </row>
    <row r="2163" spans="1:15" x14ac:dyDescent="0.25">
      <c r="A2163">
        <v>2162</v>
      </c>
      <c r="B2163" s="1" t="s">
        <v>30</v>
      </c>
      <c r="C2163" s="1">
        <f>car_price_prediction_[[#This Row],[Year2]]</f>
        <v>2002</v>
      </c>
      <c r="D2163">
        <v>2002</v>
      </c>
      <c r="E2163">
        <f>car_price_prediction_[[#This Row],[Engine Size]]/10</f>
        <v>4</v>
      </c>
      <c r="F2163">
        <v>40</v>
      </c>
      <c r="G2163" s="1" t="s">
        <v>11</v>
      </c>
      <c r="H2163" s="1" t="s">
        <v>12</v>
      </c>
      <c r="I2163" s="12">
        <f>car_price_prediction_[[#This Row],[Mileage]]/1000</f>
        <v>106.968</v>
      </c>
      <c r="J2163" s="5">
        <v>106968</v>
      </c>
      <c r="K2163" s="1" t="s">
        <v>25</v>
      </c>
      <c r="L2163" s="5">
        <f>car_price_prediction_[[#This Row],[Price]]/100</f>
        <v>28214.89</v>
      </c>
      <c r="M2163">
        <v>2821489</v>
      </c>
      <c r="N2163" s="1" t="s">
        <v>42</v>
      </c>
      <c r="O2163" s="1">
        <f>IF(IFERROR(VLOOKUP(car_price_prediction_[[#This Row],[Car ID]],A2164:A4663,1,FALSE),0),1,0)</f>
        <v>0</v>
      </c>
    </row>
    <row r="2164" spans="1:15" x14ac:dyDescent="0.25">
      <c r="A2164">
        <v>2163</v>
      </c>
      <c r="B2164" s="1" t="s">
        <v>15</v>
      </c>
      <c r="C2164" s="1">
        <f>car_price_prediction_[[#This Row],[Year2]]</f>
        <v>2016</v>
      </c>
      <c r="D2164">
        <v>2016</v>
      </c>
      <c r="E2164">
        <f>car_price_prediction_[[#This Row],[Engine Size]]/10</f>
        <v>4.3</v>
      </c>
      <c r="F2164">
        <v>43</v>
      </c>
      <c r="G2164" s="1" t="s">
        <v>21</v>
      </c>
      <c r="H2164" s="1" t="s">
        <v>22</v>
      </c>
      <c r="I2164" s="12">
        <f>car_price_prediction_[[#This Row],[Mileage]]/1000</f>
        <v>14.891999999999999</v>
      </c>
      <c r="J2164" s="5">
        <v>14892</v>
      </c>
      <c r="K2164" s="1" t="s">
        <v>25</v>
      </c>
      <c r="L2164" s="5">
        <f>car_price_prediction_[[#This Row],[Price]]/100</f>
        <v>55145.17</v>
      </c>
      <c r="M2164">
        <v>5514517</v>
      </c>
      <c r="N2164" s="1" t="s">
        <v>18</v>
      </c>
      <c r="O2164" s="1">
        <f>IF(IFERROR(VLOOKUP(car_price_prediction_[[#This Row],[Car ID]],A2165:A4664,1,FALSE),0),1,0)</f>
        <v>0</v>
      </c>
    </row>
    <row r="2165" spans="1:15" x14ac:dyDescent="0.25">
      <c r="A2165">
        <v>2164</v>
      </c>
      <c r="B2165" s="1" t="s">
        <v>36</v>
      </c>
      <c r="C2165" s="1">
        <f>car_price_prediction_[[#This Row],[Year2]]</f>
        <v>2006</v>
      </c>
      <c r="D2165">
        <v>2006</v>
      </c>
      <c r="E2165">
        <f>car_price_prediction_[[#This Row],[Engine Size]]/10</f>
        <v>3.1</v>
      </c>
      <c r="F2165">
        <v>31</v>
      </c>
      <c r="G2165" s="1" t="s">
        <v>21</v>
      </c>
      <c r="H2165" s="1" t="s">
        <v>12</v>
      </c>
      <c r="I2165" s="12">
        <f>car_price_prediction_[[#This Row],[Mileage]]/1000</f>
        <v>24.815000000000001</v>
      </c>
      <c r="J2165" s="5">
        <v>24815</v>
      </c>
      <c r="K2165" s="1" t="s">
        <v>13</v>
      </c>
      <c r="L2165" s="5">
        <f>car_price_prediction_[[#This Row],[Price]]/100</f>
        <v>3114.95</v>
      </c>
      <c r="M2165">
        <v>311495</v>
      </c>
      <c r="N2165" s="1" t="s">
        <v>46</v>
      </c>
      <c r="O2165" s="1">
        <f>IF(IFERROR(VLOOKUP(car_price_prediction_[[#This Row],[Car ID]],A2166:A4665,1,FALSE),0),1,0)</f>
        <v>0</v>
      </c>
    </row>
    <row r="2166" spans="1:15" x14ac:dyDescent="0.25">
      <c r="A2166">
        <v>2165</v>
      </c>
      <c r="B2166" s="1" t="s">
        <v>10</v>
      </c>
      <c r="C2166" s="1">
        <f>car_price_prediction_[[#This Row],[Year2]]</f>
        <v>2013</v>
      </c>
      <c r="D2166">
        <v>2013</v>
      </c>
      <c r="E2166">
        <f>car_price_prediction_[[#This Row],[Engine Size]]/10</f>
        <v>4.5</v>
      </c>
      <c r="F2166">
        <v>45</v>
      </c>
      <c r="G2166" s="1" t="s">
        <v>16</v>
      </c>
      <c r="H2166" s="1" t="s">
        <v>22</v>
      </c>
      <c r="I2166" s="12">
        <f>car_price_prediction_[[#This Row],[Mileage]]/1000</f>
        <v>278.411</v>
      </c>
      <c r="J2166" s="5">
        <v>278411</v>
      </c>
      <c r="K2166" s="1" t="s">
        <v>25</v>
      </c>
      <c r="L2166" s="5">
        <f>car_price_prediction_[[#This Row],[Price]]/100</f>
        <v>87126.51</v>
      </c>
      <c r="M2166">
        <v>8712651</v>
      </c>
      <c r="N2166" s="1" t="s">
        <v>14</v>
      </c>
      <c r="O2166" s="1">
        <f>IF(IFERROR(VLOOKUP(car_price_prediction_[[#This Row],[Car ID]],A2167:A4666,1,FALSE),0),1,0)</f>
        <v>0</v>
      </c>
    </row>
    <row r="2167" spans="1:15" x14ac:dyDescent="0.25">
      <c r="A2167">
        <v>2166</v>
      </c>
      <c r="B2167" s="1" t="s">
        <v>30</v>
      </c>
      <c r="C2167" s="1">
        <f>car_price_prediction_[[#This Row],[Year2]]</f>
        <v>2016</v>
      </c>
      <c r="D2167">
        <v>2016</v>
      </c>
      <c r="E2167">
        <f>car_price_prediction_[[#This Row],[Engine Size]]/10</f>
        <v>3.1</v>
      </c>
      <c r="F2167">
        <v>31</v>
      </c>
      <c r="G2167" s="1" t="s">
        <v>16</v>
      </c>
      <c r="H2167" s="1" t="s">
        <v>12</v>
      </c>
      <c r="I2167" s="12">
        <f>car_price_prediction_[[#This Row],[Mileage]]/1000</f>
        <v>280.41199999999998</v>
      </c>
      <c r="J2167" s="5">
        <v>280412</v>
      </c>
      <c r="K2167" s="1" t="s">
        <v>17</v>
      </c>
      <c r="L2167" s="5">
        <f>car_price_prediction_[[#This Row],[Price]]/100</f>
        <v>62695.839999999997</v>
      </c>
      <c r="M2167">
        <v>6269584</v>
      </c>
      <c r="N2167" s="1" t="s">
        <v>31</v>
      </c>
      <c r="O2167" s="1">
        <f>IF(IFERROR(VLOOKUP(car_price_prediction_[[#This Row],[Car ID]],A2168:A4667,1,FALSE),0),1,0)</f>
        <v>0</v>
      </c>
    </row>
    <row r="2168" spans="1:15" x14ac:dyDescent="0.25">
      <c r="A2168">
        <v>2167</v>
      </c>
      <c r="B2168" s="1" t="s">
        <v>19</v>
      </c>
      <c r="C2168" s="1">
        <f>car_price_prediction_[[#This Row],[Year2]]</f>
        <v>2017</v>
      </c>
      <c r="D2168">
        <v>2017</v>
      </c>
      <c r="E2168">
        <f>car_price_prediction_[[#This Row],[Engine Size]]/10</f>
        <v>3.5</v>
      </c>
      <c r="F2168">
        <v>35</v>
      </c>
      <c r="G2168" s="1" t="s">
        <v>21</v>
      </c>
      <c r="H2168" s="1" t="s">
        <v>12</v>
      </c>
      <c r="I2168" s="12">
        <f>car_price_prediction_[[#This Row],[Mileage]]/1000</f>
        <v>114.46299999999999</v>
      </c>
      <c r="J2168" s="5">
        <v>114463</v>
      </c>
      <c r="K2168" s="1" t="s">
        <v>13</v>
      </c>
      <c r="L2168" s="5">
        <f>car_price_prediction_[[#This Row],[Price]]/100</f>
        <v>5022.8599999999997</v>
      </c>
      <c r="M2168">
        <v>502286</v>
      </c>
      <c r="N2168" s="1" t="s">
        <v>38</v>
      </c>
      <c r="O2168" s="1">
        <f>IF(IFERROR(VLOOKUP(car_price_prediction_[[#This Row],[Car ID]],A2169:A4668,1,FALSE),0),1,0)</f>
        <v>0</v>
      </c>
    </row>
    <row r="2169" spans="1:15" x14ac:dyDescent="0.25">
      <c r="A2169">
        <v>2168</v>
      </c>
      <c r="B2169" s="1" t="s">
        <v>24</v>
      </c>
      <c r="C2169" s="1">
        <f>car_price_prediction_[[#This Row],[Year2]]</f>
        <v>2012</v>
      </c>
      <c r="D2169">
        <v>2012</v>
      </c>
      <c r="E2169">
        <f>car_price_prediction_[[#This Row],[Engine Size]]/10</f>
        <v>1</v>
      </c>
      <c r="F2169">
        <v>10</v>
      </c>
      <c r="G2169" s="1" t="s">
        <v>21</v>
      </c>
      <c r="H2169" s="1" t="s">
        <v>12</v>
      </c>
      <c r="I2169" s="12">
        <f>car_price_prediction_[[#This Row],[Mileage]]/1000</f>
        <v>190.732</v>
      </c>
      <c r="J2169" s="5">
        <v>190732</v>
      </c>
      <c r="K2169" s="1" t="s">
        <v>13</v>
      </c>
      <c r="L2169" s="5">
        <f>car_price_prediction_[[#This Row],[Price]]/100</f>
        <v>8152</v>
      </c>
      <c r="M2169">
        <v>815200</v>
      </c>
      <c r="N2169" s="1" t="s">
        <v>34</v>
      </c>
      <c r="O2169" s="1">
        <f>IF(IFERROR(VLOOKUP(car_price_prediction_[[#This Row],[Car ID]],A2170:A4669,1,FALSE),0),1,0)</f>
        <v>0</v>
      </c>
    </row>
    <row r="2170" spans="1:15" x14ac:dyDescent="0.25">
      <c r="A2170">
        <v>2169</v>
      </c>
      <c r="B2170" s="1" t="s">
        <v>43</v>
      </c>
      <c r="C2170" s="1">
        <f>car_price_prediction_[[#This Row],[Year2]]</f>
        <v>2019</v>
      </c>
      <c r="D2170">
        <v>2019</v>
      </c>
      <c r="E2170">
        <f>car_price_prediction_[[#This Row],[Engine Size]]/10</f>
        <v>4.5</v>
      </c>
      <c r="F2170">
        <v>45</v>
      </c>
      <c r="G2170" s="1" t="s">
        <v>29</v>
      </c>
      <c r="H2170" s="1" t="s">
        <v>12</v>
      </c>
      <c r="I2170" s="12">
        <f>car_price_prediction_[[#This Row],[Mileage]]/1000</f>
        <v>196.59899999999999</v>
      </c>
      <c r="J2170" s="5">
        <v>196599</v>
      </c>
      <c r="K2170" s="1" t="s">
        <v>17</v>
      </c>
      <c r="L2170" s="5">
        <f>car_price_prediction_[[#This Row],[Price]]/100</f>
        <v>36370.17</v>
      </c>
      <c r="M2170">
        <v>3637017</v>
      </c>
      <c r="N2170" s="1" t="s">
        <v>50</v>
      </c>
      <c r="O2170" s="1">
        <f>IF(IFERROR(VLOOKUP(car_price_prediction_[[#This Row],[Car ID]],A2171:A4670,1,FALSE),0),1,0)</f>
        <v>0</v>
      </c>
    </row>
    <row r="2171" spans="1:15" x14ac:dyDescent="0.25">
      <c r="A2171">
        <v>2170</v>
      </c>
      <c r="B2171" s="1" t="s">
        <v>43</v>
      </c>
      <c r="C2171" s="1">
        <f>car_price_prediction_[[#This Row],[Year2]]</f>
        <v>2019</v>
      </c>
      <c r="D2171">
        <v>2019</v>
      </c>
      <c r="E2171">
        <f>car_price_prediction_[[#This Row],[Engine Size]]/10</f>
        <v>4.3</v>
      </c>
      <c r="F2171">
        <v>43</v>
      </c>
      <c r="G2171" s="1" t="s">
        <v>11</v>
      </c>
      <c r="H2171" s="1" t="s">
        <v>12</v>
      </c>
      <c r="I2171" s="12">
        <f>car_price_prediction_[[#This Row],[Mileage]]/1000</f>
        <v>194.45099999999999</v>
      </c>
      <c r="J2171" s="5">
        <v>194451</v>
      </c>
      <c r="K2171" s="1" t="s">
        <v>17</v>
      </c>
      <c r="L2171" s="5">
        <f>car_price_prediction_[[#This Row],[Price]]/100</f>
        <v>35419.760000000002</v>
      </c>
      <c r="M2171">
        <v>3541976</v>
      </c>
      <c r="N2171" s="1" t="s">
        <v>44</v>
      </c>
      <c r="O2171" s="1">
        <f>IF(IFERROR(VLOOKUP(car_price_prediction_[[#This Row],[Car ID]],A2172:A4671,1,FALSE),0),1,0)</f>
        <v>0</v>
      </c>
    </row>
    <row r="2172" spans="1:15" x14ac:dyDescent="0.25">
      <c r="A2172">
        <v>2171</v>
      </c>
      <c r="B2172" s="1" t="s">
        <v>15</v>
      </c>
      <c r="C2172" s="1">
        <f>car_price_prediction_[[#This Row],[Year2]]</f>
        <v>2020</v>
      </c>
      <c r="D2172">
        <v>2020</v>
      </c>
      <c r="E2172">
        <f>car_price_prediction_[[#This Row],[Engine Size]]/10</f>
        <v>1.2</v>
      </c>
      <c r="F2172">
        <v>12</v>
      </c>
      <c r="G2172" s="1" t="s">
        <v>29</v>
      </c>
      <c r="H2172" s="1" t="s">
        <v>12</v>
      </c>
      <c r="I2172" s="12">
        <f>car_price_prediction_[[#This Row],[Mileage]]/1000</f>
        <v>172.34299999999999</v>
      </c>
      <c r="J2172" s="5">
        <v>172343</v>
      </c>
      <c r="K2172" s="1" t="s">
        <v>17</v>
      </c>
      <c r="L2172" s="5">
        <f>car_price_prediction_[[#This Row],[Price]]/100</f>
        <v>41390.97</v>
      </c>
      <c r="M2172">
        <v>4139097</v>
      </c>
      <c r="N2172" s="1" t="s">
        <v>18</v>
      </c>
      <c r="O2172" s="1">
        <f>IF(IFERROR(VLOOKUP(car_price_prediction_[[#This Row],[Car ID]],A2173:A4672,1,FALSE),0),1,0)</f>
        <v>0</v>
      </c>
    </row>
    <row r="2173" spans="1:15" x14ac:dyDescent="0.25">
      <c r="A2173">
        <v>2172</v>
      </c>
      <c r="B2173" s="1" t="s">
        <v>30</v>
      </c>
      <c r="C2173" s="1">
        <f>car_price_prediction_[[#This Row],[Year2]]</f>
        <v>2017</v>
      </c>
      <c r="D2173">
        <v>2017</v>
      </c>
      <c r="E2173">
        <f>car_price_prediction_[[#This Row],[Engine Size]]/10</f>
        <v>2.8</v>
      </c>
      <c r="F2173">
        <v>28</v>
      </c>
      <c r="G2173" s="1" t="s">
        <v>21</v>
      </c>
      <c r="H2173" s="1" t="s">
        <v>12</v>
      </c>
      <c r="I2173" s="12">
        <f>car_price_prediction_[[#This Row],[Mileage]]/1000</f>
        <v>138.30699999999999</v>
      </c>
      <c r="J2173" s="5">
        <v>138307</v>
      </c>
      <c r="K2173" s="1" t="s">
        <v>25</v>
      </c>
      <c r="L2173" s="5">
        <f>car_price_prediction_[[#This Row],[Price]]/100</f>
        <v>64874.94</v>
      </c>
      <c r="M2173">
        <v>6487494</v>
      </c>
      <c r="N2173" s="1" t="s">
        <v>48</v>
      </c>
      <c r="O2173" s="1">
        <f>IF(IFERROR(VLOOKUP(car_price_prediction_[[#This Row],[Car ID]],A2174:A4673,1,FALSE),0),1,0)</f>
        <v>0</v>
      </c>
    </row>
    <row r="2174" spans="1:15" x14ac:dyDescent="0.25">
      <c r="A2174">
        <v>2173</v>
      </c>
      <c r="B2174" s="1" t="s">
        <v>10</v>
      </c>
      <c r="C2174" s="1">
        <f>car_price_prediction_[[#This Row],[Year2]]</f>
        <v>2003</v>
      </c>
      <c r="D2174">
        <v>2003</v>
      </c>
      <c r="E2174">
        <f>car_price_prediction_[[#This Row],[Engine Size]]/10</f>
        <v>5.9</v>
      </c>
      <c r="F2174">
        <v>59</v>
      </c>
      <c r="G2174" s="1" t="s">
        <v>29</v>
      </c>
      <c r="H2174" s="1" t="s">
        <v>22</v>
      </c>
      <c r="I2174" s="12">
        <f>car_price_prediction_[[#This Row],[Mileage]]/1000</f>
        <v>88.757000000000005</v>
      </c>
      <c r="J2174" s="5">
        <v>88757</v>
      </c>
      <c r="K2174" s="1" t="s">
        <v>13</v>
      </c>
      <c r="L2174" s="5">
        <f>car_price_prediction_[[#This Row],[Price]]/100</f>
        <v>46995.77</v>
      </c>
      <c r="M2174">
        <v>4699577</v>
      </c>
      <c r="N2174" s="1" t="s">
        <v>49</v>
      </c>
      <c r="O2174" s="1">
        <f>IF(IFERROR(VLOOKUP(car_price_prediction_[[#This Row],[Car ID]],A2175:A4674,1,FALSE),0),1,0)</f>
        <v>0</v>
      </c>
    </row>
    <row r="2175" spans="1:15" x14ac:dyDescent="0.25">
      <c r="A2175">
        <v>2174</v>
      </c>
      <c r="B2175" s="1" t="s">
        <v>15</v>
      </c>
      <c r="C2175" s="1">
        <f>car_price_prediction_[[#This Row],[Year2]]</f>
        <v>2000</v>
      </c>
      <c r="D2175">
        <v>2000</v>
      </c>
      <c r="E2175">
        <f>car_price_prediction_[[#This Row],[Engine Size]]/10</f>
        <v>3.1</v>
      </c>
      <c r="F2175">
        <v>31</v>
      </c>
      <c r="G2175" s="1" t="s">
        <v>29</v>
      </c>
      <c r="H2175" s="1" t="s">
        <v>12</v>
      </c>
      <c r="I2175" s="12">
        <f>car_price_prediction_[[#This Row],[Mileage]]/1000</f>
        <v>296.75299999999999</v>
      </c>
      <c r="J2175" s="5">
        <v>296753</v>
      </c>
      <c r="K2175" s="1" t="s">
        <v>17</v>
      </c>
      <c r="L2175" s="5">
        <f>car_price_prediction_[[#This Row],[Price]]/100</f>
        <v>64720.38</v>
      </c>
      <c r="M2175">
        <v>6472038</v>
      </c>
      <c r="N2175" s="1" t="s">
        <v>51</v>
      </c>
      <c r="O2175" s="1">
        <f>IF(IFERROR(VLOOKUP(car_price_prediction_[[#This Row],[Car ID]],A2176:A4675,1,FALSE),0),1,0)</f>
        <v>0</v>
      </c>
    </row>
    <row r="2176" spans="1:15" x14ac:dyDescent="0.25">
      <c r="A2176">
        <v>2175</v>
      </c>
      <c r="B2176" s="1" t="s">
        <v>24</v>
      </c>
      <c r="C2176" s="1">
        <f>car_price_prediction_[[#This Row],[Year2]]</f>
        <v>2017</v>
      </c>
      <c r="D2176">
        <v>2017</v>
      </c>
      <c r="E2176">
        <f>car_price_prediction_[[#This Row],[Engine Size]]/10</f>
        <v>3.5</v>
      </c>
      <c r="F2176">
        <v>35</v>
      </c>
      <c r="G2176" s="1" t="s">
        <v>21</v>
      </c>
      <c r="H2176" s="1" t="s">
        <v>12</v>
      </c>
      <c r="I2176" s="12">
        <f>car_price_prediction_[[#This Row],[Mileage]]/1000</f>
        <v>254.2</v>
      </c>
      <c r="J2176" s="5">
        <v>254200</v>
      </c>
      <c r="K2176" s="1" t="s">
        <v>13</v>
      </c>
      <c r="L2176" s="5">
        <f>car_price_prediction_[[#This Row],[Price]]/100</f>
        <v>18944.169999999998</v>
      </c>
      <c r="M2176">
        <v>1894417</v>
      </c>
      <c r="N2176" s="1" t="s">
        <v>34</v>
      </c>
      <c r="O2176" s="1">
        <f>IF(IFERROR(VLOOKUP(car_price_prediction_[[#This Row],[Car ID]],A2177:A4676,1,FALSE),0),1,0)</f>
        <v>0</v>
      </c>
    </row>
    <row r="2177" spans="1:15" x14ac:dyDescent="0.25">
      <c r="A2177">
        <v>2176</v>
      </c>
      <c r="B2177" s="1" t="s">
        <v>15</v>
      </c>
      <c r="C2177" s="1">
        <f>car_price_prediction_[[#This Row],[Year2]]</f>
        <v>2000</v>
      </c>
      <c r="D2177">
        <v>2000</v>
      </c>
      <c r="E2177">
        <f>car_price_prediction_[[#This Row],[Engine Size]]/10</f>
        <v>5.5</v>
      </c>
      <c r="F2177">
        <v>55</v>
      </c>
      <c r="G2177" s="1" t="s">
        <v>16</v>
      </c>
      <c r="H2177" s="1" t="s">
        <v>12</v>
      </c>
      <c r="I2177" s="12">
        <f>car_price_prediction_[[#This Row],[Mileage]]/1000</f>
        <v>23.645</v>
      </c>
      <c r="J2177" s="5">
        <v>23645</v>
      </c>
      <c r="K2177" s="1" t="s">
        <v>13</v>
      </c>
      <c r="L2177" s="5">
        <f>car_price_prediction_[[#This Row],[Price]]/100</f>
        <v>97165.62</v>
      </c>
      <c r="M2177">
        <v>9716562</v>
      </c>
      <c r="N2177" s="1" t="s">
        <v>18</v>
      </c>
      <c r="O2177" s="1">
        <f>IF(IFERROR(VLOOKUP(car_price_prediction_[[#This Row],[Car ID]],A2178:A4677,1,FALSE),0),1,0)</f>
        <v>0</v>
      </c>
    </row>
    <row r="2178" spans="1:15" x14ac:dyDescent="0.25">
      <c r="A2178">
        <v>2177</v>
      </c>
      <c r="B2178" s="1" t="s">
        <v>36</v>
      </c>
      <c r="C2178" s="1">
        <f>car_price_prediction_[[#This Row],[Year2]]</f>
        <v>2012</v>
      </c>
      <c r="D2178">
        <v>2012</v>
      </c>
      <c r="E2178">
        <f>car_price_prediction_[[#This Row],[Engine Size]]/10</f>
        <v>4.5999999999999996</v>
      </c>
      <c r="F2178">
        <v>46</v>
      </c>
      <c r="G2178" s="1" t="s">
        <v>21</v>
      </c>
      <c r="H2178" s="1" t="s">
        <v>22</v>
      </c>
      <c r="I2178" s="12">
        <f>car_price_prediction_[[#This Row],[Mileage]]/1000</f>
        <v>195.63</v>
      </c>
      <c r="J2178" s="5">
        <v>195630</v>
      </c>
      <c r="K2178" s="1" t="s">
        <v>25</v>
      </c>
      <c r="L2178" s="5">
        <f>car_price_prediction_[[#This Row],[Price]]/100</f>
        <v>7431.26</v>
      </c>
      <c r="M2178">
        <v>743126</v>
      </c>
      <c r="N2178" s="1" t="s">
        <v>46</v>
      </c>
      <c r="O2178" s="1">
        <f>IF(IFERROR(VLOOKUP(car_price_prediction_[[#This Row],[Car ID]],A2179:A4678,1,FALSE),0),1,0)</f>
        <v>0</v>
      </c>
    </row>
    <row r="2179" spans="1:15" x14ac:dyDescent="0.25">
      <c r="A2179">
        <v>2178</v>
      </c>
      <c r="B2179" s="1" t="s">
        <v>43</v>
      </c>
      <c r="C2179" s="1">
        <f>car_price_prediction_[[#This Row],[Year2]]</f>
        <v>2019</v>
      </c>
      <c r="D2179">
        <v>2019</v>
      </c>
      <c r="E2179">
        <f>car_price_prediction_[[#This Row],[Engine Size]]/10</f>
        <v>3.9</v>
      </c>
      <c r="F2179">
        <v>39</v>
      </c>
      <c r="G2179" s="1" t="s">
        <v>16</v>
      </c>
      <c r="H2179" s="1" t="s">
        <v>22</v>
      </c>
      <c r="I2179" s="12">
        <f>car_price_prediction_[[#This Row],[Mileage]]/1000</f>
        <v>154.47300000000001</v>
      </c>
      <c r="J2179" s="5">
        <v>154473</v>
      </c>
      <c r="K2179" s="1" t="s">
        <v>13</v>
      </c>
      <c r="L2179" s="5">
        <f>car_price_prediction_[[#This Row],[Price]]/100</f>
        <v>28769.68</v>
      </c>
      <c r="M2179">
        <v>2876968</v>
      </c>
      <c r="N2179" s="1" t="s">
        <v>50</v>
      </c>
      <c r="O2179" s="1">
        <f>IF(IFERROR(VLOOKUP(car_price_prediction_[[#This Row],[Car ID]],A2180:A4679,1,FALSE),0),1,0)</f>
        <v>0</v>
      </c>
    </row>
    <row r="2180" spans="1:15" x14ac:dyDescent="0.25">
      <c r="A2180">
        <v>2179</v>
      </c>
      <c r="B2180" s="1" t="s">
        <v>43</v>
      </c>
      <c r="C2180" s="1">
        <f>car_price_prediction_[[#This Row],[Year2]]</f>
        <v>2019</v>
      </c>
      <c r="D2180">
        <v>2019</v>
      </c>
      <c r="E2180">
        <f>car_price_prediction_[[#This Row],[Engine Size]]/10</f>
        <v>5</v>
      </c>
      <c r="F2180">
        <v>50</v>
      </c>
      <c r="G2180" s="1" t="s">
        <v>21</v>
      </c>
      <c r="H2180" s="1" t="s">
        <v>12</v>
      </c>
      <c r="I2180" s="12">
        <f>car_price_prediction_[[#This Row],[Mileage]]/1000</f>
        <v>269.91500000000002</v>
      </c>
      <c r="J2180" s="5">
        <v>269915</v>
      </c>
      <c r="K2180" s="1" t="s">
        <v>17</v>
      </c>
      <c r="L2180" s="5">
        <f>car_price_prediction_[[#This Row],[Price]]/100</f>
        <v>73796.14</v>
      </c>
      <c r="M2180">
        <v>7379614</v>
      </c>
      <c r="N2180" s="1" t="s">
        <v>44</v>
      </c>
      <c r="O2180" s="1">
        <f>IF(IFERROR(VLOOKUP(car_price_prediction_[[#This Row],[Car ID]],A2181:A4680,1,FALSE),0),1,0)</f>
        <v>0</v>
      </c>
    </row>
    <row r="2181" spans="1:15" x14ac:dyDescent="0.25">
      <c r="A2181">
        <v>2180</v>
      </c>
      <c r="B2181" s="1" t="s">
        <v>19</v>
      </c>
      <c r="C2181" s="1">
        <f>car_price_prediction_[[#This Row],[Year2]]</f>
        <v>2022</v>
      </c>
      <c r="D2181">
        <v>2022</v>
      </c>
      <c r="E2181">
        <f>car_price_prediction_[[#This Row],[Engine Size]]/10</f>
        <v>5.3</v>
      </c>
      <c r="F2181">
        <v>53</v>
      </c>
      <c r="G2181" s="1" t="s">
        <v>21</v>
      </c>
      <c r="H2181" s="1" t="s">
        <v>12</v>
      </c>
      <c r="I2181" s="12">
        <f>car_price_prediction_[[#This Row],[Mileage]]/1000</f>
        <v>151.46</v>
      </c>
      <c r="J2181" s="5">
        <v>151460</v>
      </c>
      <c r="K2181" s="1" t="s">
        <v>17</v>
      </c>
      <c r="L2181" s="5">
        <f>car_price_prediction_[[#This Row],[Price]]/100</f>
        <v>59627.42</v>
      </c>
      <c r="M2181">
        <v>5962742</v>
      </c>
      <c r="N2181" s="1" t="s">
        <v>28</v>
      </c>
      <c r="O2181" s="1">
        <f>IF(IFERROR(VLOOKUP(car_price_prediction_[[#This Row],[Car ID]],A2182:A4681,1,FALSE),0),1,0)</f>
        <v>0</v>
      </c>
    </row>
    <row r="2182" spans="1:15" x14ac:dyDescent="0.25">
      <c r="A2182">
        <v>2181</v>
      </c>
      <c r="B2182" s="1" t="s">
        <v>19</v>
      </c>
      <c r="C2182" s="1">
        <f>car_price_prediction_[[#This Row],[Year2]]</f>
        <v>2009</v>
      </c>
      <c r="D2182">
        <v>2009</v>
      </c>
      <c r="E2182">
        <f>car_price_prediction_[[#This Row],[Engine Size]]/10</f>
        <v>3.3</v>
      </c>
      <c r="F2182">
        <v>33</v>
      </c>
      <c r="G2182" s="1" t="s">
        <v>21</v>
      </c>
      <c r="H2182" s="1" t="s">
        <v>12</v>
      </c>
      <c r="I2182" s="12">
        <f>car_price_prediction_[[#This Row],[Mileage]]/1000</f>
        <v>83.251000000000005</v>
      </c>
      <c r="J2182" s="5">
        <v>83251</v>
      </c>
      <c r="K2182" s="1" t="s">
        <v>13</v>
      </c>
      <c r="L2182" s="5">
        <f>car_price_prediction_[[#This Row],[Price]]/100</f>
        <v>15372.95</v>
      </c>
      <c r="M2182">
        <v>1537295</v>
      </c>
      <c r="N2182" s="1" t="s">
        <v>38</v>
      </c>
      <c r="O2182" s="1">
        <f>IF(IFERROR(VLOOKUP(car_price_prediction_[[#This Row],[Car ID]],A2183:A4682,1,FALSE),0),1,0)</f>
        <v>0</v>
      </c>
    </row>
    <row r="2183" spans="1:15" x14ac:dyDescent="0.25">
      <c r="A2183">
        <v>2182</v>
      </c>
      <c r="B2183" s="1" t="s">
        <v>10</v>
      </c>
      <c r="C2183" s="1">
        <f>car_price_prediction_[[#This Row],[Year2]]</f>
        <v>2010</v>
      </c>
      <c r="D2183">
        <v>2010</v>
      </c>
      <c r="E2183">
        <f>car_price_prediction_[[#This Row],[Engine Size]]/10</f>
        <v>3.4</v>
      </c>
      <c r="F2183">
        <v>34</v>
      </c>
      <c r="G2183" s="1" t="s">
        <v>11</v>
      </c>
      <c r="H2183" s="1" t="s">
        <v>22</v>
      </c>
      <c r="I2183" s="12">
        <f>car_price_prediction_[[#This Row],[Mileage]]/1000</f>
        <v>57.042000000000002</v>
      </c>
      <c r="J2183" s="5">
        <v>57042</v>
      </c>
      <c r="K2183" s="1" t="s">
        <v>13</v>
      </c>
      <c r="L2183" s="5">
        <f>car_price_prediction_[[#This Row],[Price]]/100</f>
        <v>21928.66</v>
      </c>
      <c r="M2183">
        <v>2192866</v>
      </c>
      <c r="N2183" s="1" t="s">
        <v>33</v>
      </c>
      <c r="O2183" s="1">
        <f>IF(IFERROR(VLOOKUP(car_price_prediction_[[#This Row],[Car ID]],A2184:A4683,1,FALSE),0),1,0)</f>
        <v>0</v>
      </c>
    </row>
    <row r="2184" spans="1:15" x14ac:dyDescent="0.25">
      <c r="A2184">
        <v>2183</v>
      </c>
      <c r="B2184" s="1" t="s">
        <v>24</v>
      </c>
      <c r="C2184" s="1">
        <f>car_price_prediction_[[#This Row],[Year2]]</f>
        <v>2008</v>
      </c>
      <c r="D2184">
        <v>2008</v>
      </c>
      <c r="E2184">
        <f>car_price_prediction_[[#This Row],[Engine Size]]/10</f>
        <v>2.9</v>
      </c>
      <c r="F2184">
        <v>29</v>
      </c>
      <c r="G2184" s="1" t="s">
        <v>16</v>
      </c>
      <c r="H2184" s="1" t="s">
        <v>12</v>
      </c>
      <c r="I2184" s="12">
        <f>car_price_prediction_[[#This Row],[Mileage]]/1000</f>
        <v>196.94499999999999</v>
      </c>
      <c r="J2184" s="5">
        <v>196945</v>
      </c>
      <c r="K2184" s="1" t="s">
        <v>25</v>
      </c>
      <c r="L2184" s="5">
        <f>car_price_prediction_[[#This Row],[Price]]/100</f>
        <v>8924.27</v>
      </c>
      <c r="M2184">
        <v>892427</v>
      </c>
      <c r="N2184" s="1" t="s">
        <v>34</v>
      </c>
      <c r="O2184" s="1">
        <f>IF(IFERROR(VLOOKUP(car_price_prediction_[[#This Row],[Car ID]],A2185:A4684,1,FALSE),0),1,0)</f>
        <v>0</v>
      </c>
    </row>
    <row r="2185" spans="1:15" x14ac:dyDescent="0.25">
      <c r="A2185">
        <v>2184</v>
      </c>
      <c r="B2185" s="1" t="s">
        <v>36</v>
      </c>
      <c r="C2185" s="1">
        <f>car_price_prediction_[[#This Row],[Year2]]</f>
        <v>2008</v>
      </c>
      <c r="D2185">
        <v>2008</v>
      </c>
      <c r="E2185">
        <f>car_price_prediction_[[#This Row],[Engine Size]]/10</f>
        <v>5.8</v>
      </c>
      <c r="F2185">
        <v>58</v>
      </c>
      <c r="G2185" s="1" t="s">
        <v>11</v>
      </c>
      <c r="H2185" s="1" t="s">
        <v>22</v>
      </c>
      <c r="I2185" s="12">
        <f>car_price_prediction_[[#This Row],[Mileage]]/1000</f>
        <v>47.024000000000001</v>
      </c>
      <c r="J2185" s="5">
        <v>47024</v>
      </c>
      <c r="K2185" s="1" t="s">
        <v>17</v>
      </c>
      <c r="L2185" s="5">
        <f>car_price_prediction_[[#This Row],[Price]]/100</f>
        <v>81877.62</v>
      </c>
      <c r="M2185">
        <v>8187762</v>
      </c>
      <c r="N2185" s="1" t="s">
        <v>46</v>
      </c>
      <c r="O2185" s="1">
        <f>IF(IFERROR(VLOOKUP(car_price_prediction_[[#This Row],[Car ID]],A2186:A4685,1,FALSE),0),1,0)</f>
        <v>0</v>
      </c>
    </row>
    <row r="2186" spans="1:15" x14ac:dyDescent="0.25">
      <c r="A2186">
        <v>2185</v>
      </c>
      <c r="B2186" s="1" t="s">
        <v>30</v>
      </c>
      <c r="C2186" s="1">
        <f>car_price_prediction_[[#This Row],[Year2]]</f>
        <v>2004</v>
      </c>
      <c r="D2186">
        <v>2004</v>
      </c>
      <c r="E2186">
        <f>car_price_prediction_[[#This Row],[Engine Size]]/10</f>
        <v>4.5</v>
      </c>
      <c r="F2186">
        <v>45</v>
      </c>
      <c r="G2186" s="1" t="s">
        <v>21</v>
      </c>
      <c r="H2186" s="1" t="s">
        <v>12</v>
      </c>
      <c r="I2186" s="12">
        <f>car_price_prediction_[[#This Row],[Mileage]]/1000</f>
        <v>154.52199999999999</v>
      </c>
      <c r="J2186" s="5">
        <v>154522</v>
      </c>
      <c r="K2186" s="1" t="s">
        <v>17</v>
      </c>
      <c r="L2186" s="5">
        <f>car_price_prediction_[[#This Row],[Price]]/100</f>
        <v>57411.95</v>
      </c>
      <c r="M2186">
        <v>5741195</v>
      </c>
      <c r="N2186" s="1" t="s">
        <v>42</v>
      </c>
      <c r="O2186" s="1">
        <f>IF(IFERROR(VLOOKUP(car_price_prediction_[[#This Row],[Car ID]],A2187:A4686,1,FALSE),0),1,0)</f>
        <v>0</v>
      </c>
    </row>
    <row r="2187" spans="1:15" x14ac:dyDescent="0.25">
      <c r="A2187">
        <v>2186</v>
      </c>
      <c r="B2187" s="1" t="s">
        <v>15</v>
      </c>
      <c r="C2187" s="1">
        <f>car_price_prediction_[[#This Row],[Year2]]</f>
        <v>2000</v>
      </c>
      <c r="D2187">
        <v>2000</v>
      </c>
      <c r="E2187">
        <f>car_price_prediction_[[#This Row],[Engine Size]]/10</f>
        <v>1.4</v>
      </c>
      <c r="F2187">
        <v>14</v>
      </c>
      <c r="G2187" s="1" t="s">
        <v>29</v>
      </c>
      <c r="H2187" s="1" t="s">
        <v>22</v>
      </c>
      <c r="I2187" s="12">
        <f>car_price_prediction_[[#This Row],[Mileage]]/1000</f>
        <v>56.965000000000003</v>
      </c>
      <c r="J2187" s="5">
        <v>56965</v>
      </c>
      <c r="K2187" s="1" t="s">
        <v>13</v>
      </c>
      <c r="L2187" s="5">
        <f>car_price_prediction_[[#This Row],[Price]]/100</f>
        <v>35091.120000000003</v>
      </c>
      <c r="M2187">
        <v>3509112</v>
      </c>
      <c r="N2187" s="1" t="s">
        <v>35</v>
      </c>
      <c r="O2187" s="1">
        <f>IF(IFERROR(VLOOKUP(car_price_prediction_[[#This Row],[Car ID]],A2188:A4687,1,FALSE),0),1,0)</f>
        <v>0</v>
      </c>
    </row>
    <row r="2188" spans="1:15" x14ac:dyDescent="0.25">
      <c r="A2188">
        <v>2187</v>
      </c>
      <c r="B2188" s="1" t="s">
        <v>10</v>
      </c>
      <c r="C2188" s="1">
        <f>car_price_prediction_[[#This Row],[Year2]]</f>
        <v>2016</v>
      </c>
      <c r="D2188">
        <v>2016</v>
      </c>
      <c r="E2188">
        <f>car_price_prediction_[[#This Row],[Engine Size]]/10</f>
        <v>5.3</v>
      </c>
      <c r="F2188">
        <v>53</v>
      </c>
      <c r="G2188" s="1" t="s">
        <v>11</v>
      </c>
      <c r="H2188" s="1" t="s">
        <v>22</v>
      </c>
      <c r="I2188" s="12">
        <f>car_price_prediction_[[#This Row],[Mileage]]/1000</f>
        <v>272.20100000000002</v>
      </c>
      <c r="J2188" s="5">
        <v>272201</v>
      </c>
      <c r="K2188" s="1" t="s">
        <v>13</v>
      </c>
      <c r="L2188" s="5">
        <f>car_price_prediction_[[#This Row],[Price]]/100</f>
        <v>17002.77</v>
      </c>
      <c r="M2188">
        <v>1700277</v>
      </c>
      <c r="N2188" s="1" t="s">
        <v>14</v>
      </c>
      <c r="O2188" s="1">
        <f>IF(IFERROR(VLOOKUP(car_price_prediction_[[#This Row],[Car ID]],A2189:A4688,1,FALSE),0),1,0)</f>
        <v>0</v>
      </c>
    </row>
    <row r="2189" spans="1:15" x14ac:dyDescent="0.25">
      <c r="A2189">
        <v>2188</v>
      </c>
      <c r="B2189" s="1" t="s">
        <v>24</v>
      </c>
      <c r="C2189" s="1">
        <f>car_price_prediction_[[#This Row],[Year2]]</f>
        <v>2021</v>
      </c>
      <c r="D2189">
        <v>2021</v>
      </c>
      <c r="E2189">
        <f>car_price_prediction_[[#This Row],[Engine Size]]/10</f>
        <v>3.4</v>
      </c>
      <c r="F2189">
        <v>34</v>
      </c>
      <c r="G2189" s="1" t="s">
        <v>16</v>
      </c>
      <c r="H2189" s="1" t="s">
        <v>12</v>
      </c>
      <c r="I2189" s="12">
        <f>car_price_prediction_[[#This Row],[Mileage]]/1000</f>
        <v>224.321</v>
      </c>
      <c r="J2189" s="5">
        <v>224321</v>
      </c>
      <c r="K2189" s="1" t="s">
        <v>13</v>
      </c>
      <c r="L2189" s="5">
        <f>car_price_prediction_[[#This Row],[Price]]/100</f>
        <v>50984.36</v>
      </c>
      <c r="M2189">
        <v>5098436</v>
      </c>
      <c r="N2189" s="1" t="s">
        <v>34</v>
      </c>
      <c r="O2189" s="1">
        <f>IF(IFERROR(VLOOKUP(car_price_prediction_[[#This Row],[Car ID]],A2190:A4689,1,FALSE),0),1,0)</f>
        <v>0</v>
      </c>
    </row>
    <row r="2190" spans="1:15" x14ac:dyDescent="0.25">
      <c r="A2190">
        <v>2189</v>
      </c>
      <c r="B2190" s="1" t="s">
        <v>19</v>
      </c>
      <c r="C2190" s="1">
        <f>car_price_prediction_[[#This Row],[Year2]]</f>
        <v>2001</v>
      </c>
      <c r="D2190">
        <v>2001</v>
      </c>
      <c r="E2190">
        <f>car_price_prediction_[[#This Row],[Engine Size]]/10</f>
        <v>1.3</v>
      </c>
      <c r="F2190">
        <v>13</v>
      </c>
      <c r="G2190" s="1" t="s">
        <v>21</v>
      </c>
      <c r="H2190" s="1" t="s">
        <v>12</v>
      </c>
      <c r="I2190" s="12">
        <f>car_price_prediction_[[#This Row],[Mileage]]/1000</f>
        <v>271.12700000000001</v>
      </c>
      <c r="J2190" s="5">
        <v>271127</v>
      </c>
      <c r="K2190" s="1" t="s">
        <v>17</v>
      </c>
      <c r="L2190" s="5">
        <f>car_price_prediction_[[#This Row],[Price]]/100</f>
        <v>54899.83</v>
      </c>
      <c r="M2190">
        <v>5489983</v>
      </c>
      <c r="N2190" s="1" t="s">
        <v>20</v>
      </c>
      <c r="O2190" s="1">
        <f>IF(IFERROR(VLOOKUP(car_price_prediction_[[#This Row],[Car ID]],A2191:A4690,1,FALSE),0),1,0)</f>
        <v>0</v>
      </c>
    </row>
    <row r="2191" spans="1:15" x14ac:dyDescent="0.25">
      <c r="A2191">
        <v>2190</v>
      </c>
      <c r="B2191" s="1" t="s">
        <v>15</v>
      </c>
      <c r="C2191" s="1">
        <f>car_price_prediction_[[#This Row],[Year2]]</f>
        <v>2023</v>
      </c>
      <c r="D2191">
        <v>2023</v>
      </c>
      <c r="E2191">
        <f>car_price_prediction_[[#This Row],[Engine Size]]/10</f>
        <v>3.7</v>
      </c>
      <c r="F2191">
        <v>37</v>
      </c>
      <c r="G2191" s="1" t="s">
        <v>11</v>
      </c>
      <c r="H2191" s="1" t="s">
        <v>12</v>
      </c>
      <c r="I2191" s="12">
        <f>car_price_prediction_[[#This Row],[Mileage]]/1000</f>
        <v>19.995000000000001</v>
      </c>
      <c r="J2191" s="5">
        <v>19995</v>
      </c>
      <c r="K2191" s="1" t="s">
        <v>13</v>
      </c>
      <c r="L2191" s="5">
        <f>car_price_prediction_[[#This Row],[Price]]/100</f>
        <v>71685.11</v>
      </c>
      <c r="M2191">
        <v>7168511</v>
      </c>
      <c r="N2191" s="1" t="s">
        <v>51</v>
      </c>
      <c r="O2191" s="1">
        <f>IF(IFERROR(VLOOKUP(car_price_prediction_[[#This Row],[Car ID]],A2192:A4691,1,FALSE),0),1,0)</f>
        <v>0</v>
      </c>
    </row>
    <row r="2192" spans="1:15" x14ac:dyDescent="0.25">
      <c r="A2192">
        <v>2191</v>
      </c>
      <c r="B2192" s="1" t="s">
        <v>19</v>
      </c>
      <c r="C2192" s="1">
        <f>car_price_prediction_[[#This Row],[Year2]]</f>
        <v>2012</v>
      </c>
      <c r="D2192">
        <v>2012</v>
      </c>
      <c r="E2192">
        <f>car_price_prediction_[[#This Row],[Engine Size]]/10</f>
        <v>3.1</v>
      </c>
      <c r="F2192">
        <v>31</v>
      </c>
      <c r="G2192" s="1" t="s">
        <v>29</v>
      </c>
      <c r="H2192" s="1" t="s">
        <v>12</v>
      </c>
      <c r="I2192" s="12">
        <f>car_price_prediction_[[#This Row],[Mileage]]/1000</f>
        <v>114.587</v>
      </c>
      <c r="J2192" s="5">
        <v>114587</v>
      </c>
      <c r="K2192" s="1" t="s">
        <v>25</v>
      </c>
      <c r="L2192" s="5">
        <f>car_price_prediction_[[#This Row],[Price]]/100</f>
        <v>97144.03</v>
      </c>
      <c r="M2192">
        <v>9714403</v>
      </c>
      <c r="N2192" s="1" t="s">
        <v>28</v>
      </c>
      <c r="O2192" s="1">
        <f>IF(IFERROR(VLOOKUP(car_price_prediction_[[#This Row],[Car ID]],A2193:A4692,1,FALSE),0),1,0)</f>
        <v>0</v>
      </c>
    </row>
    <row r="2193" spans="1:15" x14ac:dyDescent="0.25">
      <c r="A2193">
        <v>2192</v>
      </c>
      <c r="B2193" s="1" t="s">
        <v>15</v>
      </c>
      <c r="C2193" s="1">
        <f>car_price_prediction_[[#This Row],[Year2]]</f>
        <v>2008</v>
      </c>
      <c r="D2193">
        <v>2008</v>
      </c>
      <c r="E2193">
        <f>car_price_prediction_[[#This Row],[Engine Size]]/10</f>
        <v>5.4</v>
      </c>
      <c r="F2193">
        <v>54</v>
      </c>
      <c r="G2193" s="1" t="s">
        <v>11</v>
      </c>
      <c r="H2193" s="1" t="s">
        <v>12</v>
      </c>
      <c r="I2193" s="12">
        <f>car_price_prediction_[[#This Row],[Mileage]]/1000</f>
        <v>233.07599999999999</v>
      </c>
      <c r="J2193" s="5">
        <v>233076</v>
      </c>
      <c r="K2193" s="1" t="s">
        <v>25</v>
      </c>
      <c r="L2193" s="5">
        <f>car_price_prediction_[[#This Row],[Price]]/100</f>
        <v>46319.83</v>
      </c>
      <c r="M2193">
        <v>4631983</v>
      </c>
      <c r="N2193" s="1" t="s">
        <v>39</v>
      </c>
      <c r="O2193" s="1">
        <f>IF(IFERROR(VLOOKUP(car_price_prediction_[[#This Row],[Car ID]],A2194:A4693,1,FALSE),0),1,0)</f>
        <v>0</v>
      </c>
    </row>
    <row r="2194" spans="1:15" x14ac:dyDescent="0.25">
      <c r="A2194">
        <v>2193</v>
      </c>
      <c r="B2194" s="1" t="s">
        <v>30</v>
      </c>
      <c r="C2194" s="1">
        <f>car_price_prediction_[[#This Row],[Year2]]</f>
        <v>2003</v>
      </c>
      <c r="D2194">
        <v>2003</v>
      </c>
      <c r="E2194">
        <f>car_price_prediction_[[#This Row],[Engine Size]]/10</f>
        <v>2</v>
      </c>
      <c r="F2194">
        <v>20</v>
      </c>
      <c r="G2194" s="1" t="s">
        <v>16</v>
      </c>
      <c r="H2194" s="1" t="s">
        <v>12</v>
      </c>
      <c r="I2194" s="12">
        <f>car_price_prediction_[[#This Row],[Mileage]]/1000</f>
        <v>222.7</v>
      </c>
      <c r="J2194" s="5">
        <v>222700</v>
      </c>
      <c r="K2194" s="1" t="s">
        <v>13</v>
      </c>
      <c r="L2194" s="5">
        <f>car_price_prediction_[[#This Row],[Price]]/100</f>
        <v>43573.25</v>
      </c>
      <c r="M2194">
        <v>4357325</v>
      </c>
      <c r="N2194" s="1" t="s">
        <v>45</v>
      </c>
      <c r="O2194" s="1">
        <f>IF(IFERROR(VLOOKUP(car_price_prediction_[[#This Row],[Car ID]],A2195:A4694,1,FALSE),0),1,0)</f>
        <v>0</v>
      </c>
    </row>
    <row r="2195" spans="1:15" x14ac:dyDescent="0.25">
      <c r="A2195">
        <v>2194</v>
      </c>
      <c r="B2195" s="1" t="s">
        <v>24</v>
      </c>
      <c r="C2195" s="1">
        <f>car_price_prediction_[[#This Row],[Year2]]</f>
        <v>2004</v>
      </c>
      <c r="D2195">
        <v>2004</v>
      </c>
      <c r="E2195">
        <f>car_price_prediction_[[#This Row],[Engine Size]]/10</f>
        <v>5.0999999999999996</v>
      </c>
      <c r="F2195">
        <v>51</v>
      </c>
      <c r="G2195" s="1" t="s">
        <v>11</v>
      </c>
      <c r="H2195" s="1" t="s">
        <v>12</v>
      </c>
      <c r="I2195" s="12">
        <f>car_price_prediction_[[#This Row],[Mileage]]/1000</f>
        <v>38.886000000000003</v>
      </c>
      <c r="J2195" s="5">
        <v>38886</v>
      </c>
      <c r="K2195" s="1" t="s">
        <v>25</v>
      </c>
      <c r="L2195" s="5">
        <f>car_price_prediction_[[#This Row],[Price]]/100</f>
        <v>40143.35</v>
      </c>
      <c r="M2195">
        <v>4014335</v>
      </c>
      <c r="N2195" s="1" t="s">
        <v>53</v>
      </c>
      <c r="O2195" s="1">
        <f>IF(IFERROR(VLOOKUP(car_price_prediction_[[#This Row],[Car ID]],A2196:A4695,1,FALSE),0),1,0)</f>
        <v>0</v>
      </c>
    </row>
    <row r="2196" spans="1:15" x14ac:dyDescent="0.25">
      <c r="A2196">
        <v>2195</v>
      </c>
      <c r="B2196" s="1" t="s">
        <v>15</v>
      </c>
      <c r="C2196" s="1">
        <f>car_price_prediction_[[#This Row],[Year2]]</f>
        <v>2010</v>
      </c>
      <c r="D2196">
        <v>2010</v>
      </c>
      <c r="E2196">
        <f>car_price_prediction_[[#This Row],[Engine Size]]/10</f>
        <v>3.8</v>
      </c>
      <c r="F2196">
        <v>38</v>
      </c>
      <c r="G2196" s="1" t="s">
        <v>29</v>
      </c>
      <c r="H2196" s="1" t="s">
        <v>22</v>
      </c>
      <c r="I2196" s="12">
        <f>car_price_prediction_[[#This Row],[Mileage]]/1000</f>
        <v>95.149000000000001</v>
      </c>
      <c r="J2196" s="5">
        <v>95149</v>
      </c>
      <c r="K2196" s="1" t="s">
        <v>25</v>
      </c>
      <c r="L2196" s="5">
        <f>car_price_prediction_[[#This Row],[Price]]/100</f>
        <v>83557.77</v>
      </c>
      <c r="M2196">
        <v>8355777</v>
      </c>
      <c r="N2196" s="1" t="s">
        <v>35</v>
      </c>
      <c r="O2196" s="1">
        <f>IF(IFERROR(VLOOKUP(car_price_prediction_[[#This Row],[Car ID]],A2197:A4696,1,FALSE),0),1,0)</f>
        <v>0</v>
      </c>
    </row>
    <row r="2197" spans="1:15" x14ac:dyDescent="0.25">
      <c r="A2197">
        <v>2196</v>
      </c>
      <c r="B2197" s="1" t="s">
        <v>36</v>
      </c>
      <c r="C2197" s="1">
        <f>car_price_prediction_[[#This Row],[Year2]]</f>
        <v>2023</v>
      </c>
      <c r="D2197">
        <v>2023</v>
      </c>
      <c r="E2197">
        <f>car_price_prediction_[[#This Row],[Engine Size]]/10</f>
        <v>1.3</v>
      </c>
      <c r="F2197">
        <v>13</v>
      </c>
      <c r="G2197" s="1" t="s">
        <v>29</v>
      </c>
      <c r="H2197" s="1" t="s">
        <v>12</v>
      </c>
      <c r="I2197" s="12">
        <f>car_price_prediction_[[#This Row],[Mileage]]/1000</f>
        <v>94.02</v>
      </c>
      <c r="J2197" s="5">
        <v>94020</v>
      </c>
      <c r="K2197" s="1" t="s">
        <v>25</v>
      </c>
      <c r="L2197" s="5">
        <f>car_price_prediction_[[#This Row],[Price]]/100</f>
        <v>19850.14</v>
      </c>
      <c r="M2197">
        <v>1985014</v>
      </c>
      <c r="N2197" s="1" t="s">
        <v>40</v>
      </c>
      <c r="O2197" s="1">
        <f>IF(IFERROR(VLOOKUP(car_price_prediction_[[#This Row],[Car ID]],A2198:A4697,1,FALSE),0),1,0)</f>
        <v>0</v>
      </c>
    </row>
    <row r="2198" spans="1:15" x14ac:dyDescent="0.25">
      <c r="A2198">
        <v>2197</v>
      </c>
      <c r="B2198" s="1" t="s">
        <v>10</v>
      </c>
      <c r="C2198" s="1">
        <f>car_price_prediction_[[#This Row],[Year2]]</f>
        <v>2018</v>
      </c>
      <c r="D2198">
        <v>2018</v>
      </c>
      <c r="E2198">
        <f>car_price_prediction_[[#This Row],[Engine Size]]/10</f>
        <v>5.9</v>
      </c>
      <c r="F2198">
        <v>59</v>
      </c>
      <c r="G2198" s="1" t="s">
        <v>16</v>
      </c>
      <c r="H2198" s="1" t="s">
        <v>12</v>
      </c>
      <c r="I2198" s="12">
        <f>car_price_prediction_[[#This Row],[Mileage]]/1000</f>
        <v>2.673</v>
      </c>
      <c r="J2198" s="5">
        <v>2673</v>
      </c>
      <c r="K2198" s="1" t="s">
        <v>25</v>
      </c>
      <c r="L2198" s="5">
        <f>car_price_prediction_[[#This Row],[Price]]/100</f>
        <v>37662.230000000003</v>
      </c>
      <c r="M2198">
        <v>3766223</v>
      </c>
      <c r="N2198" s="1" t="s">
        <v>23</v>
      </c>
      <c r="O2198" s="1">
        <f>IF(IFERROR(VLOOKUP(car_price_prediction_[[#This Row],[Car ID]],A2199:A4698,1,FALSE),0),1,0)</f>
        <v>0</v>
      </c>
    </row>
    <row r="2199" spans="1:15" x14ac:dyDescent="0.25">
      <c r="A2199">
        <v>2198</v>
      </c>
      <c r="B2199" s="1" t="s">
        <v>43</v>
      </c>
      <c r="C2199" s="1">
        <f>car_price_prediction_[[#This Row],[Year2]]</f>
        <v>2020</v>
      </c>
      <c r="D2199">
        <v>2020</v>
      </c>
      <c r="E2199">
        <f>car_price_prediction_[[#This Row],[Engine Size]]/10</f>
        <v>3.6</v>
      </c>
      <c r="F2199">
        <v>36</v>
      </c>
      <c r="G2199" s="1" t="s">
        <v>29</v>
      </c>
      <c r="H2199" s="1" t="s">
        <v>22</v>
      </c>
      <c r="I2199" s="12">
        <f>car_price_prediction_[[#This Row],[Mileage]]/1000</f>
        <v>23.466000000000001</v>
      </c>
      <c r="J2199" s="5">
        <v>23466</v>
      </c>
      <c r="K2199" s="1" t="s">
        <v>25</v>
      </c>
      <c r="L2199" s="5">
        <f>car_price_prediction_[[#This Row],[Price]]/100</f>
        <v>73872.23</v>
      </c>
      <c r="M2199">
        <v>7387223</v>
      </c>
      <c r="N2199" s="1" t="s">
        <v>47</v>
      </c>
      <c r="O2199" s="1">
        <f>IF(IFERROR(VLOOKUP(car_price_prediction_[[#This Row],[Car ID]],A2200:A4699,1,FALSE),0),1,0)</f>
        <v>0</v>
      </c>
    </row>
    <row r="2200" spans="1:15" x14ac:dyDescent="0.25">
      <c r="A2200">
        <v>2199</v>
      </c>
      <c r="B2200" s="1" t="s">
        <v>36</v>
      </c>
      <c r="C2200" s="1">
        <f>car_price_prediction_[[#This Row],[Year2]]</f>
        <v>2002</v>
      </c>
      <c r="D2200">
        <v>2002</v>
      </c>
      <c r="E2200">
        <f>car_price_prediction_[[#This Row],[Engine Size]]/10</f>
        <v>2.5</v>
      </c>
      <c r="F2200">
        <v>25</v>
      </c>
      <c r="G2200" s="1" t="s">
        <v>21</v>
      </c>
      <c r="H2200" s="1" t="s">
        <v>12</v>
      </c>
      <c r="I2200" s="12">
        <f>car_price_prediction_[[#This Row],[Mileage]]/1000</f>
        <v>237.626</v>
      </c>
      <c r="J2200" s="5">
        <v>237626</v>
      </c>
      <c r="K2200" s="1" t="s">
        <v>17</v>
      </c>
      <c r="L2200" s="5">
        <f>car_price_prediction_[[#This Row],[Price]]/100</f>
        <v>6491.02</v>
      </c>
      <c r="M2200">
        <v>649102</v>
      </c>
      <c r="N2200" s="1" t="s">
        <v>37</v>
      </c>
      <c r="O2200" s="1">
        <f>IF(IFERROR(VLOOKUP(car_price_prediction_[[#This Row],[Car ID]],A2201:A4700,1,FALSE),0),1,0)</f>
        <v>0</v>
      </c>
    </row>
    <row r="2201" spans="1:15" x14ac:dyDescent="0.25">
      <c r="A2201">
        <v>2200</v>
      </c>
      <c r="B2201" s="1" t="s">
        <v>36</v>
      </c>
      <c r="C2201" s="1">
        <f>car_price_prediction_[[#This Row],[Year2]]</f>
        <v>2011</v>
      </c>
      <c r="D2201">
        <v>2011</v>
      </c>
      <c r="E2201">
        <f>car_price_prediction_[[#This Row],[Engine Size]]/10</f>
        <v>3.3</v>
      </c>
      <c r="F2201">
        <v>33</v>
      </c>
      <c r="G2201" s="1" t="s">
        <v>29</v>
      </c>
      <c r="H2201" s="1" t="s">
        <v>12</v>
      </c>
      <c r="I2201" s="12">
        <f>car_price_prediction_[[#This Row],[Mileage]]/1000</f>
        <v>50.405999999999999</v>
      </c>
      <c r="J2201" s="5">
        <v>50406</v>
      </c>
      <c r="K2201" s="1" t="s">
        <v>13</v>
      </c>
      <c r="L2201" s="5">
        <f>car_price_prediction_[[#This Row],[Price]]/100</f>
        <v>32491.17</v>
      </c>
      <c r="M2201">
        <v>3249117</v>
      </c>
      <c r="N2201" s="1" t="s">
        <v>40</v>
      </c>
      <c r="O2201" s="1">
        <f>IF(IFERROR(VLOOKUP(car_price_prediction_[[#This Row],[Car ID]],A2202:A4701,1,FALSE),0),1,0)</f>
        <v>0</v>
      </c>
    </row>
    <row r="2202" spans="1:15" x14ac:dyDescent="0.25">
      <c r="A2202">
        <v>2201</v>
      </c>
      <c r="B2202" s="1" t="s">
        <v>10</v>
      </c>
      <c r="C2202" s="1">
        <f>car_price_prediction_[[#This Row],[Year2]]</f>
        <v>2018</v>
      </c>
      <c r="D2202">
        <v>2018</v>
      </c>
      <c r="E2202">
        <f>car_price_prediction_[[#This Row],[Engine Size]]/10</f>
        <v>5.3</v>
      </c>
      <c r="F2202">
        <v>53</v>
      </c>
      <c r="G2202" s="1" t="s">
        <v>21</v>
      </c>
      <c r="H2202" s="1" t="s">
        <v>12</v>
      </c>
      <c r="I2202" s="12">
        <f>car_price_prediction_[[#This Row],[Mileage]]/1000</f>
        <v>69.284000000000006</v>
      </c>
      <c r="J2202" s="5">
        <v>69284</v>
      </c>
      <c r="K2202" s="1" t="s">
        <v>25</v>
      </c>
      <c r="L2202" s="5">
        <f>car_price_prediction_[[#This Row],[Price]]/100</f>
        <v>65937.48</v>
      </c>
      <c r="M2202">
        <v>6593748</v>
      </c>
      <c r="N2202" s="1" t="s">
        <v>14</v>
      </c>
      <c r="O2202" s="1">
        <f>IF(IFERROR(VLOOKUP(car_price_prediction_[[#This Row],[Car ID]],A2203:A4702,1,FALSE),0),1,0)</f>
        <v>0</v>
      </c>
    </row>
    <row r="2203" spans="1:15" x14ac:dyDescent="0.25">
      <c r="A2203">
        <v>2202</v>
      </c>
      <c r="B2203" s="1" t="s">
        <v>43</v>
      </c>
      <c r="C2203" s="1">
        <f>car_price_prediction_[[#This Row],[Year2]]</f>
        <v>2018</v>
      </c>
      <c r="D2203">
        <v>2018</v>
      </c>
      <c r="E2203">
        <f>car_price_prediction_[[#This Row],[Engine Size]]/10</f>
        <v>2.5</v>
      </c>
      <c r="F2203">
        <v>25</v>
      </c>
      <c r="G2203" s="1" t="s">
        <v>11</v>
      </c>
      <c r="H2203" s="1" t="s">
        <v>12</v>
      </c>
      <c r="I2203" s="12">
        <f>car_price_prediction_[[#This Row],[Mileage]]/1000</f>
        <v>235.71799999999999</v>
      </c>
      <c r="J2203" s="5">
        <v>235718</v>
      </c>
      <c r="K2203" s="1" t="s">
        <v>13</v>
      </c>
      <c r="L2203" s="5">
        <f>car_price_prediction_[[#This Row],[Price]]/100</f>
        <v>22665.45</v>
      </c>
      <c r="M2203">
        <v>2266545</v>
      </c>
      <c r="N2203" s="1" t="s">
        <v>47</v>
      </c>
      <c r="O2203" s="1">
        <f>IF(IFERROR(VLOOKUP(car_price_prediction_[[#This Row],[Car ID]],A2204:A4703,1,FALSE),0),1,0)</f>
        <v>0</v>
      </c>
    </row>
    <row r="2204" spans="1:15" x14ac:dyDescent="0.25">
      <c r="A2204">
        <v>2203</v>
      </c>
      <c r="B2204" s="1" t="s">
        <v>36</v>
      </c>
      <c r="C2204" s="1">
        <f>car_price_prediction_[[#This Row],[Year2]]</f>
        <v>2012</v>
      </c>
      <c r="D2204">
        <v>2012</v>
      </c>
      <c r="E2204">
        <f>car_price_prediction_[[#This Row],[Engine Size]]/10</f>
        <v>2</v>
      </c>
      <c r="F2204">
        <v>20</v>
      </c>
      <c r="G2204" s="1" t="s">
        <v>21</v>
      </c>
      <c r="H2204" s="1" t="s">
        <v>22</v>
      </c>
      <c r="I2204" s="12">
        <f>car_price_prediction_[[#This Row],[Mileage]]/1000</f>
        <v>13.664999999999999</v>
      </c>
      <c r="J2204" s="5">
        <v>13665</v>
      </c>
      <c r="K2204" s="1" t="s">
        <v>25</v>
      </c>
      <c r="L2204" s="5">
        <f>car_price_prediction_[[#This Row],[Price]]/100</f>
        <v>3375.75</v>
      </c>
      <c r="M2204">
        <v>337575</v>
      </c>
      <c r="N2204" s="1" t="s">
        <v>46</v>
      </c>
      <c r="O2204" s="1">
        <f>IF(IFERROR(VLOOKUP(car_price_prediction_[[#This Row],[Car ID]],A2205:A4704,1,FALSE),0),1,0)</f>
        <v>0</v>
      </c>
    </row>
    <row r="2205" spans="1:15" x14ac:dyDescent="0.25">
      <c r="A2205">
        <v>2204</v>
      </c>
      <c r="B2205" s="1" t="s">
        <v>15</v>
      </c>
      <c r="C2205" s="1">
        <f>car_price_prediction_[[#This Row],[Year2]]</f>
        <v>2006</v>
      </c>
      <c r="D2205">
        <v>2006</v>
      </c>
      <c r="E2205">
        <f>car_price_prediction_[[#This Row],[Engine Size]]/10</f>
        <v>1.6</v>
      </c>
      <c r="F2205">
        <v>16</v>
      </c>
      <c r="G2205" s="1" t="s">
        <v>21</v>
      </c>
      <c r="H2205" s="1" t="s">
        <v>22</v>
      </c>
      <c r="I2205" s="12">
        <f>car_price_prediction_[[#This Row],[Mileage]]/1000</f>
        <v>20.640999999999998</v>
      </c>
      <c r="J2205" s="5">
        <v>20641</v>
      </c>
      <c r="K2205" s="1" t="s">
        <v>17</v>
      </c>
      <c r="L2205" s="5">
        <f>car_price_prediction_[[#This Row],[Price]]/100</f>
        <v>51174.28</v>
      </c>
      <c r="M2205">
        <v>5117428</v>
      </c>
      <c r="N2205" s="1" t="s">
        <v>35</v>
      </c>
      <c r="O2205" s="1">
        <f>IF(IFERROR(VLOOKUP(car_price_prediction_[[#This Row],[Car ID]],A2206:A4705,1,FALSE),0),1,0)</f>
        <v>0</v>
      </c>
    </row>
    <row r="2206" spans="1:15" x14ac:dyDescent="0.25">
      <c r="A2206">
        <v>2205</v>
      </c>
      <c r="B2206" s="1" t="s">
        <v>15</v>
      </c>
      <c r="C2206" s="1">
        <f>car_price_prediction_[[#This Row],[Year2]]</f>
        <v>2014</v>
      </c>
      <c r="D2206">
        <v>2014</v>
      </c>
      <c r="E2206">
        <f>car_price_prediction_[[#This Row],[Engine Size]]/10</f>
        <v>2.5</v>
      </c>
      <c r="F2206">
        <v>25</v>
      </c>
      <c r="G2206" s="1" t="s">
        <v>11</v>
      </c>
      <c r="H2206" s="1" t="s">
        <v>12</v>
      </c>
      <c r="I2206" s="12">
        <f>car_price_prediction_[[#This Row],[Mileage]]/1000</f>
        <v>35.796999999999997</v>
      </c>
      <c r="J2206" s="5">
        <v>35797</v>
      </c>
      <c r="K2206" s="1" t="s">
        <v>17</v>
      </c>
      <c r="L2206" s="5">
        <f>car_price_prediction_[[#This Row],[Price]]/100</f>
        <v>45092.24</v>
      </c>
      <c r="M2206">
        <v>4509224</v>
      </c>
      <c r="N2206" s="1" t="s">
        <v>39</v>
      </c>
      <c r="O2206" s="1">
        <f>IF(IFERROR(VLOOKUP(car_price_prediction_[[#This Row],[Car ID]],A2207:A4706,1,FALSE),0),1,0)</f>
        <v>0</v>
      </c>
    </row>
    <row r="2207" spans="1:15" x14ac:dyDescent="0.25">
      <c r="A2207">
        <v>2206</v>
      </c>
      <c r="B2207" s="1" t="s">
        <v>15</v>
      </c>
      <c r="C2207" s="1">
        <f>car_price_prediction_[[#This Row],[Year2]]</f>
        <v>2022</v>
      </c>
      <c r="D2207">
        <v>2022</v>
      </c>
      <c r="E2207">
        <f>car_price_prediction_[[#This Row],[Engine Size]]/10</f>
        <v>4.9000000000000004</v>
      </c>
      <c r="F2207">
        <v>49</v>
      </c>
      <c r="G2207" s="1" t="s">
        <v>29</v>
      </c>
      <c r="H2207" s="1" t="s">
        <v>12</v>
      </c>
      <c r="I2207" s="12">
        <f>car_price_prediction_[[#This Row],[Mileage]]/1000</f>
        <v>215.83799999999999</v>
      </c>
      <c r="J2207" s="5">
        <v>215838</v>
      </c>
      <c r="K2207" s="1" t="s">
        <v>25</v>
      </c>
      <c r="L2207" s="5">
        <f>car_price_prediction_[[#This Row],[Price]]/100</f>
        <v>15072.58</v>
      </c>
      <c r="M2207">
        <v>1507258</v>
      </c>
      <c r="N2207" s="1" t="s">
        <v>18</v>
      </c>
      <c r="O2207" s="1">
        <f>IF(IFERROR(VLOOKUP(car_price_prediction_[[#This Row],[Car ID]],A2208:A4707,1,FALSE),0),1,0)</f>
        <v>0</v>
      </c>
    </row>
    <row r="2208" spans="1:15" x14ac:dyDescent="0.25">
      <c r="A2208">
        <v>2207</v>
      </c>
      <c r="B2208" s="1" t="s">
        <v>43</v>
      </c>
      <c r="C2208" s="1">
        <f>car_price_prediction_[[#This Row],[Year2]]</f>
        <v>2006</v>
      </c>
      <c r="D2208">
        <v>2006</v>
      </c>
      <c r="E2208">
        <f>car_price_prediction_[[#This Row],[Engine Size]]/10</f>
        <v>3.4</v>
      </c>
      <c r="F2208">
        <v>34</v>
      </c>
      <c r="G2208" s="1" t="s">
        <v>21</v>
      </c>
      <c r="H2208" s="1" t="s">
        <v>22</v>
      </c>
      <c r="I2208" s="12">
        <f>car_price_prediction_[[#This Row],[Mileage]]/1000</f>
        <v>102.339</v>
      </c>
      <c r="J2208" s="5">
        <v>102339</v>
      </c>
      <c r="K2208" s="1" t="s">
        <v>25</v>
      </c>
      <c r="L2208" s="5">
        <f>car_price_prediction_[[#This Row],[Price]]/100</f>
        <v>94132.36</v>
      </c>
      <c r="M2208">
        <v>9413236</v>
      </c>
      <c r="N2208" s="1" t="s">
        <v>52</v>
      </c>
      <c r="O2208" s="1">
        <f>IF(IFERROR(VLOOKUP(car_price_prediction_[[#This Row],[Car ID]],A2209:A4708,1,FALSE),0),1,0)</f>
        <v>0</v>
      </c>
    </row>
    <row r="2209" spans="1:15" x14ac:dyDescent="0.25">
      <c r="A2209">
        <v>2208</v>
      </c>
      <c r="B2209" s="1" t="s">
        <v>36</v>
      </c>
      <c r="C2209" s="1">
        <f>car_price_prediction_[[#This Row],[Year2]]</f>
        <v>2007</v>
      </c>
      <c r="D2209">
        <v>2007</v>
      </c>
      <c r="E2209">
        <f>car_price_prediction_[[#This Row],[Engine Size]]/10</f>
        <v>2.1</v>
      </c>
      <c r="F2209">
        <v>21</v>
      </c>
      <c r="G2209" s="1" t="s">
        <v>29</v>
      </c>
      <c r="H2209" s="1" t="s">
        <v>12</v>
      </c>
      <c r="I2209" s="12">
        <f>car_price_prediction_[[#This Row],[Mileage]]/1000</f>
        <v>113.431</v>
      </c>
      <c r="J2209" s="5">
        <v>113431</v>
      </c>
      <c r="K2209" s="1" t="s">
        <v>25</v>
      </c>
      <c r="L2209" s="5">
        <f>car_price_prediction_[[#This Row],[Price]]/100</f>
        <v>9207.81</v>
      </c>
      <c r="M2209">
        <v>920781</v>
      </c>
      <c r="N2209" s="1" t="s">
        <v>40</v>
      </c>
      <c r="O2209" s="1">
        <f>IF(IFERROR(VLOOKUP(car_price_prediction_[[#This Row],[Car ID]],A2210:A4709,1,FALSE),0),1,0)</f>
        <v>0</v>
      </c>
    </row>
    <row r="2210" spans="1:15" x14ac:dyDescent="0.25">
      <c r="A2210">
        <v>2209</v>
      </c>
      <c r="B2210" s="1" t="s">
        <v>43</v>
      </c>
      <c r="C2210" s="1">
        <f>car_price_prediction_[[#This Row],[Year2]]</f>
        <v>2004</v>
      </c>
      <c r="D2210">
        <v>2004</v>
      </c>
      <c r="E2210">
        <f>car_price_prediction_[[#This Row],[Engine Size]]/10</f>
        <v>1.8</v>
      </c>
      <c r="F2210">
        <v>18</v>
      </c>
      <c r="G2210" s="1" t="s">
        <v>11</v>
      </c>
      <c r="H2210" s="1" t="s">
        <v>22</v>
      </c>
      <c r="I2210" s="12">
        <f>car_price_prediction_[[#This Row],[Mileage]]/1000</f>
        <v>232.27500000000001</v>
      </c>
      <c r="J2210" s="5">
        <v>232275</v>
      </c>
      <c r="K2210" s="1" t="s">
        <v>17</v>
      </c>
      <c r="L2210" s="5">
        <f>car_price_prediction_[[#This Row],[Price]]/100</f>
        <v>76225.56</v>
      </c>
      <c r="M2210">
        <v>7622556</v>
      </c>
      <c r="N2210" s="1" t="s">
        <v>50</v>
      </c>
      <c r="O2210" s="1">
        <f>IF(IFERROR(VLOOKUP(car_price_prediction_[[#This Row],[Car ID]],A2211:A4710,1,FALSE),0),1,0)</f>
        <v>0</v>
      </c>
    </row>
    <row r="2211" spans="1:15" x14ac:dyDescent="0.25">
      <c r="A2211">
        <v>2210</v>
      </c>
      <c r="B2211" s="1" t="s">
        <v>15</v>
      </c>
      <c r="C2211" s="1">
        <f>car_price_prediction_[[#This Row],[Year2]]</f>
        <v>2020</v>
      </c>
      <c r="D2211">
        <v>2020</v>
      </c>
      <c r="E2211">
        <f>car_price_prediction_[[#This Row],[Engine Size]]/10</f>
        <v>2.7</v>
      </c>
      <c r="F2211">
        <v>27</v>
      </c>
      <c r="G2211" s="1" t="s">
        <v>16</v>
      </c>
      <c r="H2211" s="1" t="s">
        <v>22</v>
      </c>
      <c r="I2211" s="12">
        <f>car_price_prediction_[[#This Row],[Mileage]]/1000</f>
        <v>283.31700000000001</v>
      </c>
      <c r="J2211" s="5">
        <v>283317</v>
      </c>
      <c r="K2211" s="1" t="s">
        <v>17</v>
      </c>
      <c r="L2211" s="5">
        <f>car_price_prediction_[[#This Row],[Price]]/100</f>
        <v>11785.16</v>
      </c>
      <c r="M2211">
        <v>1178516</v>
      </c>
      <c r="N2211" s="1" t="s">
        <v>35</v>
      </c>
      <c r="O2211" s="1">
        <f>IF(IFERROR(VLOOKUP(car_price_prediction_[[#This Row],[Car ID]],A2212:A4711,1,FALSE),0),1,0)</f>
        <v>0</v>
      </c>
    </row>
    <row r="2212" spans="1:15" x14ac:dyDescent="0.25">
      <c r="A2212">
        <v>2211</v>
      </c>
      <c r="B2212" s="1" t="s">
        <v>10</v>
      </c>
      <c r="C2212" s="1">
        <f>car_price_prediction_[[#This Row],[Year2]]</f>
        <v>2013</v>
      </c>
      <c r="D2212">
        <v>2013</v>
      </c>
      <c r="E2212">
        <f>car_price_prediction_[[#This Row],[Engine Size]]/10</f>
        <v>5.7</v>
      </c>
      <c r="F2212">
        <v>57</v>
      </c>
      <c r="G2212" s="1" t="s">
        <v>29</v>
      </c>
      <c r="H2212" s="1" t="s">
        <v>22</v>
      </c>
      <c r="I2212" s="12">
        <f>car_price_prediction_[[#This Row],[Mileage]]/1000</f>
        <v>144.29400000000001</v>
      </c>
      <c r="J2212" s="5">
        <v>144294</v>
      </c>
      <c r="K2212" s="1" t="s">
        <v>13</v>
      </c>
      <c r="L2212" s="5">
        <f>car_price_prediction_[[#This Row],[Price]]/100</f>
        <v>4939.3100000000004</v>
      </c>
      <c r="M2212">
        <v>493931</v>
      </c>
      <c r="N2212" s="1" t="s">
        <v>14</v>
      </c>
      <c r="O2212" s="1">
        <f>IF(IFERROR(VLOOKUP(car_price_prediction_[[#This Row],[Car ID]],A2213:A4712,1,FALSE),0),1,0)</f>
        <v>0</v>
      </c>
    </row>
    <row r="2213" spans="1:15" x14ac:dyDescent="0.25">
      <c r="A2213">
        <v>2212</v>
      </c>
      <c r="B2213" s="1" t="s">
        <v>36</v>
      </c>
      <c r="C2213" s="1">
        <f>car_price_prediction_[[#This Row],[Year2]]</f>
        <v>2003</v>
      </c>
      <c r="D2213">
        <v>2003</v>
      </c>
      <c r="E2213">
        <f>car_price_prediction_[[#This Row],[Engine Size]]/10</f>
        <v>2.7</v>
      </c>
      <c r="F2213">
        <v>27</v>
      </c>
      <c r="G2213" s="1" t="s">
        <v>29</v>
      </c>
      <c r="H2213" s="1" t="s">
        <v>12</v>
      </c>
      <c r="I2213" s="12">
        <f>car_price_prediction_[[#This Row],[Mileage]]/1000</f>
        <v>181.136</v>
      </c>
      <c r="J2213" s="5">
        <v>181136</v>
      </c>
      <c r="K2213" s="1" t="s">
        <v>17</v>
      </c>
      <c r="L2213" s="5">
        <f>car_price_prediction_[[#This Row],[Price]]/100</f>
        <v>21664.07</v>
      </c>
      <c r="M2213">
        <v>2166407</v>
      </c>
      <c r="N2213" s="1" t="s">
        <v>40</v>
      </c>
      <c r="O2213" s="1">
        <f>IF(IFERROR(VLOOKUP(car_price_prediction_[[#This Row],[Car ID]],A2214:A4713,1,FALSE),0),1,0)</f>
        <v>0</v>
      </c>
    </row>
    <row r="2214" spans="1:15" x14ac:dyDescent="0.25">
      <c r="A2214">
        <v>2213</v>
      </c>
      <c r="B2214" s="1" t="s">
        <v>36</v>
      </c>
      <c r="C2214" s="1">
        <f>car_price_prediction_[[#This Row],[Year2]]</f>
        <v>2022</v>
      </c>
      <c r="D2214">
        <v>2022</v>
      </c>
      <c r="E2214">
        <f>car_price_prediction_[[#This Row],[Engine Size]]/10</f>
        <v>5.9</v>
      </c>
      <c r="F2214">
        <v>59</v>
      </c>
      <c r="G2214" s="1" t="s">
        <v>16</v>
      </c>
      <c r="H2214" s="1" t="s">
        <v>12</v>
      </c>
      <c r="I2214" s="12">
        <f>car_price_prediction_[[#This Row],[Mileage]]/1000</f>
        <v>168.08199999999999</v>
      </c>
      <c r="J2214" s="5">
        <v>168082</v>
      </c>
      <c r="K2214" s="1" t="s">
        <v>25</v>
      </c>
      <c r="L2214" s="5">
        <f>car_price_prediction_[[#This Row],[Price]]/100</f>
        <v>18404.29</v>
      </c>
      <c r="M2214">
        <v>1840429</v>
      </c>
      <c r="N2214" s="1" t="s">
        <v>37</v>
      </c>
      <c r="O2214" s="1">
        <f>IF(IFERROR(VLOOKUP(car_price_prediction_[[#This Row],[Car ID]],A2215:A4714,1,FALSE),0),1,0)</f>
        <v>0</v>
      </c>
    </row>
    <row r="2215" spans="1:15" x14ac:dyDescent="0.25">
      <c r="A2215">
        <v>2214</v>
      </c>
      <c r="B2215" s="1" t="s">
        <v>19</v>
      </c>
      <c r="C2215" s="1">
        <f>car_price_prediction_[[#This Row],[Year2]]</f>
        <v>2009</v>
      </c>
      <c r="D2215">
        <v>2009</v>
      </c>
      <c r="E2215">
        <f>car_price_prediction_[[#This Row],[Engine Size]]/10</f>
        <v>3.4</v>
      </c>
      <c r="F2215">
        <v>34</v>
      </c>
      <c r="G2215" s="1" t="s">
        <v>16</v>
      </c>
      <c r="H2215" s="1" t="s">
        <v>12</v>
      </c>
      <c r="I2215" s="12">
        <f>car_price_prediction_[[#This Row],[Mileage]]/1000</f>
        <v>253.30099999999999</v>
      </c>
      <c r="J2215" s="5">
        <v>253301</v>
      </c>
      <c r="K2215" s="1" t="s">
        <v>13</v>
      </c>
      <c r="L2215" s="5">
        <f>car_price_prediction_[[#This Row],[Price]]/100</f>
        <v>16960.310000000001</v>
      </c>
      <c r="M2215">
        <v>1696031</v>
      </c>
      <c r="N2215" s="1" t="s">
        <v>28</v>
      </c>
      <c r="O2215" s="1">
        <f>IF(IFERROR(VLOOKUP(car_price_prediction_[[#This Row],[Car ID]],A2216:A4715,1,FALSE),0),1,0)</f>
        <v>0</v>
      </c>
    </row>
    <row r="2216" spans="1:15" x14ac:dyDescent="0.25">
      <c r="A2216">
        <v>2215</v>
      </c>
      <c r="B2216" s="1" t="s">
        <v>19</v>
      </c>
      <c r="C2216" s="1">
        <f>car_price_prediction_[[#This Row],[Year2]]</f>
        <v>2019</v>
      </c>
      <c r="D2216">
        <v>2019</v>
      </c>
      <c r="E2216">
        <f>car_price_prediction_[[#This Row],[Engine Size]]/10</f>
        <v>1.9</v>
      </c>
      <c r="F2216">
        <v>19</v>
      </c>
      <c r="G2216" s="1" t="s">
        <v>11</v>
      </c>
      <c r="H2216" s="1" t="s">
        <v>22</v>
      </c>
      <c r="I2216" s="12">
        <f>car_price_prediction_[[#This Row],[Mileage]]/1000</f>
        <v>18.094999999999999</v>
      </c>
      <c r="J2216" s="5">
        <v>18095</v>
      </c>
      <c r="K2216" s="1" t="s">
        <v>17</v>
      </c>
      <c r="L2216" s="5">
        <f>car_price_prediction_[[#This Row],[Price]]/100</f>
        <v>48014.73</v>
      </c>
      <c r="M2216">
        <v>4801473</v>
      </c>
      <c r="N2216" s="1" t="s">
        <v>38</v>
      </c>
      <c r="O2216" s="1">
        <f>IF(IFERROR(VLOOKUP(car_price_prediction_[[#This Row],[Car ID]],A2217:A4716,1,FALSE),0),1,0)</f>
        <v>0</v>
      </c>
    </row>
    <row r="2217" spans="1:15" x14ac:dyDescent="0.25">
      <c r="A2217">
        <v>2216</v>
      </c>
      <c r="B2217" s="1" t="s">
        <v>30</v>
      </c>
      <c r="C2217" s="1">
        <f>car_price_prediction_[[#This Row],[Year2]]</f>
        <v>2014</v>
      </c>
      <c r="D2217">
        <v>2014</v>
      </c>
      <c r="E2217">
        <f>car_price_prediction_[[#This Row],[Engine Size]]/10</f>
        <v>5.5</v>
      </c>
      <c r="F2217">
        <v>55</v>
      </c>
      <c r="G2217" s="1" t="s">
        <v>29</v>
      </c>
      <c r="H2217" s="1" t="s">
        <v>12</v>
      </c>
      <c r="I2217" s="12">
        <f>car_price_prediction_[[#This Row],[Mileage]]/1000</f>
        <v>123.554</v>
      </c>
      <c r="J2217" s="5">
        <v>123554</v>
      </c>
      <c r="K2217" s="1" t="s">
        <v>17</v>
      </c>
      <c r="L2217" s="5">
        <f>car_price_prediction_[[#This Row],[Price]]/100</f>
        <v>53971.07</v>
      </c>
      <c r="M2217">
        <v>5397107</v>
      </c>
      <c r="N2217" s="1" t="s">
        <v>45</v>
      </c>
      <c r="O2217" s="1">
        <f>IF(IFERROR(VLOOKUP(car_price_prediction_[[#This Row],[Car ID]],A2218:A4717,1,FALSE),0),1,0)</f>
        <v>0</v>
      </c>
    </row>
    <row r="2218" spans="1:15" x14ac:dyDescent="0.25">
      <c r="A2218">
        <v>2217</v>
      </c>
      <c r="B2218" s="1" t="s">
        <v>24</v>
      </c>
      <c r="C2218" s="1">
        <f>car_price_prediction_[[#This Row],[Year2]]</f>
        <v>2017</v>
      </c>
      <c r="D2218">
        <v>2017</v>
      </c>
      <c r="E2218">
        <f>car_price_prediction_[[#This Row],[Engine Size]]/10</f>
        <v>3.3</v>
      </c>
      <c r="F2218">
        <v>33</v>
      </c>
      <c r="G2218" s="1" t="s">
        <v>29</v>
      </c>
      <c r="H2218" s="1" t="s">
        <v>12</v>
      </c>
      <c r="I2218" s="12">
        <f>car_price_prediction_[[#This Row],[Mileage]]/1000</f>
        <v>234.989</v>
      </c>
      <c r="J2218" s="5">
        <v>234989</v>
      </c>
      <c r="K2218" s="1" t="s">
        <v>25</v>
      </c>
      <c r="L2218" s="5">
        <f>car_price_prediction_[[#This Row],[Price]]/100</f>
        <v>17671.53</v>
      </c>
      <c r="M2218">
        <v>1767153</v>
      </c>
      <c r="N2218" s="1" t="s">
        <v>32</v>
      </c>
      <c r="O2218" s="1">
        <f>IF(IFERROR(VLOOKUP(car_price_prediction_[[#This Row],[Car ID]],A2219:A4718,1,FALSE),0),1,0)</f>
        <v>0</v>
      </c>
    </row>
    <row r="2219" spans="1:15" x14ac:dyDescent="0.25">
      <c r="A2219">
        <v>2218</v>
      </c>
      <c r="B2219" s="1" t="s">
        <v>19</v>
      </c>
      <c r="C2219" s="1">
        <f>car_price_prediction_[[#This Row],[Year2]]</f>
        <v>2019</v>
      </c>
      <c r="D2219">
        <v>2019</v>
      </c>
      <c r="E2219">
        <f>car_price_prediction_[[#This Row],[Engine Size]]/10</f>
        <v>4.5</v>
      </c>
      <c r="F2219">
        <v>45</v>
      </c>
      <c r="G2219" s="1" t="s">
        <v>11</v>
      </c>
      <c r="H2219" s="1" t="s">
        <v>22</v>
      </c>
      <c r="I2219" s="12">
        <f>car_price_prediction_[[#This Row],[Mileage]]/1000</f>
        <v>89.022999999999996</v>
      </c>
      <c r="J2219" s="5">
        <v>89023</v>
      </c>
      <c r="K2219" s="1" t="s">
        <v>13</v>
      </c>
      <c r="L2219" s="5">
        <f>car_price_prediction_[[#This Row],[Price]]/100</f>
        <v>98042.59</v>
      </c>
      <c r="M2219">
        <v>9804259</v>
      </c>
      <c r="N2219" s="1" t="s">
        <v>27</v>
      </c>
      <c r="O2219" s="1">
        <f>IF(IFERROR(VLOOKUP(car_price_prediction_[[#This Row],[Car ID]],A2220:A4719,1,FALSE),0),1,0)</f>
        <v>0</v>
      </c>
    </row>
    <row r="2220" spans="1:15" x14ac:dyDescent="0.25">
      <c r="A2220">
        <v>2219</v>
      </c>
      <c r="B2220" s="1" t="s">
        <v>43</v>
      </c>
      <c r="C2220" s="1">
        <f>car_price_prediction_[[#This Row],[Year2]]</f>
        <v>2012</v>
      </c>
      <c r="D2220">
        <v>2012</v>
      </c>
      <c r="E2220">
        <f>car_price_prediction_[[#This Row],[Engine Size]]/10</f>
        <v>5.9</v>
      </c>
      <c r="F2220">
        <v>59</v>
      </c>
      <c r="G2220" s="1" t="s">
        <v>29</v>
      </c>
      <c r="H2220" s="1" t="s">
        <v>12</v>
      </c>
      <c r="I2220" s="12">
        <f>car_price_prediction_[[#This Row],[Mileage]]/1000</f>
        <v>107.181</v>
      </c>
      <c r="J2220" s="5">
        <v>107181</v>
      </c>
      <c r="K2220" s="1" t="s">
        <v>17</v>
      </c>
      <c r="L2220" s="5">
        <f>car_price_prediction_[[#This Row],[Price]]/100</f>
        <v>29487.759999999998</v>
      </c>
      <c r="M2220">
        <v>2948776</v>
      </c>
      <c r="N2220" s="1" t="s">
        <v>47</v>
      </c>
      <c r="O2220" s="1">
        <f>IF(IFERROR(VLOOKUP(car_price_prediction_[[#This Row],[Car ID]],A2221:A4720,1,FALSE),0),1,0)</f>
        <v>0</v>
      </c>
    </row>
    <row r="2221" spans="1:15" x14ac:dyDescent="0.25">
      <c r="A2221">
        <v>2220</v>
      </c>
      <c r="B2221" s="1" t="s">
        <v>19</v>
      </c>
      <c r="C2221" s="1">
        <f>car_price_prediction_[[#This Row],[Year2]]</f>
        <v>2007</v>
      </c>
      <c r="D2221">
        <v>2007</v>
      </c>
      <c r="E2221">
        <f>car_price_prediction_[[#This Row],[Engine Size]]/10</f>
        <v>1.3</v>
      </c>
      <c r="F2221">
        <v>13</v>
      </c>
      <c r="G2221" s="1" t="s">
        <v>21</v>
      </c>
      <c r="H2221" s="1" t="s">
        <v>12</v>
      </c>
      <c r="I2221" s="12">
        <f>car_price_prediction_[[#This Row],[Mileage]]/1000</f>
        <v>222.31</v>
      </c>
      <c r="J2221" s="5">
        <v>222310</v>
      </c>
      <c r="K2221" s="1" t="s">
        <v>17</v>
      </c>
      <c r="L2221" s="5">
        <f>car_price_prediction_[[#This Row],[Price]]/100</f>
        <v>48589.93</v>
      </c>
      <c r="M2221">
        <v>4858993</v>
      </c>
      <c r="N2221" s="1" t="s">
        <v>38</v>
      </c>
      <c r="O2221" s="1">
        <f>IF(IFERROR(VLOOKUP(car_price_prediction_[[#This Row],[Car ID]],A2222:A4721,1,FALSE),0),1,0)</f>
        <v>0</v>
      </c>
    </row>
    <row r="2222" spans="1:15" x14ac:dyDescent="0.25">
      <c r="A2222">
        <v>2221</v>
      </c>
      <c r="B2222" s="1" t="s">
        <v>30</v>
      </c>
      <c r="C2222" s="1">
        <f>car_price_prediction_[[#This Row],[Year2]]</f>
        <v>2008</v>
      </c>
      <c r="D2222">
        <v>2008</v>
      </c>
      <c r="E2222">
        <f>car_price_prediction_[[#This Row],[Engine Size]]/10</f>
        <v>1.5</v>
      </c>
      <c r="F2222">
        <v>15</v>
      </c>
      <c r="G2222" s="1" t="s">
        <v>21</v>
      </c>
      <c r="H2222" s="1" t="s">
        <v>12</v>
      </c>
      <c r="I2222" s="12">
        <f>car_price_prediction_[[#This Row],[Mileage]]/1000</f>
        <v>282.74400000000003</v>
      </c>
      <c r="J2222" s="5">
        <v>282744</v>
      </c>
      <c r="K2222" s="1" t="s">
        <v>25</v>
      </c>
      <c r="L2222" s="5">
        <f>car_price_prediction_[[#This Row],[Price]]/100</f>
        <v>25545.61</v>
      </c>
      <c r="M2222">
        <v>2554561</v>
      </c>
      <c r="N2222" s="1" t="s">
        <v>42</v>
      </c>
      <c r="O2222" s="1">
        <f>IF(IFERROR(VLOOKUP(car_price_prediction_[[#This Row],[Car ID]],A2223:A4722,1,FALSE),0),1,0)</f>
        <v>0</v>
      </c>
    </row>
    <row r="2223" spans="1:15" x14ac:dyDescent="0.25">
      <c r="A2223">
        <v>2222</v>
      </c>
      <c r="B2223" s="1" t="s">
        <v>36</v>
      </c>
      <c r="C2223" s="1">
        <f>car_price_prediction_[[#This Row],[Year2]]</f>
        <v>2015</v>
      </c>
      <c r="D2223">
        <v>2015</v>
      </c>
      <c r="E2223">
        <f>car_price_prediction_[[#This Row],[Engine Size]]/10</f>
        <v>4.5999999999999996</v>
      </c>
      <c r="F2223">
        <v>46</v>
      </c>
      <c r="G2223" s="1" t="s">
        <v>21</v>
      </c>
      <c r="H2223" s="1" t="s">
        <v>22</v>
      </c>
      <c r="I2223" s="12">
        <f>car_price_prediction_[[#This Row],[Mileage]]/1000</f>
        <v>264.61</v>
      </c>
      <c r="J2223" s="5">
        <v>264610</v>
      </c>
      <c r="K2223" s="1" t="s">
        <v>13</v>
      </c>
      <c r="L2223" s="5">
        <f>car_price_prediction_[[#This Row],[Price]]/100</f>
        <v>51922.65</v>
      </c>
      <c r="M2223">
        <v>5192265</v>
      </c>
      <c r="N2223" s="1" t="s">
        <v>37</v>
      </c>
      <c r="O2223" s="1">
        <f>IF(IFERROR(VLOOKUP(car_price_prediction_[[#This Row],[Car ID]],A2224:A4723,1,FALSE),0),1,0)</f>
        <v>0</v>
      </c>
    </row>
    <row r="2224" spans="1:15" x14ac:dyDescent="0.25">
      <c r="A2224">
        <v>2223</v>
      </c>
      <c r="B2224" s="1" t="s">
        <v>30</v>
      </c>
      <c r="C2224" s="1">
        <f>car_price_prediction_[[#This Row],[Year2]]</f>
        <v>2018</v>
      </c>
      <c r="D2224">
        <v>2018</v>
      </c>
      <c r="E2224">
        <f>car_price_prediction_[[#This Row],[Engine Size]]/10</f>
        <v>2.4</v>
      </c>
      <c r="F2224">
        <v>24</v>
      </c>
      <c r="G2224" s="1" t="s">
        <v>29</v>
      </c>
      <c r="H2224" s="1" t="s">
        <v>12</v>
      </c>
      <c r="I2224" s="12">
        <f>car_price_prediction_[[#This Row],[Mileage]]/1000</f>
        <v>256.34899999999999</v>
      </c>
      <c r="J2224" s="5">
        <v>256349</v>
      </c>
      <c r="K2224" s="1" t="s">
        <v>13</v>
      </c>
      <c r="L2224" s="5">
        <f>car_price_prediction_[[#This Row],[Price]]/100</f>
        <v>76821.58</v>
      </c>
      <c r="M2224">
        <v>7682158</v>
      </c>
      <c r="N2224" s="1" t="s">
        <v>31</v>
      </c>
      <c r="O2224" s="1">
        <f>IF(IFERROR(VLOOKUP(car_price_prediction_[[#This Row],[Car ID]],A2225:A4724,1,FALSE),0),1,0)</f>
        <v>0</v>
      </c>
    </row>
    <row r="2225" spans="1:15" x14ac:dyDescent="0.25">
      <c r="A2225">
        <v>2224</v>
      </c>
      <c r="B2225" s="1" t="s">
        <v>36</v>
      </c>
      <c r="C2225" s="1">
        <f>car_price_prediction_[[#This Row],[Year2]]</f>
        <v>2015</v>
      </c>
      <c r="D2225">
        <v>2015</v>
      </c>
      <c r="E2225">
        <f>car_price_prediction_[[#This Row],[Engine Size]]/10</f>
        <v>1.9</v>
      </c>
      <c r="F2225">
        <v>19</v>
      </c>
      <c r="G2225" s="1" t="s">
        <v>21</v>
      </c>
      <c r="H2225" s="1" t="s">
        <v>22</v>
      </c>
      <c r="I2225" s="12">
        <f>car_price_prediction_[[#This Row],[Mileage]]/1000</f>
        <v>176.16900000000001</v>
      </c>
      <c r="J2225" s="5">
        <v>176169</v>
      </c>
      <c r="K2225" s="1" t="s">
        <v>13</v>
      </c>
      <c r="L2225" s="5">
        <f>car_price_prediction_[[#This Row],[Price]]/100</f>
        <v>54504.69</v>
      </c>
      <c r="M2225">
        <v>5450469</v>
      </c>
      <c r="N2225" s="1" t="s">
        <v>41</v>
      </c>
      <c r="O2225" s="1">
        <f>IF(IFERROR(VLOOKUP(car_price_prediction_[[#This Row],[Car ID]],A2226:A4725,1,FALSE),0),1,0)</f>
        <v>0</v>
      </c>
    </row>
    <row r="2226" spans="1:15" x14ac:dyDescent="0.25">
      <c r="A2226">
        <v>2225</v>
      </c>
      <c r="B2226" s="1" t="s">
        <v>10</v>
      </c>
      <c r="C2226" s="1">
        <f>car_price_prediction_[[#This Row],[Year2]]</f>
        <v>2006</v>
      </c>
      <c r="D2226">
        <v>2006</v>
      </c>
      <c r="E2226">
        <f>car_price_prediction_[[#This Row],[Engine Size]]/10</f>
        <v>1.2</v>
      </c>
      <c r="F2226">
        <v>12</v>
      </c>
      <c r="G2226" s="1" t="s">
        <v>21</v>
      </c>
      <c r="H2226" s="1" t="s">
        <v>22</v>
      </c>
      <c r="I2226" s="12">
        <f>car_price_prediction_[[#This Row],[Mileage]]/1000</f>
        <v>53.276000000000003</v>
      </c>
      <c r="J2226" s="5">
        <v>53276</v>
      </c>
      <c r="K2226" s="1" t="s">
        <v>13</v>
      </c>
      <c r="L2226" s="5">
        <f>car_price_prediction_[[#This Row],[Price]]/100</f>
        <v>32136.639999999999</v>
      </c>
      <c r="M2226">
        <v>3213664</v>
      </c>
      <c r="N2226" s="1" t="s">
        <v>14</v>
      </c>
      <c r="O2226" s="1">
        <f>IF(IFERROR(VLOOKUP(car_price_prediction_[[#This Row],[Car ID]],A2227:A4726,1,FALSE),0),1,0)</f>
        <v>0</v>
      </c>
    </row>
    <row r="2227" spans="1:15" x14ac:dyDescent="0.25">
      <c r="A2227">
        <v>2226</v>
      </c>
      <c r="B2227" s="1" t="s">
        <v>10</v>
      </c>
      <c r="C2227" s="1">
        <f>car_price_prediction_[[#This Row],[Year2]]</f>
        <v>2013</v>
      </c>
      <c r="D2227">
        <v>2013</v>
      </c>
      <c r="E2227">
        <f>car_price_prediction_[[#This Row],[Engine Size]]/10</f>
        <v>1.1000000000000001</v>
      </c>
      <c r="F2227">
        <v>11</v>
      </c>
      <c r="G2227" s="1" t="s">
        <v>11</v>
      </c>
      <c r="H2227" s="1" t="s">
        <v>22</v>
      </c>
      <c r="I2227" s="12">
        <f>car_price_prediction_[[#This Row],[Mileage]]/1000</f>
        <v>269.072</v>
      </c>
      <c r="J2227" s="5">
        <v>269072</v>
      </c>
      <c r="K2227" s="1" t="s">
        <v>25</v>
      </c>
      <c r="L2227" s="5">
        <f>car_price_prediction_[[#This Row],[Price]]/100</f>
        <v>28597.68</v>
      </c>
      <c r="M2227">
        <v>2859768</v>
      </c>
      <c r="N2227" s="1" t="s">
        <v>33</v>
      </c>
      <c r="O2227" s="1">
        <f>IF(IFERROR(VLOOKUP(car_price_prediction_[[#This Row],[Car ID]],A2228:A4727,1,FALSE),0),1,0)</f>
        <v>0</v>
      </c>
    </row>
    <row r="2228" spans="1:15" x14ac:dyDescent="0.25">
      <c r="A2228">
        <v>2227</v>
      </c>
      <c r="B2228" s="1" t="s">
        <v>36</v>
      </c>
      <c r="C2228" s="1">
        <f>car_price_prediction_[[#This Row],[Year2]]</f>
        <v>2013</v>
      </c>
      <c r="D2228">
        <v>2013</v>
      </c>
      <c r="E2228">
        <f>car_price_prediction_[[#This Row],[Engine Size]]/10</f>
        <v>4.9000000000000004</v>
      </c>
      <c r="F2228">
        <v>49</v>
      </c>
      <c r="G2228" s="1" t="s">
        <v>11</v>
      </c>
      <c r="H2228" s="1" t="s">
        <v>12</v>
      </c>
      <c r="I2228" s="12">
        <f>car_price_prediction_[[#This Row],[Mileage]]/1000</f>
        <v>205.71899999999999</v>
      </c>
      <c r="J2228" s="5">
        <v>205719</v>
      </c>
      <c r="K2228" s="1" t="s">
        <v>17</v>
      </c>
      <c r="L2228" s="5">
        <f>car_price_prediction_[[#This Row],[Price]]/100</f>
        <v>77098.77</v>
      </c>
      <c r="M2228">
        <v>7709877</v>
      </c>
      <c r="N2228" s="1" t="s">
        <v>40</v>
      </c>
      <c r="O2228" s="1">
        <f>IF(IFERROR(VLOOKUP(car_price_prediction_[[#This Row],[Car ID]],A2229:A4728,1,FALSE),0),1,0)</f>
        <v>0</v>
      </c>
    </row>
    <row r="2229" spans="1:15" x14ac:dyDescent="0.25">
      <c r="A2229">
        <v>2228</v>
      </c>
      <c r="B2229" s="1" t="s">
        <v>24</v>
      </c>
      <c r="C2229" s="1">
        <f>car_price_prediction_[[#This Row],[Year2]]</f>
        <v>2003</v>
      </c>
      <c r="D2229">
        <v>2003</v>
      </c>
      <c r="E2229">
        <f>car_price_prediction_[[#This Row],[Engine Size]]/10</f>
        <v>1.7</v>
      </c>
      <c r="F2229">
        <v>17</v>
      </c>
      <c r="G2229" s="1" t="s">
        <v>16</v>
      </c>
      <c r="H2229" s="1" t="s">
        <v>12</v>
      </c>
      <c r="I2229" s="12">
        <f>car_price_prediction_[[#This Row],[Mileage]]/1000</f>
        <v>171.96</v>
      </c>
      <c r="J2229" s="5">
        <v>171960</v>
      </c>
      <c r="K2229" s="1" t="s">
        <v>17</v>
      </c>
      <c r="L2229" s="5">
        <f>car_price_prediction_[[#This Row],[Price]]/100</f>
        <v>16232.63</v>
      </c>
      <c r="M2229">
        <v>1623263</v>
      </c>
      <c r="N2229" s="1" t="s">
        <v>32</v>
      </c>
      <c r="O2229" s="1">
        <f>IF(IFERROR(VLOOKUP(car_price_prediction_[[#This Row],[Car ID]],A2230:A4729,1,FALSE),0),1,0)</f>
        <v>0</v>
      </c>
    </row>
    <row r="2230" spans="1:15" x14ac:dyDescent="0.25">
      <c r="A2230">
        <v>2229</v>
      </c>
      <c r="B2230" s="1" t="s">
        <v>19</v>
      </c>
      <c r="C2230" s="1">
        <f>car_price_prediction_[[#This Row],[Year2]]</f>
        <v>2014</v>
      </c>
      <c r="D2230">
        <v>2014</v>
      </c>
      <c r="E2230">
        <f>car_price_prediction_[[#This Row],[Engine Size]]/10</f>
        <v>3.3</v>
      </c>
      <c r="F2230">
        <v>33</v>
      </c>
      <c r="G2230" s="1" t="s">
        <v>16</v>
      </c>
      <c r="H2230" s="1" t="s">
        <v>12</v>
      </c>
      <c r="I2230" s="12">
        <f>car_price_prediction_[[#This Row],[Mileage]]/1000</f>
        <v>226.09700000000001</v>
      </c>
      <c r="J2230" s="5">
        <v>226097</v>
      </c>
      <c r="K2230" s="1" t="s">
        <v>13</v>
      </c>
      <c r="L2230" s="5">
        <f>car_price_prediction_[[#This Row],[Price]]/100</f>
        <v>40146.82</v>
      </c>
      <c r="M2230">
        <v>4014682</v>
      </c>
      <c r="N2230" s="1" t="s">
        <v>27</v>
      </c>
      <c r="O2230" s="1">
        <f>IF(IFERROR(VLOOKUP(car_price_prediction_[[#This Row],[Car ID]],A2231:A4730,1,FALSE),0),1,0)</f>
        <v>0</v>
      </c>
    </row>
    <row r="2231" spans="1:15" x14ac:dyDescent="0.25">
      <c r="A2231">
        <v>2230</v>
      </c>
      <c r="B2231" s="1" t="s">
        <v>43</v>
      </c>
      <c r="C2231" s="1">
        <f>car_price_prediction_[[#This Row],[Year2]]</f>
        <v>2002</v>
      </c>
      <c r="D2231">
        <v>2002</v>
      </c>
      <c r="E2231">
        <f>car_price_prediction_[[#This Row],[Engine Size]]/10</f>
        <v>4</v>
      </c>
      <c r="F2231">
        <v>40</v>
      </c>
      <c r="G2231" s="1" t="s">
        <v>16</v>
      </c>
      <c r="H2231" s="1" t="s">
        <v>22</v>
      </c>
      <c r="I2231" s="12">
        <f>car_price_prediction_[[#This Row],[Mileage]]/1000</f>
        <v>174.904</v>
      </c>
      <c r="J2231" s="5">
        <v>174904</v>
      </c>
      <c r="K2231" s="1" t="s">
        <v>13</v>
      </c>
      <c r="L2231" s="5">
        <f>car_price_prediction_[[#This Row],[Price]]/100</f>
        <v>19390.86</v>
      </c>
      <c r="M2231">
        <v>1939086</v>
      </c>
      <c r="N2231" s="1" t="s">
        <v>50</v>
      </c>
      <c r="O2231" s="1">
        <f>IF(IFERROR(VLOOKUP(car_price_prediction_[[#This Row],[Car ID]],A2232:A4731,1,FALSE),0),1,0)</f>
        <v>0</v>
      </c>
    </row>
    <row r="2232" spans="1:15" x14ac:dyDescent="0.25">
      <c r="A2232">
        <v>2231</v>
      </c>
      <c r="B2232" s="1" t="s">
        <v>43</v>
      </c>
      <c r="C2232" s="1">
        <f>car_price_prediction_[[#This Row],[Year2]]</f>
        <v>2004</v>
      </c>
      <c r="D2232">
        <v>2004</v>
      </c>
      <c r="E2232">
        <f>car_price_prediction_[[#This Row],[Engine Size]]/10</f>
        <v>3.1</v>
      </c>
      <c r="F2232">
        <v>31</v>
      </c>
      <c r="G2232" s="1" t="s">
        <v>16</v>
      </c>
      <c r="H2232" s="1" t="s">
        <v>22</v>
      </c>
      <c r="I2232" s="12">
        <f>car_price_prediction_[[#This Row],[Mileage]]/1000</f>
        <v>116.196</v>
      </c>
      <c r="J2232" s="5">
        <v>116196</v>
      </c>
      <c r="K2232" s="1" t="s">
        <v>13</v>
      </c>
      <c r="L2232" s="5">
        <f>car_price_prediction_[[#This Row],[Price]]/100</f>
        <v>2950.77</v>
      </c>
      <c r="M2232">
        <v>295077</v>
      </c>
      <c r="N2232" s="1" t="s">
        <v>44</v>
      </c>
      <c r="O2232" s="1">
        <f>IF(IFERROR(VLOOKUP(car_price_prediction_[[#This Row],[Car ID]],A2233:A4732,1,FALSE),0),1,0)</f>
        <v>0</v>
      </c>
    </row>
    <row r="2233" spans="1:15" x14ac:dyDescent="0.25">
      <c r="A2233">
        <v>2232</v>
      </c>
      <c r="B2233" s="1" t="s">
        <v>15</v>
      </c>
      <c r="C2233" s="1">
        <f>car_price_prediction_[[#This Row],[Year2]]</f>
        <v>2000</v>
      </c>
      <c r="D2233">
        <v>2000</v>
      </c>
      <c r="E2233">
        <f>car_price_prediction_[[#This Row],[Engine Size]]/10</f>
        <v>1.1000000000000001</v>
      </c>
      <c r="F2233">
        <v>11</v>
      </c>
      <c r="G2233" s="1" t="s">
        <v>11</v>
      </c>
      <c r="H2233" s="1" t="s">
        <v>12</v>
      </c>
      <c r="I2233" s="12">
        <f>car_price_prediction_[[#This Row],[Mileage]]/1000</f>
        <v>9.4039999999999999</v>
      </c>
      <c r="J2233" s="5">
        <v>9404</v>
      </c>
      <c r="K2233" s="1" t="s">
        <v>17</v>
      </c>
      <c r="L2233" s="5">
        <f>car_price_prediction_[[#This Row],[Price]]/100</f>
        <v>19504.91</v>
      </c>
      <c r="M2233">
        <v>1950491</v>
      </c>
      <c r="N2233" s="1" t="s">
        <v>39</v>
      </c>
      <c r="O2233" s="1">
        <f>IF(IFERROR(VLOOKUP(car_price_prediction_[[#This Row],[Car ID]],A2234:A4733,1,FALSE),0),1,0)</f>
        <v>0</v>
      </c>
    </row>
    <row r="2234" spans="1:15" x14ac:dyDescent="0.25">
      <c r="A2234">
        <v>2233</v>
      </c>
      <c r="B2234" s="1" t="s">
        <v>36</v>
      </c>
      <c r="C2234" s="1">
        <f>car_price_prediction_[[#This Row],[Year2]]</f>
        <v>2002</v>
      </c>
      <c r="D2234">
        <v>2002</v>
      </c>
      <c r="E2234">
        <f>car_price_prediction_[[#This Row],[Engine Size]]/10</f>
        <v>4.9000000000000004</v>
      </c>
      <c r="F2234">
        <v>49</v>
      </c>
      <c r="G2234" s="1" t="s">
        <v>11</v>
      </c>
      <c r="H2234" s="1" t="s">
        <v>22</v>
      </c>
      <c r="I2234" s="12">
        <f>car_price_prediction_[[#This Row],[Mileage]]/1000</f>
        <v>209.19</v>
      </c>
      <c r="J2234" s="5">
        <v>209190</v>
      </c>
      <c r="K2234" s="1" t="s">
        <v>17</v>
      </c>
      <c r="L2234" s="5">
        <f>car_price_prediction_[[#This Row],[Price]]/100</f>
        <v>89243.39</v>
      </c>
      <c r="M2234">
        <v>8924339</v>
      </c>
      <c r="N2234" s="1" t="s">
        <v>41</v>
      </c>
      <c r="O2234" s="1">
        <f>IF(IFERROR(VLOOKUP(car_price_prediction_[[#This Row],[Car ID]],A2235:A4734,1,FALSE),0),1,0)</f>
        <v>0</v>
      </c>
    </row>
    <row r="2235" spans="1:15" x14ac:dyDescent="0.25">
      <c r="A2235">
        <v>2234</v>
      </c>
      <c r="B2235" s="1" t="s">
        <v>43</v>
      </c>
      <c r="C2235" s="1">
        <f>car_price_prediction_[[#This Row],[Year2]]</f>
        <v>2014</v>
      </c>
      <c r="D2235">
        <v>2014</v>
      </c>
      <c r="E2235">
        <f>car_price_prediction_[[#This Row],[Engine Size]]/10</f>
        <v>1.1000000000000001</v>
      </c>
      <c r="F2235">
        <v>11</v>
      </c>
      <c r="G2235" s="1" t="s">
        <v>11</v>
      </c>
      <c r="H2235" s="1" t="s">
        <v>12</v>
      </c>
      <c r="I2235" s="12">
        <f>car_price_prediction_[[#This Row],[Mileage]]/1000</f>
        <v>113.187</v>
      </c>
      <c r="J2235" s="5">
        <v>113187</v>
      </c>
      <c r="K2235" s="1" t="s">
        <v>13</v>
      </c>
      <c r="L2235" s="5">
        <f>car_price_prediction_[[#This Row],[Price]]/100</f>
        <v>7453.09</v>
      </c>
      <c r="M2235">
        <v>745309</v>
      </c>
      <c r="N2235" s="1" t="s">
        <v>50</v>
      </c>
      <c r="O2235" s="1">
        <f>IF(IFERROR(VLOOKUP(car_price_prediction_[[#This Row],[Car ID]],A2236:A4735,1,FALSE),0),1,0)</f>
        <v>0</v>
      </c>
    </row>
    <row r="2236" spans="1:15" x14ac:dyDescent="0.25">
      <c r="A2236">
        <v>2235</v>
      </c>
      <c r="B2236" s="1" t="s">
        <v>24</v>
      </c>
      <c r="C2236" s="1">
        <f>car_price_prediction_[[#This Row],[Year2]]</f>
        <v>2023</v>
      </c>
      <c r="D2236">
        <v>2023</v>
      </c>
      <c r="E2236">
        <f>car_price_prediction_[[#This Row],[Engine Size]]/10</f>
        <v>4.8</v>
      </c>
      <c r="F2236">
        <v>48</v>
      </c>
      <c r="G2236" s="1" t="s">
        <v>21</v>
      </c>
      <c r="H2236" s="1" t="s">
        <v>12</v>
      </c>
      <c r="I2236" s="12">
        <f>car_price_prediction_[[#This Row],[Mileage]]/1000</f>
        <v>27.684000000000001</v>
      </c>
      <c r="J2236" s="5">
        <v>27684</v>
      </c>
      <c r="K2236" s="1" t="s">
        <v>25</v>
      </c>
      <c r="L2236" s="5">
        <f>car_price_prediction_[[#This Row],[Price]]/100</f>
        <v>58288.09</v>
      </c>
      <c r="M2236">
        <v>5828809</v>
      </c>
      <c r="N2236" s="1" t="s">
        <v>34</v>
      </c>
      <c r="O2236" s="1">
        <f>IF(IFERROR(VLOOKUP(car_price_prediction_[[#This Row],[Car ID]],A2237:A4736,1,FALSE),0),1,0)</f>
        <v>0</v>
      </c>
    </row>
    <row r="2237" spans="1:15" x14ac:dyDescent="0.25">
      <c r="A2237">
        <v>2236</v>
      </c>
      <c r="B2237" s="1" t="s">
        <v>36</v>
      </c>
      <c r="C2237" s="1">
        <f>car_price_prediction_[[#This Row],[Year2]]</f>
        <v>2007</v>
      </c>
      <c r="D2237">
        <v>2007</v>
      </c>
      <c r="E2237">
        <f>car_price_prediction_[[#This Row],[Engine Size]]/10</f>
        <v>5.5</v>
      </c>
      <c r="F2237">
        <v>55</v>
      </c>
      <c r="G2237" s="1" t="s">
        <v>21</v>
      </c>
      <c r="H2237" s="1" t="s">
        <v>12</v>
      </c>
      <c r="I2237" s="12">
        <f>car_price_prediction_[[#This Row],[Mileage]]/1000</f>
        <v>68.590999999999994</v>
      </c>
      <c r="J2237" s="5">
        <v>68591</v>
      </c>
      <c r="K2237" s="1" t="s">
        <v>17</v>
      </c>
      <c r="L2237" s="5">
        <f>car_price_prediction_[[#This Row],[Price]]/100</f>
        <v>2632.04</v>
      </c>
      <c r="M2237">
        <v>263204</v>
      </c>
      <c r="N2237" s="1" t="s">
        <v>37</v>
      </c>
      <c r="O2237" s="1">
        <f>IF(IFERROR(VLOOKUP(car_price_prediction_[[#This Row],[Car ID]],A2238:A4737,1,FALSE),0),1,0)</f>
        <v>0</v>
      </c>
    </row>
    <row r="2238" spans="1:15" x14ac:dyDescent="0.25">
      <c r="A2238">
        <v>2237</v>
      </c>
      <c r="B2238" s="1" t="s">
        <v>24</v>
      </c>
      <c r="C2238" s="1">
        <f>car_price_prediction_[[#This Row],[Year2]]</f>
        <v>2003</v>
      </c>
      <c r="D2238">
        <v>2003</v>
      </c>
      <c r="E2238">
        <f>car_price_prediction_[[#This Row],[Engine Size]]/10</f>
        <v>3.2</v>
      </c>
      <c r="F2238">
        <v>32</v>
      </c>
      <c r="G2238" s="1" t="s">
        <v>16</v>
      </c>
      <c r="H2238" s="1" t="s">
        <v>12</v>
      </c>
      <c r="I2238" s="12">
        <f>car_price_prediction_[[#This Row],[Mileage]]/1000</f>
        <v>208.79400000000001</v>
      </c>
      <c r="J2238" s="5">
        <v>208794</v>
      </c>
      <c r="K2238" s="1" t="s">
        <v>17</v>
      </c>
      <c r="L2238" s="5">
        <f>car_price_prediction_[[#This Row],[Price]]/100</f>
        <v>53471.55</v>
      </c>
      <c r="M2238">
        <v>5347155</v>
      </c>
      <c r="N2238" s="1" t="s">
        <v>34</v>
      </c>
      <c r="O2238" s="1">
        <f>IF(IFERROR(VLOOKUP(car_price_prediction_[[#This Row],[Car ID]],A2239:A4738,1,FALSE),0),1,0)</f>
        <v>0</v>
      </c>
    </row>
    <row r="2239" spans="1:15" x14ac:dyDescent="0.25">
      <c r="A2239">
        <v>2238</v>
      </c>
      <c r="B2239" s="1" t="s">
        <v>43</v>
      </c>
      <c r="C2239" s="1">
        <f>car_price_prediction_[[#This Row],[Year2]]</f>
        <v>2001</v>
      </c>
      <c r="D2239">
        <v>2001</v>
      </c>
      <c r="E2239">
        <f>car_price_prediction_[[#This Row],[Engine Size]]/10</f>
        <v>3.7</v>
      </c>
      <c r="F2239">
        <v>37</v>
      </c>
      <c r="G2239" s="1" t="s">
        <v>21</v>
      </c>
      <c r="H2239" s="1" t="s">
        <v>12</v>
      </c>
      <c r="I2239" s="12">
        <f>car_price_prediction_[[#This Row],[Mileage]]/1000</f>
        <v>264.82600000000002</v>
      </c>
      <c r="J2239" s="5">
        <v>264826</v>
      </c>
      <c r="K2239" s="1" t="s">
        <v>13</v>
      </c>
      <c r="L2239" s="5">
        <f>car_price_prediction_[[#This Row],[Price]]/100</f>
        <v>54479.15</v>
      </c>
      <c r="M2239">
        <v>5447915</v>
      </c>
      <c r="N2239" s="1" t="s">
        <v>52</v>
      </c>
      <c r="O2239" s="1">
        <f>IF(IFERROR(VLOOKUP(car_price_prediction_[[#This Row],[Car ID]],A2240:A4739,1,FALSE),0),1,0)</f>
        <v>0</v>
      </c>
    </row>
    <row r="2240" spans="1:15" x14ac:dyDescent="0.25">
      <c r="A2240">
        <v>2239</v>
      </c>
      <c r="B2240" s="1" t="s">
        <v>43</v>
      </c>
      <c r="C2240" s="1">
        <f>car_price_prediction_[[#This Row],[Year2]]</f>
        <v>2023</v>
      </c>
      <c r="D2240">
        <v>2023</v>
      </c>
      <c r="E2240">
        <f>car_price_prediction_[[#This Row],[Engine Size]]/10</f>
        <v>3.4</v>
      </c>
      <c r="F2240">
        <v>34</v>
      </c>
      <c r="G2240" s="1" t="s">
        <v>29</v>
      </c>
      <c r="H2240" s="1" t="s">
        <v>12</v>
      </c>
      <c r="I2240" s="12">
        <f>car_price_prediction_[[#This Row],[Mileage]]/1000</f>
        <v>111.18600000000001</v>
      </c>
      <c r="J2240" s="5">
        <v>111186</v>
      </c>
      <c r="K2240" s="1" t="s">
        <v>25</v>
      </c>
      <c r="L2240" s="5">
        <f>car_price_prediction_[[#This Row],[Price]]/100</f>
        <v>61088.35</v>
      </c>
      <c r="M2240">
        <v>6108835</v>
      </c>
      <c r="N2240" s="1" t="s">
        <v>47</v>
      </c>
      <c r="O2240" s="1">
        <f>IF(IFERROR(VLOOKUP(car_price_prediction_[[#This Row],[Car ID]],A2241:A4740,1,FALSE),0),1,0)</f>
        <v>0</v>
      </c>
    </row>
    <row r="2241" spans="1:15" x14ac:dyDescent="0.25">
      <c r="A2241">
        <v>2240</v>
      </c>
      <c r="B2241" s="1" t="s">
        <v>15</v>
      </c>
      <c r="C2241" s="1">
        <f>car_price_prediction_[[#This Row],[Year2]]</f>
        <v>2023</v>
      </c>
      <c r="D2241">
        <v>2023</v>
      </c>
      <c r="E2241">
        <f>car_price_prediction_[[#This Row],[Engine Size]]/10</f>
        <v>2.9</v>
      </c>
      <c r="F2241">
        <v>29</v>
      </c>
      <c r="G2241" s="1" t="s">
        <v>11</v>
      </c>
      <c r="H2241" s="1" t="s">
        <v>12</v>
      </c>
      <c r="I2241" s="12">
        <f>car_price_prediction_[[#This Row],[Mileage]]/1000</f>
        <v>243.18100000000001</v>
      </c>
      <c r="J2241" s="5">
        <v>243181</v>
      </c>
      <c r="K2241" s="1" t="s">
        <v>13</v>
      </c>
      <c r="L2241" s="5">
        <f>car_price_prediction_[[#This Row],[Price]]/100</f>
        <v>10708.09</v>
      </c>
      <c r="M2241">
        <v>1070809</v>
      </c>
      <c r="N2241" s="1" t="s">
        <v>51</v>
      </c>
      <c r="O2241" s="1">
        <f>IF(IFERROR(VLOOKUP(car_price_prediction_[[#This Row],[Car ID]],A2242:A4741,1,FALSE),0),1,0)</f>
        <v>0</v>
      </c>
    </row>
    <row r="2242" spans="1:15" x14ac:dyDescent="0.25">
      <c r="A2242">
        <v>2241</v>
      </c>
      <c r="B2242" s="1" t="s">
        <v>43</v>
      </c>
      <c r="C2242" s="1">
        <f>car_price_prediction_[[#This Row],[Year2]]</f>
        <v>2009</v>
      </c>
      <c r="D2242">
        <v>2009</v>
      </c>
      <c r="E2242">
        <f>car_price_prediction_[[#This Row],[Engine Size]]/10</f>
        <v>5.4</v>
      </c>
      <c r="F2242">
        <v>54</v>
      </c>
      <c r="G2242" s="1" t="s">
        <v>16</v>
      </c>
      <c r="H2242" s="1" t="s">
        <v>22</v>
      </c>
      <c r="I2242" s="12">
        <f>car_price_prediction_[[#This Row],[Mileage]]/1000</f>
        <v>21.832000000000001</v>
      </c>
      <c r="J2242" s="5">
        <v>21832</v>
      </c>
      <c r="K2242" s="1" t="s">
        <v>13</v>
      </c>
      <c r="L2242" s="5">
        <f>car_price_prediction_[[#This Row],[Price]]/100</f>
        <v>97425.69</v>
      </c>
      <c r="M2242">
        <v>9742569</v>
      </c>
      <c r="N2242" s="1" t="s">
        <v>50</v>
      </c>
      <c r="O2242" s="1">
        <f>IF(IFERROR(VLOOKUP(car_price_prediction_[[#This Row],[Car ID]],A2243:A4742,1,FALSE),0),1,0)</f>
        <v>0</v>
      </c>
    </row>
    <row r="2243" spans="1:15" x14ac:dyDescent="0.25">
      <c r="A2243">
        <v>2242</v>
      </c>
      <c r="B2243" s="1" t="s">
        <v>36</v>
      </c>
      <c r="C2243" s="1">
        <f>car_price_prediction_[[#This Row],[Year2]]</f>
        <v>2003</v>
      </c>
      <c r="D2243">
        <v>2003</v>
      </c>
      <c r="E2243">
        <f>car_price_prediction_[[#This Row],[Engine Size]]/10</f>
        <v>5.5</v>
      </c>
      <c r="F2243">
        <v>55</v>
      </c>
      <c r="G2243" s="1" t="s">
        <v>16</v>
      </c>
      <c r="H2243" s="1" t="s">
        <v>12</v>
      </c>
      <c r="I2243" s="12">
        <f>car_price_prediction_[[#This Row],[Mileage]]/1000</f>
        <v>16.997</v>
      </c>
      <c r="J2243" s="5">
        <v>16997</v>
      </c>
      <c r="K2243" s="1" t="s">
        <v>25</v>
      </c>
      <c r="L2243" s="5">
        <f>car_price_prediction_[[#This Row],[Price]]/100</f>
        <v>4921.67</v>
      </c>
      <c r="M2243">
        <v>492167</v>
      </c>
      <c r="N2243" s="1" t="s">
        <v>46</v>
      </c>
      <c r="O2243" s="1">
        <f>IF(IFERROR(VLOOKUP(car_price_prediction_[[#This Row],[Car ID]],A2244:A4743,1,FALSE),0),1,0)</f>
        <v>0</v>
      </c>
    </row>
    <row r="2244" spans="1:15" x14ac:dyDescent="0.25">
      <c r="A2244">
        <v>2243</v>
      </c>
      <c r="B2244" s="1" t="s">
        <v>10</v>
      </c>
      <c r="C2244" s="1">
        <f>car_price_prediction_[[#This Row],[Year2]]</f>
        <v>2002</v>
      </c>
      <c r="D2244">
        <v>2002</v>
      </c>
      <c r="E2244">
        <f>car_price_prediction_[[#This Row],[Engine Size]]/10</f>
        <v>2.7</v>
      </c>
      <c r="F2244">
        <v>27</v>
      </c>
      <c r="G2244" s="1" t="s">
        <v>29</v>
      </c>
      <c r="H2244" s="1" t="s">
        <v>22</v>
      </c>
      <c r="I2244" s="12">
        <f>car_price_prediction_[[#This Row],[Mileage]]/1000</f>
        <v>296.78399999999999</v>
      </c>
      <c r="J2244" s="5">
        <v>296784</v>
      </c>
      <c r="K2244" s="1" t="s">
        <v>25</v>
      </c>
      <c r="L2244" s="5">
        <f>car_price_prediction_[[#This Row],[Price]]/100</f>
        <v>93020.52</v>
      </c>
      <c r="M2244">
        <v>9302052</v>
      </c>
      <c r="N2244" s="1" t="s">
        <v>23</v>
      </c>
      <c r="O2244" s="1">
        <f>IF(IFERROR(VLOOKUP(car_price_prediction_[[#This Row],[Car ID]],A2245:A4744,1,FALSE),0),1,0)</f>
        <v>0</v>
      </c>
    </row>
    <row r="2245" spans="1:15" x14ac:dyDescent="0.25">
      <c r="A2245">
        <v>2244</v>
      </c>
      <c r="B2245" s="1" t="s">
        <v>36</v>
      </c>
      <c r="C2245" s="1">
        <f>car_price_prediction_[[#This Row],[Year2]]</f>
        <v>2001</v>
      </c>
      <c r="D2245">
        <v>2001</v>
      </c>
      <c r="E2245">
        <f>car_price_prediction_[[#This Row],[Engine Size]]/10</f>
        <v>4.0999999999999996</v>
      </c>
      <c r="F2245">
        <v>41</v>
      </c>
      <c r="G2245" s="1" t="s">
        <v>21</v>
      </c>
      <c r="H2245" s="1" t="s">
        <v>22</v>
      </c>
      <c r="I2245" s="12">
        <f>car_price_prediction_[[#This Row],[Mileage]]/1000</f>
        <v>40.491</v>
      </c>
      <c r="J2245" s="5">
        <v>40491</v>
      </c>
      <c r="K2245" s="1" t="s">
        <v>25</v>
      </c>
      <c r="L2245" s="5">
        <f>car_price_prediction_[[#This Row],[Price]]/100</f>
        <v>5931.77</v>
      </c>
      <c r="M2245">
        <v>593177</v>
      </c>
      <c r="N2245" s="1" t="s">
        <v>41</v>
      </c>
      <c r="O2245" s="1">
        <f>IF(IFERROR(VLOOKUP(car_price_prediction_[[#This Row],[Car ID]],A2246:A4745,1,FALSE),0),1,0)</f>
        <v>0</v>
      </c>
    </row>
    <row r="2246" spans="1:15" x14ac:dyDescent="0.25">
      <c r="A2246">
        <v>2245</v>
      </c>
      <c r="B2246" s="1" t="s">
        <v>36</v>
      </c>
      <c r="C2246" s="1">
        <f>car_price_prediction_[[#This Row],[Year2]]</f>
        <v>2016</v>
      </c>
      <c r="D2246">
        <v>2016</v>
      </c>
      <c r="E2246">
        <f>car_price_prediction_[[#This Row],[Engine Size]]/10</f>
        <v>5.6</v>
      </c>
      <c r="F2246">
        <v>56</v>
      </c>
      <c r="G2246" s="1" t="s">
        <v>16</v>
      </c>
      <c r="H2246" s="1" t="s">
        <v>12</v>
      </c>
      <c r="I2246" s="12">
        <f>car_price_prediction_[[#This Row],[Mileage]]/1000</f>
        <v>63.042999999999999</v>
      </c>
      <c r="J2246" s="5">
        <v>63043</v>
      </c>
      <c r="K2246" s="1" t="s">
        <v>17</v>
      </c>
      <c r="L2246" s="5">
        <f>car_price_prediction_[[#This Row],[Price]]/100</f>
        <v>28518.05</v>
      </c>
      <c r="M2246">
        <v>2851805</v>
      </c>
      <c r="N2246" s="1" t="s">
        <v>41</v>
      </c>
      <c r="O2246" s="1">
        <f>IF(IFERROR(VLOOKUP(car_price_prediction_[[#This Row],[Car ID]],A2247:A4746,1,FALSE),0),1,0)</f>
        <v>0</v>
      </c>
    </row>
    <row r="2247" spans="1:15" x14ac:dyDescent="0.25">
      <c r="A2247">
        <v>2246</v>
      </c>
      <c r="B2247" s="1" t="s">
        <v>15</v>
      </c>
      <c r="C2247" s="1">
        <f>car_price_prediction_[[#This Row],[Year2]]</f>
        <v>2022</v>
      </c>
      <c r="D2247">
        <v>2022</v>
      </c>
      <c r="E2247">
        <f>car_price_prediction_[[#This Row],[Engine Size]]/10</f>
        <v>5.8</v>
      </c>
      <c r="F2247">
        <v>58</v>
      </c>
      <c r="G2247" s="1" t="s">
        <v>21</v>
      </c>
      <c r="H2247" s="1" t="s">
        <v>22</v>
      </c>
      <c r="I2247" s="12">
        <f>car_price_prediction_[[#This Row],[Mileage]]/1000</f>
        <v>128.56800000000001</v>
      </c>
      <c r="J2247" s="5">
        <v>128568</v>
      </c>
      <c r="K2247" s="1" t="s">
        <v>13</v>
      </c>
      <c r="L2247" s="5">
        <f>car_price_prediction_[[#This Row],[Price]]/100</f>
        <v>14879.58</v>
      </c>
      <c r="M2247">
        <v>1487958</v>
      </c>
      <c r="N2247" s="1" t="s">
        <v>51</v>
      </c>
      <c r="O2247" s="1">
        <f>IF(IFERROR(VLOOKUP(car_price_prediction_[[#This Row],[Car ID]],A2248:A4747,1,FALSE),0),1,0)</f>
        <v>0</v>
      </c>
    </row>
    <row r="2248" spans="1:15" x14ac:dyDescent="0.25">
      <c r="A2248">
        <v>2247</v>
      </c>
      <c r="B2248" s="1" t="s">
        <v>15</v>
      </c>
      <c r="C2248" s="1">
        <f>car_price_prediction_[[#This Row],[Year2]]</f>
        <v>2020</v>
      </c>
      <c r="D2248">
        <v>2020</v>
      </c>
      <c r="E2248">
        <f>car_price_prediction_[[#This Row],[Engine Size]]/10</f>
        <v>3.5</v>
      </c>
      <c r="F2248">
        <v>35</v>
      </c>
      <c r="G2248" s="1" t="s">
        <v>21</v>
      </c>
      <c r="H2248" s="1" t="s">
        <v>22</v>
      </c>
      <c r="I2248" s="12">
        <f>car_price_prediction_[[#This Row],[Mileage]]/1000</f>
        <v>72.724999999999994</v>
      </c>
      <c r="J2248" s="5">
        <v>72725</v>
      </c>
      <c r="K2248" s="1" t="s">
        <v>17</v>
      </c>
      <c r="L2248" s="5">
        <f>car_price_prediction_[[#This Row],[Price]]/100</f>
        <v>78113.539999999994</v>
      </c>
      <c r="M2248">
        <v>7811354</v>
      </c>
      <c r="N2248" s="1" t="s">
        <v>51</v>
      </c>
      <c r="O2248" s="1">
        <f>IF(IFERROR(VLOOKUP(car_price_prediction_[[#This Row],[Car ID]],A2249:A4748,1,FALSE),0),1,0)</f>
        <v>0</v>
      </c>
    </row>
    <row r="2249" spans="1:15" x14ac:dyDescent="0.25">
      <c r="A2249">
        <v>2248</v>
      </c>
      <c r="B2249" s="1" t="s">
        <v>43</v>
      </c>
      <c r="C2249" s="1">
        <f>car_price_prediction_[[#This Row],[Year2]]</f>
        <v>2023</v>
      </c>
      <c r="D2249">
        <v>2023</v>
      </c>
      <c r="E2249">
        <f>car_price_prediction_[[#This Row],[Engine Size]]/10</f>
        <v>3.3</v>
      </c>
      <c r="F2249">
        <v>33</v>
      </c>
      <c r="G2249" s="1" t="s">
        <v>29</v>
      </c>
      <c r="H2249" s="1" t="s">
        <v>22</v>
      </c>
      <c r="I2249" s="12">
        <f>car_price_prediction_[[#This Row],[Mileage]]/1000</f>
        <v>128.131</v>
      </c>
      <c r="J2249" s="5">
        <v>128131</v>
      </c>
      <c r="K2249" s="1" t="s">
        <v>25</v>
      </c>
      <c r="L2249" s="5">
        <f>car_price_prediction_[[#This Row],[Price]]/100</f>
        <v>35411.879999999997</v>
      </c>
      <c r="M2249">
        <v>3541188</v>
      </c>
      <c r="N2249" s="1" t="s">
        <v>52</v>
      </c>
      <c r="O2249" s="1">
        <f>IF(IFERROR(VLOOKUP(car_price_prediction_[[#This Row],[Car ID]],A2250:A4749,1,FALSE),0),1,0)</f>
        <v>0</v>
      </c>
    </row>
    <row r="2250" spans="1:15" x14ac:dyDescent="0.25">
      <c r="A2250">
        <v>2249</v>
      </c>
      <c r="B2250" s="1" t="s">
        <v>30</v>
      </c>
      <c r="C2250" s="1">
        <f>car_price_prediction_[[#This Row],[Year2]]</f>
        <v>2019</v>
      </c>
      <c r="D2250">
        <v>2019</v>
      </c>
      <c r="E2250">
        <f>car_price_prediction_[[#This Row],[Engine Size]]/10</f>
        <v>2.4</v>
      </c>
      <c r="F2250">
        <v>24</v>
      </c>
      <c r="G2250" s="1" t="s">
        <v>16</v>
      </c>
      <c r="H2250" s="1" t="s">
        <v>12</v>
      </c>
      <c r="I2250" s="12">
        <f>car_price_prediction_[[#This Row],[Mileage]]/1000</f>
        <v>45.52</v>
      </c>
      <c r="J2250" s="5">
        <v>45520</v>
      </c>
      <c r="K2250" s="1" t="s">
        <v>17</v>
      </c>
      <c r="L2250" s="5">
        <f>car_price_prediction_[[#This Row],[Price]]/100</f>
        <v>84846.79</v>
      </c>
      <c r="M2250">
        <v>8484679</v>
      </c>
      <c r="N2250" s="1" t="s">
        <v>48</v>
      </c>
      <c r="O2250" s="1">
        <f>IF(IFERROR(VLOOKUP(car_price_prediction_[[#This Row],[Car ID]],A2251:A4750,1,FALSE),0),1,0)</f>
        <v>0</v>
      </c>
    </row>
    <row r="2251" spans="1:15" x14ac:dyDescent="0.25">
      <c r="A2251">
        <v>2250</v>
      </c>
      <c r="B2251" s="1" t="s">
        <v>30</v>
      </c>
      <c r="C2251" s="1">
        <f>car_price_prediction_[[#This Row],[Year2]]</f>
        <v>2022</v>
      </c>
      <c r="D2251">
        <v>2022</v>
      </c>
      <c r="E2251">
        <f>car_price_prediction_[[#This Row],[Engine Size]]/10</f>
        <v>5.8</v>
      </c>
      <c r="F2251">
        <v>58</v>
      </c>
      <c r="G2251" s="1" t="s">
        <v>21</v>
      </c>
      <c r="H2251" s="1" t="s">
        <v>12</v>
      </c>
      <c r="I2251" s="12">
        <f>car_price_prediction_[[#This Row],[Mileage]]/1000</f>
        <v>109.869</v>
      </c>
      <c r="J2251" s="5">
        <v>109869</v>
      </c>
      <c r="K2251" s="1" t="s">
        <v>25</v>
      </c>
      <c r="L2251" s="5">
        <f>car_price_prediction_[[#This Row],[Price]]/100</f>
        <v>84076.61</v>
      </c>
      <c r="M2251">
        <v>8407661</v>
      </c>
      <c r="N2251" s="1" t="s">
        <v>31</v>
      </c>
      <c r="O2251" s="1">
        <f>IF(IFERROR(VLOOKUP(car_price_prediction_[[#This Row],[Car ID]],A2252:A4751,1,FALSE),0),1,0)</f>
        <v>0</v>
      </c>
    </row>
    <row r="2252" spans="1:15" x14ac:dyDescent="0.25">
      <c r="A2252">
        <v>2251</v>
      </c>
      <c r="B2252" s="1" t="s">
        <v>15</v>
      </c>
      <c r="C2252" s="1">
        <f>car_price_prediction_[[#This Row],[Year2]]</f>
        <v>2012</v>
      </c>
      <c r="D2252">
        <v>2012</v>
      </c>
      <c r="E2252">
        <f>car_price_prediction_[[#This Row],[Engine Size]]/10</f>
        <v>1.7</v>
      </c>
      <c r="F2252">
        <v>17</v>
      </c>
      <c r="G2252" s="1" t="s">
        <v>21</v>
      </c>
      <c r="H2252" s="1" t="s">
        <v>12</v>
      </c>
      <c r="I2252" s="12">
        <f>car_price_prediction_[[#This Row],[Mileage]]/1000</f>
        <v>64.441999999999993</v>
      </c>
      <c r="J2252" s="5">
        <v>64442</v>
      </c>
      <c r="K2252" s="1" t="s">
        <v>25</v>
      </c>
      <c r="L2252" s="5">
        <f>car_price_prediction_[[#This Row],[Price]]/100</f>
        <v>68440.509999999995</v>
      </c>
      <c r="M2252">
        <v>6844051</v>
      </c>
      <c r="N2252" s="1" t="s">
        <v>18</v>
      </c>
      <c r="O2252" s="1">
        <f>IF(IFERROR(VLOOKUP(car_price_prediction_[[#This Row],[Car ID]],A2253:A4752,1,FALSE),0),1,0)</f>
        <v>0</v>
      </c>
    </row>
    <row r="2253" spans="1:15" x14ac:dyDescent="0.25">
      <c r="A2253">
        <v>2252</v>
      </c>
      <c r="B2253" s="1" t="s">
        <v>43</v>
      </c>
      <c r="C2253" s="1">
        <f>car_price_prediction_[[#This Row],[Year2]]</f>
        <v>2004</v>
      </c>
      <c r="D2253">
        <v>2004</v>
      </c>
      <c r="E2253">
        <f>car_price_prediction_[[#This Row],[Engine Size]]/10</f>
        <v>3.9</v>
      </c>
      <c r="F2253">
        <v>39</v>
      </c>
      <c r="G2253" s="1" t="s">
        <v>29</v>
      </c>
      <c r="H2253" s="1" t="s">
        <v>12</v>
      </c>
      <c r="I2253" s="12">
        <f>car_price_prediction_[[#This Row],[Mileage]]/1000</f>
        <v>261.02499999999998</v>
      </c>
      <c r="J2253" s="5">
        <v>261025</v>
      </c>
      <c r="K2253" s="1" t="s">
        <v>13</v>
      </c>
      <c r="L2253" s="5">
        <f>car_price_prediction_[[#This Row],[Price]]/100</f>
        <v>68249.27</v>
      </c>
      <c r="M2253">
        <v>6824927</v>
      </c>
      <c r="N2253" s="1" t="s">
        <v>44</v>
      </c>
      <c r="O2253" s="1">
        <f>IF(IFERROR(VLOOKUP(car_price_prediction_[[#This Row],[Car ID]],A2254:A4753,1,FALSE),0),1,0)</f>
        <v>0</v>
      </c>
    </row>
    <row r="2254" spans="1:15" x14ac:dyDescent="0.25">
      <c r="A2254">
        <v>2253</v>
      </c>
      <c r="B2254" s="1" t="s">
        <v>30</v>
      </c>
      <c r="C2254" s="1">
        <f>car_price_prediction_[[#This Row],[Year2]]</f>
        <v>2020</v>
      </c>
      <c r="D2254">
        <v>2020</v>
      </c>
      <c r="E2254">
        <f>car_price_prediction_[[#This Row],[Engine Size]]/10</f>
        <v>2.4</v>
      </c>
      <c r="F2254">
        <v>24</v>
      </c>
      <c r="G2254" s="1" t="s">
        <v>29</v>
      </c>
      <c r="H2254" s="1" t="s">
        <v>12</v>
      </c>
      <c r="I2254" s="12">
        <f>car_price_prediction_[[#This Row],[Mileage]]/1000</f>
        <v>152.84200000000001</v>
      </c>
      <c r="J2254" s="5">
        <v>152842</v>
      </c>
      <c r="K2254" s="1" t="s">
        <v>13</v>
      </c>
      <c r="L2254" s="5">
        <f>car_price_prediction_[[#This Row],[Price]]/100</f>
        <v>71515.17</v>
      </c>
      <c r="M2254">
        <v>7151517</v>
      </c>
      <c r="N2254" s="1" t="s">
        <v>42</v>
      </c>
      <c r="O2254" s="1">
        <f>IF(IFERROR(VLOOKUP(car_price_prediction_[[#This Row],[Car ID]],A2255:A4754,1,FALSE),0),1,0)</f>
        <v>0</v>
      </c>
    </row>
    <row r="2255" spans="1:15" x14ac:dyDescent="0.25">
      <c r="A2255">
        <v>2254</v>
      </c>
      <c r="B2255" s="1" t="s">
        <v>43</v>
      </c>
      <c r="C2255" s="1">
        <f>car_price_prediction_[[#This Row],[Year2]]</f>
        <v>2008</v>
      </c>
      <c r="D2255">
        <v>2008</v>
      </c>
      <c r="E2255">
        <f>car_price_prediction_[[#This Row],[Engine Size]]/10</f>
        <v>2.4</v>
      </c>
      <c r="F2255">
        <v>24</v>
      </c>
      <c r="G2255" s="1" t="s">
        <v>21</v>
      </c>
      <c r="H2255" s="1" t="s">
        <v>22</v>
      </c>
      <c r="I2255" s="12">
        <f>car_price_prediction_[[#This Row],[Mileage]]/1000</f>
        <v>178.57</v>
      </c>
      <c r="J2255" s="5">
        <v>178570</v>
      </c>
      <c r="K2255" s="1" t="s">
        <v>13</v>
      </c>
      <c r="L2255" s="5">
        <f>car_price_prediction_[[#This Row],[Price]]/100</f>
        <v>69007.56</v>
      </c>
      <c r="M2255">
        <v>6900756</v>
      </c>
      <c r="N2255" s="1" t="s">
        <v>47</v>
      </c>
      <c r="O2255" s="1">
        <f>IF(IFERROR(VLOOKUP(car_price_prediction_[[#This Row],[Car ID]],A2256:A4755,1,FALSE),0),1,0)</f>
        <v>0</v>
      </c>
    </row>
    <row r="2256" spans="1:15" x14ac:dyDescent="0.25">
      <c r="A2256">
        <v>2255</v>
      </c>
      <c r="B2256" s="1" t="s">
        <v>43</v>
      </c>
      <c r="C2256" s="1">
        <f>car_price_prediction_[[#This Row],[Year2]]</f>
        <v>2021</v>
      </c>
      <c r="D2256">
        <v>2021</v>
      </c>
      <c r="E2256">
        <f>car_price_prediction_[[#This Row],[Engine Size]]/10</f>
        <v>3</v>
      </c>
      <c r="F2256">
        <v>30</v>
      </c>
      <c r="G2256" s="1" t="s">
        <v>29</v>
      </c>
      <c r="H2256" s="1" t="s">
        <v>22</v>
      </c>
      <c r="I2256" s="12">
        <f>car_price_prediction_[[#This Row],[Mileage]]/1000</f>
        <v>123.447</v>
      </c>
      <c r="J2256" s="5">
        <v>123447</v>
      </c>
      <c r="K2256" s="1" t="s">
        <v>17</v>
      </c>
      <c r="L2256" s="5">
        <f>car_price_prediction_[[#This Row],[Price]]/100</f>
        <v>41756.29</v>
      </c>
      <c r="M2256">
        <v>4175629</v>
      </c>
      <c r="N2256" s="1" t="s">
        <v>52</v>
      </c>
      <c r="O2256" s="1">
        <f>IF(IFERROR(VLOOKUP(car_price_prediction_[[#This Row],[Car ID]],A2257:A4756,1,FALSE),0),1,0)</f>
        <v>0</v>
      </c>
    </row>
    <row r="2257" spans="1:15" x14ac:dyDescent="0.25">
      <c r="A2257">
        <v>2256</v>
      </c>
      <c r="B2257" s="1" t="s">
        <v>43</v>
      </c>
      <c r="C2257" s="1">
        <f>car_price_prediction_[[#This Row],[Year2]]</f>
        <v>2005</v>
      </c>
      <c r="D2257">
        <v>2005</v>
      </c>
      <c r="E2257">
        <f>car_price_prediction_[[#This Row],[Engine Size]]/10</f>
        <v>6</v>
      </c>
      <c r="F2257">
        <v>60</v>
      </c>
      <c r="G2257" s="1" t="s">
        <v>21</v>
      </c>
      <c r="H2257" s="1" t="s">
        <v>12</v>
      </c>
      <c r="I2257" s="12">
        <f>car_price_prediction_[[#This Row],[Mileage]]/1000</f>
        <v>61.476999999999997</v>
      </c>
      <c r="J2257" s="5">
        <v>61477</v>
      </c>
      <c r="K2257" s="1" t="s">
        <v>13</v>
      </c>
      <c r="L2257" s="5">
        <f>car_price_prediction_[[#This Row],[Price]]/100</f>
        <v>69868.63</v>
      </c>
      <c r="M2257">
        <v>6986863</v>
      </c>
      <c r="N2257" s="1" t="s">
        <v>47</v>
      </c>
      <c r="O2257" s="1">
        <f>IF(IFERROR(VLOOKUP(car_price_prediction_[[#This Row],[Car ID]],A2258:A4757,1,FALSE),0),1,0)</f>
        <v>0</v>
      </c>
    </row>
    <row r="2258" spans="1:15" x14ac:dyDescent="0.25">
      <c r="A2258">
        <v>2257</v>
      </c>
      <c r="B2258" s="1" t="s">
        <v>19</v>
      </c>
      <c r="C2258" s="1">
        <f>car_price_prediction_[[#This Row],[Year2]]</f>
        <v>2004</v>
      </c>
      <c r="D2258">
        <v>2004</v>
      </c>
      <c r="E2258">
        <f>car_price_prediction_[[#This Row],[Engine Size]]/10</f>
        <v>1.3</v>
      </c>
      <c r="F2258">
        <v>13</v>
      </c>
      <c r="G2258" s="1" t="s">
        <v>16</v>
      </c>
      <c r="H2258" s="1" t="s">
        <v>22</v>
      </c>
      <c r="I2258" s="12">
        <f>car_price_prediction_[[#This Row],[Mileage]]/1000</f>
        <v>0.24399999999999999</v>
      </c>
      <c r="J2258" s="5">
        <v>244</v>
      </c>
      <c r="K2258" s="1" t="s">
        <v>25</v>
      </c>
      <c r="L2258" s="5">
        <f>car_price_prediction_[[#This Row],[Price]]/100</f>
        <v>90253.66</v>
      </c>
      <c r="M2258">
        <v>9025366</v>
      </c>
      <c r="N2258" s="1" t="s">
        <v>27</v>
      </c>
      <c r="O2258" s="1">
        <f>IF(IFERROR(VLOOKUP(car_price_prediction_[[#This Row],[Car ID]],A2259:A4758,1,FALSE),0),1,0)</f>
        <v>0</v>
      </c>
    </row>
    <row r="2259" spans="1:15" x14ac:dyDescent="0.25">
      <c r="A2259">
        <v>2258</v>
      </c>
      <c r="B2259" s="1" t="s">
        <v>36</v>
      </c>
      <c r="C2259" s="1">
        <f>car_price_prediction_[[#This Row],[Year2]]</f>
        <v>2009</v>
      </c>
      <c r="D2259">
        <v>2009</v>
      </c>
      <c r="E2259">
        <f>car_price_prediction_[[#This Row],[Engine Size]]/10</f>
        <v>3.9</v>
      </c>
      <c r="F2259">
        <v>39</v>
      </c>
      <c r="G2259" s="1" t="s">
        <v>11</v>
      </c>
      <c r="H2259" s="1" t="s">
        <v>22</v>
      </c>
      <c r="I2259" s="12">
        <f>car_price_prediction_[[#This Row],[Mileage]]/1000</f>
        <v>177.56100000000001</v>
      </c>
      <c r="J2259" s="5">
        <v>177561</v>
      </c>
      <c r="K2259" s="1" t="s">
        <v>13</v>
      </c>
      <c r="L2259" s="5">
        <f>car_price_prediction_[[#This Row],[Price]]/100</f>
        <v>36594.480000000003</v>
      </c>
      <c r="M2259">
        <v>3659448</v>
      </c>
      <c r="N2259" s="1" t="s">
        <v>37</v>
      </c>
      <c r="O2259" s="1">
        <f>IF(IFERROR(VLOOKUP(car_price_prediction_[[#This Row],[Car ID]],A2260:A4759,1,FALSE),0),1,0)</f>
        <v>0</v>
      </c>
    </row>
    <row r="2260" spans="1:15" x14ac:dyDescent="0.25">
      <c r="A2260">
        <v>2259</v>
      </c>
      <c r="B2260" s="1" t="s">
        <v>43</v>
      </c>
      <c r="C2260" s="1">
        <f>car_price_prediction_[[#This Row],[Year2]]</f>
        <v>2007</v>
      </c>
      <c r="D2260">
        <v>2007</v>
      </c>
      <c r="E2260">
        <f>car_price_prediction_[[#This Row],[Engine Size]]/10</f>
        <v>1.4</v>
      </c>
      <c r="F2260">
        <v>14</v>
      </c>
      <c r="G2260" s="1" t="s">
        <v>29</v>
      </c>
      <c r="H2260" s="1" t="s">
        <v>22</v>
      </c>
      <c r="I2260" s="12">
        <f>car_price_prediction_[[#This Row],[Mileage]]/1000</f>
        <v>290.53399999999999</v>
      </c>
      <c r="J2260" s="5">
        <v>290534</v>
      </c>
      <c r="K2260" s="1" t="s">
        <v>17</v>
      </c>
      <c r="L2260" s="5">
        <f>car_price_prediction_[[#This Row],[Price]]/100</f>
        <v>94764.46</v>
      </c>
      <c r="M2260">
        <v>9476446</v>
      </c>
      <c r="N2260" s="1" t="s">
        <v>44</v>
      </c>
      <c r="O2260" s="1">
        <f>IF(IFERROR(VLOOKUP(car_price_prediction_[[#This Row],[Car ID]],A2261:A4760,1,FALSE),0),1,0)</f>
        <v>0</v>
      </c>
    </row>
    <row r="2261" spans="1:15" x14ac:dyDescent="0.25">
      <c r="A2261">
        <v>2260</v>
      </c>
      <c r="B2261" s="1" t="s">
        <v>19</v>
      </c>
      <c r="C2261" s="1">
        <f>car_price_prediction_[[#This Row],[Year2]]</f>
        <v>2006</v>
      </c>
      <c r="D2261">
        <v>2006</v>
      </c>
      <c r="E2261">
        <f>car_price_prediction_[[#This Row],[Engine Size]]/10</f>
        <v>1.8</v>
      </c>
      <c r="F2261">
        <v>18</v>
      </c>
      <c r="G2261" s="1" t="s">
        <v>11</v>
      </c>
      <c r="H2261" s="1" t="s">
        <v>22</v>
      </c>
      <c r="I2261" s="12">
        <f>car_price_prediction_[[#This Row],[Mileage]]/1000</f>
        <v>10.247</v>
      </c>
      <c r="J2261" s="5">
        <v>10247</v>
      </c>
      <c r="K2261" s="1" t="s">
        <v>13</v>
      </c>
      <c r="L2261" s="5">
        <f>car_price_prediction_[[#This Row],[Price]]/100</f>
        <v>6290.25</v>
      </c>
      <c r="M2261">
        <v>629025</v>
      </c>
      <c r="N2261" s="1" t="s">
        <v>27</v>
      </c>
      <c r="O2261" s="1">
        <f>IF(IFERROR(VLOOKUP(car_price_prediction_[[#This Row],[Car ID]],A2262:A4761,1,FALSE),0),1,0)</f>
        <v>0</v>
      </c>
    </row>
    <row r="2262" spans="1:15" x14ac:dyDescent="0.25">
      <c r="A2262">
        <v>2261</v>
      </c>
      <c r="B2262" s="1" t="s">
        <v>15</v>
      </c>
      <c r="C2262" s="1">
        <f>car_price_prediction_[[#This Row],[Year2]]</f>
        <v>2006</v>
      </c>
      <c r="D2262">
        <v>2006</v>
      </c>
      <c r="E2262">
        <f>car_price_prediction_[[#This Row],[Engine Size]]/10</f>
        <v>3.2</v>
      </c>
      <c r="F2262">
        <v>32</v>
      </c>
      <c r="G2262" s="1" t="s">
        <v>21</v>
      </c>
      <c r="H2262" s="1" t="s">
        <v>12</v>
      </c>
      <c r="I2262" s="12">
        <f>car_price_prediction_[[#This Row],[Mileage]]/1000</f>
        <v>200.12299999999999</v>
      </c>
      <c r="J2262" s="5">
        <v>200123</v>
      </c>
      <c r="K2262" s="1" t="s">
        <v>13</v>
      </c>
      <c r="L2262" s="5">
        <f>car_price_prediction_[[#This Row],[Price]]/100</f>
        <v>38162.839999999997</v>
      </c>
      <c r="M2262">
        <v>3816284</v>
      </c>
      <c r="N2262" s="1" t="s">
        <v>51</v>
      </c>
      <c r="O2262" s="1">
        <f>IF(IFERROR(VLOOKUP(car_price_prediction_[[#This Row],[Car ID]],A2263:A4762,1,FALSE),0),1,0)</f>
        <v>0</v>
      </c>
    </row>
    <row r="2263" spans="1:15" x14ac:dyDescent="0.25">
      <c r="A2263">
        <v>2262</v>
      </c>
      <c r="B2263" s="1" t="s">
        <v>30</v>
      </c>
      <c r="C2263" s="1">
        <f>car_price_prediction_[[#This Row],[Year2]]</f>
        <v>2005</v>
      </c>
      <c r="D2263">
        <v>2005</v>
      </c>
      <c r="E2263">
        <f>car_price_prediction_[[#This Row],[Engine Size]]/10</f>
        <v>3.6</v>
      </c>
      <c r="F2263">
        <v>36</v>
      </c>
      <c r="G2263" s="1" t="s">
        <v>21</v>
      </c>
      <c r="H2263" s="1" t="s">
        <v>12</v>
      </c>
      <c r="I2263" s="12">
        <f>car_price_prediction_[[#This Row],[Mileage]]/1000</f>
        <v>190.791</v>
      </c>
      <c r="J2263" s="5">
        <v>190791</v>
      </c>
      <c r="K2263" s="1" t="s">
        <v>13</v>
      </c>
      <c r="L2263" s="5">
        <f>car_price_prediction_[[#This Row],[Price]]/100</f>
        <v>17549.349999999999</v>
      </c>
      <c r="M2263">
        <v>1754935</v>
      </c>
      <c r="N2263" s="1" t="s">
        <v>45</v>
      </c>
      <c r="O2263" s="1">
        <f>IF(IFERROR(VLOOKUP(car_price_prediction_[[#This Row],[Car ID]],A2264:A4763,1,FALSE),0),1,0)</f>
        <v>0</v>
      </c>
    </row>
    <row r="2264" spans="1:15" x14ac:dyDescent="0.25">
      <c r="A2264">
        <v>2263</v>
      </c>
      <c r="B2264" s="1" t="s">
        <v>36</v>
      </c>
      <c r="C2264" s="1">
        <f>car_price_prediction_[[#This Row],[Year2]]</f>
        <v>2020</v>
      </c>
      <c r="D2264">
        <v>2020</v>
      </c>
      <c r="E2264">
        <f>car_price_prediction_[[#This Row],[Engine Size]]/10</f>
        <v>2.2999999999999998</v>
      </c>
      <c r="F2264">
        <v>23</v>
      </c>
      <c r="G2264" s="1" t="s">
        <v>21</v>
      </c>
      <c r="H2264" s="1" t="s">
        <v>12</v>
      </c>
      <c r="I2264" s="12">
        <f>car_price_prediction_[[#This Row],[Mileage]]/1000</f>
        <v>207.358</v>
      </c>
      <c r="J2264" s="5">
        <v>207358</v>
      </c>
      <c r="K2264" s="1" t="s">
        <v>17</v>
      </c>
      <c r="L2264" s="5">
        <f>car_price_prediction_[[#This Row],[Price]]/100</f>
        <v>17028.88</v>
      </c>
      <c r="M2264">
        <v>1702888</v>
      </c>
      <c r="N2264" s="1" t="s">
        <v>37</v>
      </c>
      <c r="O2264" s="1">
        <f>IF(IFERROR(VLOOKUP(car_price_prediction_[[#This Row],[Car ID]],A2265:A4764,1,FALSE),0),1,0)</f>
        <v>0</v>
      </c>
    </row>
    <row r="2265" spans="1:15" x14ac:dyDescent="0.25">
      <c r="A2265">
        <v>2264</v>
      </c>
      <c r="B2265" s="1" t="s">
        <v>10</v>
      </c>
      <c r="C2265" s="1">
        <f>car_price_prediction_[[#This Row],[Year2]]</f>
        <v>2019</v>
      </c>
      <c r="D2265">
        <v>2019</v>
      </c>
      <c r="E2265">
        <f>car_price_prediction_[[#This Row],[Engine Size]]/10</f>
        <v>2.6</v>
      </c>
      <c r="F2265">
        <v>26</v>
      </c>
      <c r="G2265" s="1" t="s">
        <v>11</v>
      </c>
      <c r="H2265" s="1" t="s">
        <v>22</v>
      </c>
      <c r="I2265" s="12">
        <f>car_price_prediction_[[#This Row],[Mileage]]/1000</f>
        <v>291.72699999999998</v>
      </c>
      <c r="J2265" s="5">
        <v>291727</v>
      </c>
      <c r="K2265" s="1" t="s">
        <v>25</v>
      </c>
      <c r="L2265" s="5">
        <f>car_price_prediction_[[#This Row],[Price]]/100</f>
        <v>8246.58</v>
      </c>
      <c r="M2265">
        <v>824658</v>
      </c>
      <c r="N2265" s="1" t="s">
        <v>49</v>
      </c>
      <c r="O2265" s="1">
        <f>IF(IFERROR(VLOOKUP(car_price_prediction_[[#This Row],[Car ID]],A2266:A4765,1,FALSE),0),1,0)</f>
        <v>0</v>
      </c>
    </row>
    <row r="2266" spans="1:15" x14ac:dyDescent="0.25">
      <c r="A2266">
        <v>2265</v>
      </c>
      <c r="B2266" s="1" t="s">
        <v>30</v>
      </c>
      <c r="C2266" s="1">
        <f>car_price_prediction_[[#This Row],[Year2]]</f>
        <v>2002</v>
      </c>
      <c r="D2266">
        <v>2002</v>
      </c>
      <c r="E2266">
        <f>car_price_prediction_[[#This Row],[Engine Size]]/10</f>
        <v>1.4</v>
      </c>
      <c r="F2266">
        <v>14</v>
      </c>
      <c r="G2266" s="1" t="s">
        <v>21</v>
      </c>
      <c r="H2266" s="1" t="s">
        <v>22</v>
      </c>
      <c r="I2266" s="12">
        <f>car_price_prediction_[[#This Row],[Mileage]]/1000</f>
        <v>139.148</v>
      </c>
      <c r="J2266" s="5">
        <v>139148</v>
      </c>
      <c r="K2266" s="1" t="s">
        <v>25</v>
      </c>
      <c r="L2266" s="5">
        <f>car_price_prediction_[[#This Row],[Price]]/100</f>
        <v>92244.99</v>
      </c>
      <c r="M2266">
        <v>9224499</v>
      </c>
      <c r="N2266" s="1" t="s">
        <v>45</v>
      </c>
      <c r="O2266" s="1">
        <f>IF(IFERROR(VLOOKUP(car_price_prediction_[[#This Row],[Car ID]],A2267:A4766,1,FALSE),0),1,0)</f>
        <v>0</v>
      </c>
    </row>
    <row r="2267" spans="1:15" x14ac:dyDescent="0.25">
      <c r="A2267">
        <v>2266</v>
      </c>
      <c r="B2267" s="1" t="s">
        <v>36</v>
      </c>
      <c r="C2267" s="1">
        <f>car_price_prediction_[[#This Row],[Year2]]</f>
        <v>2018</v>
      </c>
      <c r="D2267">
        <v>2018</v>
      </c>
      <c r="E2267">
        <f>car_price_prediction_[[#This Row],[Engine Size]]/10</f>
        <v>2.5</v>
      </c>
      <c r="F2267">
        <v>25</v>
      </c>
      <c r="G2267" s="1" t="s">
        <v>29</v>
      </c>
      <c r="H2267" s="1" t="s">
        <v>12</v>
      </c>
      <c r="I2267" s="12">
        <f>car_price_prediction_[[#This Row],[Mileage]]/1000</f>
        <v>146.12299999999999</v>
      </c>
      <c r="J2267" s="5">
        <v>146123</v>
      </c>
      <c r="K2267" s="1" t="s">
        <v>25</v>
      </c>
      <c r="L2267" s="5">
        <f>car_price_prediction_[[#This Row],[Price]]/100</f>
        <v>78887.03</v>
      </c>
      <c r="M2267">
        <v>7888703</v>
      </c>
      <c r="N2267" s="1" t="s">
        <v>41</v>
      </c>
      <c r="O2267" s="1">
        <f>IF(IFERROR(VLOOKUP(car_price_prediction_[[#This Row],[Car ID]],A2268:A4767,1,FALSE),0),1,0)</f>
        <v>0</v>
      </c>
    </row>
    <row r="2268" spans="1:15" x14ac:dyDescent="0.25">
      <c r="A2268">
        <v>2267</v>
      </c>
      <c r="B2268" s="1" t="s">
        <v>10</v>
      </c>
      <c r="C2268" s="1">
        <f>car_price_prediction_[[#This Row],[Year2]]</f>
        <v>2021</v>
      </c>
      <c r="D2268">
        <v>2021</v>
      </c>
      <c r="E2268">
        <f>car_price_prediction_[[#This Row],[Engine Size]]/10</f>
        <v>5.8</v>
      </c>
      <c r="F2268">
        <v>58</v>
      </c>
      <c r="G2268" s="1" t="s">
        <v>16</v>
      </c>
      <c r="H2268" s="1" t="s">
        <v>12</v>
      </c>
      <c r="I2268" s="12">
        <f>car_price_prediction_[[#This Row],[Mileage]]/1000</f>
        <v>28.67</v>
      </c>
      <c r="J2268" s="5">
        <v>28670</v>
      </c>
      <c r="K2268" s="1" t="s">
        <v>13</v>
      </c>
      <c r="L2268" s="5">
        <f>car_price_prediction_[[#This Row],[Price]]/100</f>
        <v>97778.49</v>
      </c>
      <c r="M2268">
        <v>9777849</v>
      </c>
      <c r="N2268" s="1" t="s">
        <v>23</v>
      </c>
      <c r="O2268" s="1">
        <f>IF(IFERROR(VLOOKUP(car_price_prediction_[[#This Row],[Car ID]],A2269:A4768,1,FALSE),0),1,0)</f>
        <v>0</v>
      </c>
    </row>
    <row r="2269" spans="1:15" x14ac:dyDescent="0.25">
      <c r="A2269">
        <v>2268</v>
      </c>
      <c r="B2269" s="1" t="s">
        <v>30</v>
      </c>
      <c r="C2269" s="1">
        <f>car_price_prediction_[[#This Row],[Year2]]</f>
        <v>2014</v>
      </c>
      <c r="D2269">
        <v>2014</v>
      </c>
      <c r="E2269">
        <f>car_price_prediction_[[#This Row],[Engine Size]]/10</f>
        <v>5.7</v>
      </c>
      <c r="F2269">
        <v>57</v>
      </c>
      <c r="G2269" s="1" t="s">
        <v>16</v>
      </c>
      <c r="H2269" s="1" t="s">
        <v>22</v>
      </c>
      <c r="I2269" s="12">
        <f>car_price_prediction_[[#This Row],[Mileage]]/1000</f>
        <v>10.236000000000001</v>
      </c>
      <c r="J2269" s="5">
        <v>10236</v>
      </c>
      <c r="K2269" s="1" t="s">
        <v>13</v>
      </c>
      <c r="L2269" s="5">
        <f>car_price_prediction_[[#This Row],[Price]]/100</f>
        <v>25551.25</v>
      </c>
      <c r="M2269">
        <v>2555125</v>
      </c>
      <c r="N2269" s="1" t="s">
        <v>31</v>
      </c>
      <c r="O2269" s="1">
        <f>IF(IFERROR(VLOOKUP(car_price_prediction_[[#This Row],[Car ID]],A2270:A4769,1,FALSE),0),1,0)</f>
        <v>0</v>
      </c>
    </row>
    <row r="2270" spans="1:15" x14ac:dyDescent="0.25">
      <c r="A2270">
        <v>2269</v>
      </c>
      <c r="B2270" s="1" t="s">
        <v>36</v>
      </c>
      <c r="C2270" s="1">
        <f>car_price_prediction_[[#This Row],[Year2]]</f>
        <v>2003</v>
      </c>
      <c r="D2270">
        <v>2003</v>
      </c>
      <c r="E2270">
        <f>car_price_prediction_[[#This Row],[Engine Size]]/10</f>
        <v>2.7</v>
      </c>
      <c r="F2270">
        <v>27</v>
      </c>
      <c r="G2270" s="1" t="s">
        <v>29</v>
      </c>
      <c r="H2270" s="1" t="s">
        <v>12</v>
      </c>
      <c r="I2270" s="12">
        <f>car_price_prediction_[[#This Row],[Mileage]]/1000</f>
        <v>35.567999999999998</v>
      </c>
      <c r="J2270" s="5">
        <v>35568</v>
      </c>
      <c r="K2270" s="1" t="s">
        <v>17</v>
      </c>
      <c r="L2270" s="5">
        <f>car_price_prediction_[[#This Row],[Price]]/100</f>
        <v>18375.990000000002</v>
      </c>
      <c r="M2270">
        <v>1837599</v>
      </c>
      <c r="N2270" s="1" t="s">
        <v>41</v>
      </c>
      <c r="O2270" s="1">
        <f>IF(IFERROR(VLOOKUP(car_price_prediction_[[#This Row],[Car ID]],A2271:A4770,1,FALSE),0),1,0)</f>
        <v>0</v>
      </c>
    </row>
    <row r="2271" spans="1:15" x14ac:dyDescent="0.25">
      <c r="A2271">
        <v>2270</v>
      </c>
      <c r="B2271" s="1" t="s">
        <v>30</v>
      </c>
      <c r="C2271" s="1">
        <f>car_price_prediction_[[#This Row],[Year2]]</f>
        <v>2011</v>
      </c>
      <c r="D2271">
        <v>2011</v>
      </c>
      <c r="E2271">
        <f>car_price_prediction_[[#This Row],[Engine Size]]/10</f>
        <v>3.9</v>
      </c>
      <c r="F2271">
        <v>39</v>
      </c>
      <c r="G2271" s="1" t="s">
        <v>16</v>
      </c>
      <c r="H2271" s="1" t="s">
        <v>12</v>
      </c>
      <c r="I2271" s="12">
        <f>car_price_prediction_[[#This Row],[Mileage]]/1000</f>
        <v>107.327</v>
      </c>
      <c r="J2271" s="5">
        <v>107327</v>
      </c>
      <c r="K2271" s="1" t="s">
        <v>25</v>
      </c>
      <c r="L2271" s="5">
        <f>car_price_prediction_[[#This Row],[Price]]/100</f>
        <v>54466.86</v>
      </c>
      <c r="M2271">
        <v>5446686</v>
      </c>
      <c r="N2271" s="1" t="s">
        <v>45</v>
      </c>
      <c r="O2271" s="1">
        <f>IF(IFERROR(VLOOKUP(car_price_prediction_[[#This Row],[Car ID]],A2272:A4771,1,FALSE),0),1,0)</f>
        <v>0</v>
      </c>
    </row>
    <row r="2272" spans="1:15" x14ac:dyDescent="0.25">
      <c r="A2272">
        <v>2271</v>
      </c>
      <c r="B2272" s="1" t="s">
        <v>30</v>
      </c>
      <c r="C2272" s="1">
        <f>car_price_prediction_[[#This Row],[Year2]]</f>
        <v>2005</v>
      </c>
      <c r="D2272">
        <v>2005</v>
      </c>
      <c r="E2272">
        <f>car_price_prediction_[[#This Row],[Engine Size]]/10</f>
        <v>5.5</v>
      </c>
      <c r="F2272">
        <v>55</v>
      </c>
      <c r="G2272" s="1" t="s">
        <v>11</v>
      </c>
      <c r="H2272" s="1" t="s">
        <v>22</v>
      </c>
      <c r="I2272" s="12">
        <f>car_price_prediction_[[#This Row],[Mileage]]/1000</f>
        <v>255.745</v>
      </c>
      <c r="J2272" s="5">
        <v>255745</v>
      </c>
      <c r="K2272" s="1" t="s">
        <v>13</v>
      </c>
      <c r="L2272" s="5">
        <f>car_price_prediction_[[#This Row],[Price]]/100</f>
        <v>83758.570000000007</v>
      </c>
      <c r="M2272">
        <v>8375857</v>
      </c>
      <c r="N2272" s="1" t="s">
        <v>48</v>
      </c>
      <c r="O2272" s="1">
        <f>IF(IFERROR(VLOOKUP(car_price_prediction_[[#This Row],[Car ID]],A2273:A4772,1,FALSE),0),1,0)</f>
        <v>0</v>
      </c>
    </row>
    <row r="2273" spans="1:15" x14ac:dyDescent="0.25">
      <c r="A2273">
        <v>2272</v>
      </c>
      <c r="B2273" s="1" t="s">
        <v>10</v>
      </c>
      <c r="C2273" s="1">
        <f>car_price_prediction_[[#This Row],[Year2]]</f>
        <v>2018</v>
      </c>
      <c r="D2273">
        <v>2018</v>
      </c>
      <c r="E2273">
        <f>car_price_prediction_[[#This Row],[Engine Size]]/10</f>
        <v>1</v>
      </c>
      <c r="F2273">
        <v>10</v>
      </c>
      <c r="G2273" s="1" t="s">
        <v>21</v>
      </c>
      <c r="H2273" s="1" t="s">
        <v>22</v>
      </c>
      <c r="I2273" s="12">
        <f>car_price_prediction_[[#This Row],[Mileage]]/1000</f>
        <v>278.49599999999998</v>
      </c>
      <c r="J2273" s="5">
        <v>278496</v>
      </c>
      <c r="K2273" s="1" t="s">
        <v>13</v>
      </c>
      <c r="L2273" s="5">
        <f>car_price_prediction_[[#This Row],[Price]]/100</f>
        <v>8784.7099999999991</v>
      </c>
      <c r="M2273">
        <v>878471</v>
      </c>
      <c r="N2273" s="1" t="s">
        <v>23</v>
      </c>
      <c r="O2273" s="1">
        <f>IF(IFERROR(VLOOKUP(car_price_prediction_[[#This Row],[Car ID]],A2274:A4773,1,FALSE),0),1,0)</f>
        <v>0</v>
      </c>
    </row>
    <row r="2274" spans="1:15" x14ac:dyDescent="0.25">
      <c r="A2274">
        <v>2273</v>
      </c>
      <c r="B2274" s="1" t="s">
        <v>30</v>
      </c>
      <c r="C2274" s="1">
        <f>car_price_prediction_[[#This Row],[Year2]]</f>
        <v>2003</v>
      </c>
      <c r="D2274">
        <v>2003</v>
      </c>
      <c r="E2274">
        <f>car_price_prediction_[[#This Row],[Engine Size]]/10</f>
        <v>5.0999999999999996</v>
      </c>
      <c r="F2274">
        <v>51</v>
      </c>
      <c r="G2274" s="1" t="s">
        <v>21</v>
      </c>
      <c r="H2274" s="1" t="s">
        <v>12</v>
      </c>
      <c r="I2274" s="12">
        <f>car_price_prediction_[[#This Row],[Mileage]]/1000</f>
        <v>125.721</v>
      </c>
      <c r="J2274" s="5">
        <v>125721</v>
      </c>
      <c r="K2274" s="1" t="s">
        <v>13</v>
      </c>
      <c r="L2274" s="5">
        <f>car_price_prediction_[[#This Row],[Price]]/100</f>
        <v>99578.74</v>
      </c>
      <c r="M2274">
        <v>9957874</v>
      </c>
      <c r="N2274" s="1" t="s">
        <v>42</v>
      </c>
      <c r="O2274" s="1">
        <f>IF(IFERROR(VLOOKUP(car_price_prediction_[[#This Row],[Car ID]],A2275:A4774,1,FALSE),0),1,0)</f>
        <v>0</v>
      </c>
    </row>
    <row r="2275" spans="1:15" x14ac:dyDescent="0.25">
      <c r="A2275">
        <v>2274</v>
      </c>
      <c r="B2275" s="1" t="s">
        <v>30</v>
      </c>
      <c r="C2275" s="1">
        <f>car_price_prediction_[[#This Row],[Year2]]</f>
        <v>2014</v>
      </c>
      <c r="D2275">
        <v>2014</v>
      </c>
      <c r="E2275">
        <f>car_price_prediction_[[#This Row],[Engine Size]]/10</f>
        <v>5.7</v>
      </c>
      <c r="F2275">
        <v>57</v>
      </c>
      <c r="G2275" s="1" t="s">
        <v>21</v>
      </c>
      <c r="H2275" s="1" t="s">
        <v>22</v>
      </c>
      <c r="I2275" s="12">
        <f>car_price_prediction_[[#This Row],[Mileage]]/1000</f>
        <v>259.291</v>
      </c>
      <c r="J2275" s="5">
        <v>259291</v>
      </c>
      <c r="K2275" s="1" t="s">
        <v>17</v>
      </c>
      <c r="L2275" s="5">
        <f>car_price_prediction_[[#This Row],[Price]]/100</f>
        <v>62213.36</v>
      </c>
      <c r="M2275">
        <v>6221336</v>
      </c>
      <c r="N2275" s="1" t="s">
        <v>42</v>
      </c>
      <c r="O2275" s="1">
        <f>IF(IFERROR(VLOOKUP(car_price_prediction_[[#This Row],[Car ID]],A2276:A4775,1,FALSE),0),1,0)</f>
        <v>0</v>
      </c>
    </row>
    <row r="2276" spans="1:15" x14ac:dyDescent="0.25">
      <c r="A2276">
        <v>2275</v>
      </c>
      <c r="B2276" s="1" t="s">
        <v>10</v>
      </c>
      <c r="C2276" s="1">
        <f>car_price_prediction_[[#This Row],[Year2]]</f>
        <v>2008</v>
      </c>
      <c r="D2276">
        <v>2008</v>
      </c>
      <c r="E2276">
        <f>car_price_prediction_[[#This Row],[Engine Size]]/10</f>
        <v>1.5</v>
      </c>
      <c r="F2276">
        <v>15</v>
      </c>
      <c r="G2276" s="1" t="s">
        <v>11</v>
      </c>
      <c r="H2276" s="1" t="s">
        <v>12</v>
      </c>
      <c r="I2276" s="12">
        <f>car_price_prediction_[[#This Row],[Mileage]]/1000</f>
        <v>156.22800000000001</v>
      </c>
      <c r="J2276" s="5">
        <v>156228</v>
      </c>
      <c r="K2276" s="1" t="s">
        <v>25</v>
      </c>
      <c r="L2276" s="5">
        <f>car_price_prediction_[[#This Row],[Price]]/100</f>
        <v>97999.47</v>
      </c>
      <c r="M2276">
        <v>9799947</v>
      </c>
      <c r="N2276" s="1" t="s">
        <v>33</v>
      </c>
      <c r="O2276" s="1">
        <f>IF(IFERROR(VLOOKUP(car_price_prediction_[[#This Row],[Car ID]],A2277:A4776,1,FALSE),0),1,0)</f>
        <v>0</v>
      </c>
    </row>
    <row r="2277" spans="1:15" x14ac:dyDescent="0.25">
      <c r="A2277">
        <v>2276</v>
      </c>
      <c r="B2277" s="1" t="s">
        <v>15</v>
      </c>
      <c r="C2277" s="1">
        <f>car_price_prediction_[[#This Row],[Year2]]</f>
        <v>2004</v>
      </c>
      <c r="D2277">
        <v>2004</v>
      </c>
      <c r="E2277">
        <f>car_price_prediction_[[#This Row],[Engine Size]]/10</f>
        <v>1.8</v>
      </c>
      <c r="F2277">
        <v>18</v>
      </c>
      <c r="G2277" s="1" t="s">
        <v>11</v>
      </c>
      <c r="H2277" s="1" t="s">
        <v>22</v>
      </c>
      <c r="I2277" s="12">
        <f>car_price_prediction_[[#This Row],[Mileage]]/1000</f>
        <v>55.904000000000003</v>
      </c>
      <c r="J2277" s="5">
        <v>55904</v>
      </c>
      <c r="K2277" s="1" t="s">
        <v>17</v>
      </c>
      <c r="L2277" s="5">
        <f>car_price_prediction_[[#This Row],[Price]]/100</f>
        <v>39682.76</v>
      </c>
      <c r="M2277">
        <v>3968276</v>
      </c>
      <c r="N2277" s="1" t="s">
        <v>35</v>
      </c>
      <c r="O2277" s="1">
        <f>IF(IFERROR(VLOOKUP(car_price_prediction_[[#This Row],[Car ID]],A2278:A4777,1,FALSE),0),1,0)</f>
        <v>0</v>
      </c>
    </row>
    <row r="2278" spans="1:15" x14ac:dyDescent="0.25">
      <c r="A2278">
        <v>2277</v>
      </c>
      <c r="B2278" s="1" t="s">
        <v>43</v>
      </c>
      <c r="C2278" s="1">
        <f>car_price_prediction_[[#This Row],[Year2]]</f>
        <v>2012</v>
      </c>
      <c r="D2278">
        <v>2012</v>
      </c>
      <c r="E2278">
        <f>car_price_prediction_[[#This Row],[Engine Size]]/10</f>
        <v>5.8</v>
      </c>
      <c r="F2278">
        <v>58</v>
      </c>
      <c r="G2278" s="1" t="s">
        <v>11</v>
      </c>
      <c r="H2278" s="1" t="s">
        <v>22</v>
      </c>
      <c r="I2278" s="12">
        <f>car_price_prediction_[[#This Row],[Mileage]]/1000</f>
        <v>278.25200000000001</v>
      </c>
      <c r="J2278" s="5">
        <v>278252</v>
      </c>
      <c r="K2278" s="1" t="s">
        <v>25</v>
      </c>
      <c r="L2278" s="5">
        <f>car_price_prediction_[[#This Row],[Price]]/100</f>
        <v>48512.26</v>
      </c>
      <c r="M2278">
        <v>4851226</v>
      </c>
      <c r="N2278" s="1" t="s">
        <v>44</v>
      </c>
      <c r="O2278" s="1">
        <f>IF(IFERROR(VLOOKUP(car_price_prediction_[[#This Row],[Car ID]],A2279:A4778,1,FALSE),0),1,0)</f>
        <v>0</v>
      </c>
    </row>
    <row r="2279" spans="1:15" x14ac:dyDescent="0.25">
      <c r="A2279">
        <v>2278</v>
      </c>
      <c r="B2279" s="1" t="s">
        <v>24</v>
      </c>
      <c r="C2279" s="1">
        <f>car_price_prediction_[[#This Row],[Year2]]</f>
        <v>2022</v>
      </c>
      <c r="D2279">
        <v>2022</v>
      </c>
      <c r="E2279">
        <f>car_price_prediction_[[#This Row],[Engine Size]]/10</f>
        <v>3.7</v>
      </c>
      <c r="F2279">
        <v>37</v>
      </c>
      <c r="G2279" s="1" t="s">
        <v>29</v>
      </c>
      <c r="H2279" s="1" t="s">
        <v>12</v>
      </c>
      <c r="I2279" s="12">
        <f>car_price_prediction_[[#This Row],[Mileage]]/1000</f>
        <v>264.99700000000001</v>
      </c>
      <c r="J2279" s="5">
        <v>264997</v>
      </c>
      <c r="K2279" s="1" t="s">
        <v>25</v>
      </c>
      <c r="L2279" s="5">
        <f>car_price_prediction_[[#This Row],[Price]]/100</f>
        <v>76474.34</v>
      </c>
      <c r="M2279">
        <v>7647434</v>
      </c>
      <c r="N2279" s="1" t="s">
        <v>34</v>
      </c>
      <c r="O2279" s="1">
        <f>IF(IFERROR(VLOOKUP(car_price_prediction_[[#This Row],[Car ID]],A2280:A4779,1,FALSE),0),1,0)</f>
        <v>0</v>
      </c>
    </row>
    <row r="2280" spans="1:15" x14ac:dyDescent="0.25">
      <c r="A2280">
        <v>2279</v>
      </c>
      <c r="B2280" s="1" t="s">
        <v>19</v>
      </c>
      <c r="C2280" s="1">
        <f>car_price_prediction_[[#This Row],[Year2]]</f>
        <v>2017</v>
      </c>
      <c r="D2280">
        <v>2017</v>
      </c>
      <c r="E2280">
        <f>car_price_prediction_[[#This Row],[Engine Size]]/10</f>
        <v>1.1000000000000001</v>
      </c>
      <c r="F2280">
        <v>11</v>
      </c>
      <c r="G2280" s="1" t="s">
        <v>11</v>
      </c>
      <c r="H2280" s="1" t="s">
        <v>22</v>
      </c>
      <c r="I2280" s="12">
        <f>car_price_prediction_[[#This Row],[Mileage]]/1000</f>
        <v>266.32</v>
      </c>
      <c r="J2280" s="5">
        <v>266320</v>
      </c>
      <c r="K2280" s="1" t="s">
        <v>13</v>
      </c>
      <c r="L2280" s="5">
        <f>car_price_prediction_[[#This Row],[Price]]/100</f>
        <v>80306.539999999994</v>
      </c>
      <c r="M2280">
        <v>8030654</v>
      </c>
      <c r="N2280" s="1" t="s">
        <v>20</v>
      </c>
      <c r="O2280" s="1">
        <f>IF(IFERROR(VLOOKUP(car_price_prediction_[[#This Row],[Car ID]],A2281:A4780,1,FALSE),0),1,0)</f>
        <v>0</v>
      </c>
    </row>
    <row r="2281" spans="1:15" x14ac:dyDescent="0.25">
      <c r="A2281">
        <v>2280</v>
      </c>
      <c r="B2281" s="1" t="s">
        <v>24</v>
      </c>
      <c r="C2281" s="1">
        <f>car_price_prediction_[[#This Row],[Year2]]</f>
        <v>2004</v>
      </c>
      <c r="D2281">
        <v>2004</v>
      </c>
      <c r="E2281">
        <f>car_price_prediction_[[#This Row],[Engine Size]]/10</f>
        <v>2.2999999999999998</v>
      </c>
      <c r="F2281">
        <v>23</v>
      </c>
      <c r="G2281" s="1" t="s">
        <v>16</v>
      </c>
      <c r="H2281" s="1" t="s">
        <v>12</v>
      </c>
      <c r="I2281" s="12">
        <f>car_price_prediction_[[#This Row],[Mileage]]/1000</f>
        <v>100.459</v>
      </c>
      <c r="J2281" s="5">
        <v>100459</v>
      </c>
      <c r="K2281" s="1" t="s">
        <v>13</v>
      </c>
      <c r="L2281" s="5">
        <f>car_price_prediction_[[#This Row],[Price]]/100</f>
        <v>27138.14</v>
      </c>
      <c r="M2281">
        <v>2713814</v>
      </c>
      <c r="N2281" s="1" t="s">
        <v>32</v>
      </c>
      <c r="O2281" s="1">
        <f>IF(IFERROR(VLOOKUP(car_price_prediction_[[#This Row],[Car ID]],A2282:A4781,1,FALSE),0),1,0)</f>
        <v>0</v>
      </c>
    </row>
    <row r="2282" spans="1:15" x14ac:dyDescent="0.25">
      <c r="A2282">
        <v>2281</v>
      </c>
      <c r="B2282" s="1" t="s">
        <v>24</v>
      </c>
      <c r="C2282" s="1">
        <f>car_price_prediction_[[#This Row],[Year2]]</f>
        <v>2015</v>
      </c>
      <c r="D2282">
        <v>2015</v>
      </c>
      <c r="E2282">
        <f>car_price_prediction_[[#This Row],[Engine Size]]/10</f>
        <v>3.2</v>
      </c>
      <c r="F2282">
        <v>32</v>
      </c>
      <c r="G2282" s="1" t="s">
        <v>29</v>
      </c>
      <c r="H2282" s="1" t="s">
        <v>22</v>
      </c>
      <c r="I2282" s="12">
        <f>car_price_prediction_[[#This Row],[Mileage]]/1000</f>
        <v>185.922</v>
      </c>
      <c r="J2282" s="5">
        <v>185922</v>
      </c>
      <c r="K2282" s="1" t="s">
        <v>13</v>
      </c>
      <c r="L2282" s="5">
        <f>car_price_prediction_[[#This Row],[Price]]/100</f>
        <v>9333.11</v>
      </c>
      <c r="M2282">
        <v>933311</v>
      </c>
      <c r="N2282" s="1" t="s">
        <v>26</v>
      </c>
      <c r="O2282" s="1">
        <f>IF(IFERROR(VLOOKUP(car_price_prediction_[[#This Row],[Car ID]],A2283:A4782,1,FALSE),0),1,0)</f>
        <v>0</v>
      </c>
    </row>
    <row r="2283" spans="1:15" x14ac:dyDescent="0.25">
      <c r="A2283">
        <v>2282</v>
      </c>
      <c r="B2283" s="1" t="s">
        <v>36</v>
      </c>
      <c r="C2283" s="1">
        <f>car_price_prediction_[[#This Row],[Year2]]</f>
        <v>2018</v>
      </c>
      <c r="D2283">
        <v>2018</v>
      </c>
      <c r="E2283">
        <f>car_price_prediction_[[#This Row],[Engine Size]]/10</f>
        <v>4.5</v>
      </c>
      <c r="F2283">
        <v>45</v>
      </c>
      <c r="G2283" s="1" t="s">
        <v>29</v>
      </c>
      <c r="H2283" s="1" t="s">
        <v>12</v>
      </c>
      <c r="I2283" s="12">
        <f>car_price_prediction_[[#This Row],[Mileage]]/1000</f>
        <v>137.90100000000001</v>
      </c>
      <c r="J2283" s="5">
        <v>137901</v>
      </c>
      <c r="K2283" s="1" t="s">
        <v>13</v>
      </c>
      <c r="L2283" s="5">
        <f>car_price_prediction_[[#This Row],[Price]]/100</f>
        <v>8740.52</v>
      </c>
      <c r="M2283">
        <v>874052</v>
      </c>
      <c r="N2283" s="1" t="s">
        <v>41</v>
      </c>
      <c r="O2283" s="1">
        <f>IF(IFERROR(VLOOKUP(car_price_prediction_[[#This Row],[Car ID]],A2284:A4783,1,FALSE),0),1,0)</f>
        <v>0</v>
      </c>
    </row>
    <row r="2284" spans="1:15" x14ac:dyDescent="0.25">
      <c r="A2284">
        <v>2283</v>
      </c>
      <c r="B2284" s="1" t="s">
        <v>43</v>
      </c>
      <c r="C2284" s="1">
        <f>car_price_prediction_[[#This Row],[Year2]]</f>
        <v>2013</v>
      </c>
      <c r="D2284">
        <v>2013</v>
      </c>
      <c r="E2284">
        <f>car_price_prediction_[[#This Row],[Engine Size]]/10</f>
        <v>4.7</v>
      </c>
      <c r="F2284">
        <v>47</v>
      </c>
      <c r="G2284" s="1" t="s">
        <v>29</v>
      </c>
      <c r="H2284" s="1" t="s">
        <v>22</v>
      </c>
      <c r="I2284" s="12">
        <f>car_price_prediction_[[#This Row],[Mileage]]/1000</f>
        <v>123.22499999999999</v>
      </c>
      <c r="J2284" s="5">
        <v>123225</v>
      </c>
      <c r="K2284" s="1" t="s">
        <v>13</v>
      </c>
      <c r="L2284" s="5">
        <f>car_price_prediction_[[#This Row],[Price]]/100</f>
        <v>672.95</v>
      </c>
      <c r="M2284">
        <v>67295</v>
      </c>
      <c r="N2284" s="1" t="s">
        <v>52</v>
      </c>
      <c r="O2284" s="1">
        <f>IF(IFERROR(VLOOKUP(car_price_prediction_[[#This Row],[Car ID]],A2285:A4784,1,FALSE),0),1,0)</f>
        <v>0</v>
      </c>
    </row>
    <row r="2285" spans="1:15" x14ac:dyDescent="0.25">
      <c r="A2285">
        <v>2284</v>
      </c>
      <c r="B2285" s="1" t="s">
        <v>36</v>
      </c>
      <c r="C2285" s="1">
        <f>car_price_prediction_[[#This Row],[Year2]]</f>
        <v>2015</v>
      </c>
      <c r="D2285">
        <v>2015</v>
      </c>
      <c r="E2285">
        <f>car_price_prediction_[[#This Row],[Engine Size]]/10</f>
        <v>6</v>
      </c>
      <c r="F2285">
        <v>60</v>
      </c>
      <c r="G2285" s="1" t="s">
        <v>11</v>
      </c>
      <c r="H2285" s="1" t="s">
        <v>22</v>
      </c>
      <c r="I2285" s="12">
        <f>car_price_prediction_[[#This Row],[Mileage]]/1000</f>
        <v>235.84700000000001</v>
      </c>
      <c r="J2285" s="5">
        <v>235847</v>
      </c>
      <c r="K2285" s="1" t="s">
        <v>25</v>
      </c>
      <c r="L2285" s="5">
        <f>car_price_prediction_[[#This Row],[Price]]/100</f>
        <v>17213.97</v>
      </c>
      <c r="M2285">
        <v>1721397</v>
      </c>
      <c r="N2285" s="1" t="s">
        <v>37</v>
      </c>
      <c r="O2285" s="1">
        <f>IF(IFERROR(VLOOKUP(car_price_prediction_[[#This Row],[Car ID]],A2286:A4785,1,FALSE),0),1,0)</f>
        <v>0</v>
      </c>
    </row>
    <row r="2286" spans="1:15" x14ac:dyDescent="0.25">
      <c r="A2286">
        <v>2285</v>
      </c>
      <c r="B2286" s="1" t="s">
        <v>43</v>
      </c>
      <c r="C2286" s="1">
        <f>car_price_prediction_[[#This Row],[Year2]]</f>
        <v>2014</v>
      </c>
      <c r="D2286">
        <v>2014</v>
      </c>
      <c r="E2286">
        <f>car_price_prediction_[[#This Row],[Engine Size]]/10</f>
        <v>2.4</v>
      </c>
      <c r="F2286">
        <v>24</v>
      </c>
      <c r="G2286" s="1" t="s">
        <v>29</v>
      </c>
      <c r="H2286" s="1" t="s">
        <v>12</v>
      </c>
      <c r="I2286" s="12">
        <f>car_price_prediction_[[#This Row],[Mileage]]/1000</f>
        <v>221.738</v>
      </c>
      <c r="J2286" s="5">
        <v>221738</v>
      </c>
      <c r="K2286" s="1" t="s">
        <v>13</v>
      </c>
      <c r="L2286" s="5">
        <f>car_price_prediction_[[#This Row],[Price]]/100</f>
        <v>52129.23</v>
      </c>
      <c r="M2286">
        <v>5212923</v>
      </c>
      <c r="N2286" s="1" t="s">
        <v>47</v>
      </c>
      <c r="O2286" s="1">
        <f>IF(IFERROR(VLOOKUP(car_price_prediction_[[#This Row],[Car ID]],A2287:A4786,1,FALSE),0),1,0)</f>
        <v>0</v>
      </c>
    </row>
    <row r="2287" spans="1:15" x14ac:dyDescent="0.25">
      <c r="A2287">
        <v>2286</v>
      </c>
      <c r="B2287" s="1" t="s">
        <v>10</v>
      </c>
      <c r="C2287" s="1">
        <f>car_price_prediction_[[#This Row],[Year2]]</f>
        <v>2021</v>
      </c>
      <c r="D2287">
        <v>2021</v>
      </c>
      <c r="E2287">
        <f>car_price_prediction_[[#This Row],[Engine Size]]/10</f>
        <v>3.7</v>
      </c>
      <c r="F2287">
        <v>37</v>
      </c>
      <c r="G2287" s="1" t="s">
        <v>11</v>
      </c>
      <c r="H2287" s="1" t="s">
        <v>22</v>
      </c>
      <c r="I2287" s="12">
        <f>car_price_prediction_[[#This Row],[Mileage]]/1000</f>
        <v>110.893</v>
      </c>
      <c r="J2287" s="5">
        <v>110893</v>
      </c>
      <c r="K2287" s="1" t="s">
        <v>13</v>
      </c>
      <c r="L2287" s="5">
        <f>car_price_prediction_[[#This Row],[Price]]/100</f>
        <v>48790.77</v>
      </c>
      <c r="M2287">
        <v>4879077</v>
      </c>
      <c r="N2287" s="1" t="s">
        <v>49</v>
      </c>
      <c r="O2287" s="1">
        <f>IF(IFERROR(VLOOKUP(car_price_prediction_[[#This Row],[Car ID]],A2288:A4787,1,FALSE),0),1,0)</f>
        <v>0</v>
      </c>
    </row>
    <row r="2288" spans="1:15" x14ac:dyDescent="0.25">
      <c r="A2288">
        <v>2287</v>
      </c>
      <c r="B2288" s="1" t="s">
        <v>10</v>
      </c>
      <c r="C2288" s="1">
        <f>car_price_prediction_[[#This Row],[Year2]]</f>
        <v>2003</v>
      </c>
      <c r="D2288">
        <v>2003</v>
      </c>
      <c r="E2288">
        <f>car_price_prediction_[[#This Row],[Engine Size]]/10</f>
        <v>3.7</v>
      </c>
      <c r="F2288">
        <v>37</v>
      </c>
      <c r="G2288" s="1" t="s">
        <v>11</v>
      </c>
      <c r="H2288" s="1" t="s">
        <v>12</v>
      </c>
      <c r="I2288" s="12">
        <f>car_price_prediction_[[#This Row],[Mileage]]/1000</f>
        <v>242.726</v>
      </c>
      <c r="J2288" s="5">
        <v>242726</v>
      </c>
      <c r="K2288" s="1" t="s">
        <v>17</v>
      </c>
      <c r="L2288" s="5">
        <f>car_price_prediction_[[#This Row],[Price]]/100</f>
        <v>72297.13</v>
      </c>
      <c r="M2288">
        <v>7229713</v>
      </c>
      <c r="N2288" s="1" t="s">
        <v>14</v>
      </c>
      <c r="O2288" s="1">
        <f>IF(IFERROR(VLOOKUP(car_price_prediction_[[#This Row],[Car ID]],A2289:A4788,1,FALSE),0),1,0)</f>
        <v>0</v>
      </c>
    </row>
    <row r="2289" spans="1:15" x14ac:dyDescent="0.25">
      <c r="A2289">
        <v>2288</v>
      </c>
      <c r="B2289" s="1" t="s">
        <v>43</v>
      </c>
      <c r="C2289" s="1">
        <f>car_price_prediction_[[#This Row],[Year2]]</f>
        <v>2006</v>
      </c>
      <c r="D2289">
        <v>2006</v>
      </c>
      <c r="E2289">
        <f>car_price_prediction_[[#This Row],[Engine Size]]/10</f>
        <v>3</v>
      </c>
      <c r="F2289">
        <v>30</v>
      </c>
      <c r="G2289" s="1" t="s">
        <v>29</v>
      </c>
      <c r="H2289" s="1" t="s">
        <v>22</v>
      </c>
      <c r="I2289" s="12">
        <f>car_price_prediction_[[#This Row],[Mileage]]/1000</f>
        <v>196.91399999999999</v>
      </c>
      <c r="J2289" s="5">
        <v>196914</v>
      </c>
      <c r="K2289" s="1" t="s">
        <v>17</v>
      </c>
      <c r="L2289" s="5">
        <f>car_price_prediction_[[#This Row],[Price]]/100</f>
        <v>13522.58</v>
      </c>
      <c r="M2289">
        <v>1352258</v>
      </c>
      <c r="N2289" s="1" t="s">
        <v>44</v>
      </c>
      <c r="O2289" s="1">
        <f>IF(IFERROR(VLOOKUP(car_price_prediction_[[#This Row],[Car ID]],A2290:A4789,1,FALSE),0),1,0)</f>
        <v>0</v>
      </c>
    </row>
    <row r="2290" spans="1:15" x14ac:dyDescent="0.25">
      <c r="A2290">
        <v>2289</v>
      </c>
      <c r="B2290" s="1" t="s">
        <v>30</v>
      </c>
      <c r="C2290" s="1">
        <f>car_price_prediction_[[#This Row],[Year2]]</f>
        <v>2015</v>
      </c>
      <c r="D2290">
        <v>2015</v>
      </c>
      <c r="E2290">
        <f>car_price_prediction_[[#This Row],[Engine Size]]/10</f>
        <v>1.8</v>
      </c>
      <c r="F2290">
        <v>18</v>
      </c>
      <c r="G2290" s="1" t="s">
        <v>21</v>
      </c>
      <c r="H2290" s="1" t="s">
        <v>22</v>
      </c>
      <c r="I2290" s="12">
        <f>car_price_prediction_[[#This Row],[Mileage]]/1000</f>
        <v>181.88</v>
      </c>
      <c r="J2290" s="5">
        <v>181880</v>
      </c>
      <c r="K2290" s="1" t="s">
        <v>25</v>
      </c>
      <c r="L2290" s="5">
        <f>car_price_prediction_[[#This Row],[Price]]/100</f>
        <v>66261.25</v>
      </c>
      <c r="M2290">
        <v>6626125</v>
      </c>
      <c r="N2290" s="1" t="s">
        <v>31</v>
      </c>
      <c r="O2290" s="1">
        <f>IF(IFERROR(VLOOKUP(car_price_prediction_[[#This Row],[Car ID]],A2291:A4790,1,FALSE),0),1,0)</f>
        <v>0</v>
      </c>
    </row>
    <row r="2291" spans="1:15" x14ac:dyDescent="0.25">
      <c r="A2291">
        <v>2290</v>
      </c>
      <c r="B2291" s="1" t="s">
        <v>15</v>
      </c>
      <c r="C2291" s="1">
        <f>car_price_prediction_[[#This Row],[Year2]]</f>
        <v>2023</v>
      </c>
      <c r="D2291">
        <v>2023</v>
      </c>
      <c r="E2291">
        <f>car_price_prediction_[[#This Row],[Engine Size]]/10</f>
        <v>5.9</v>
      </c>
      <c r="F2291">
        <v>59</v>
      </c>
      <c r="G2291" s="1" t="s">
        <v>21</v>
      </c>
      <c r="H2291" s="1" t="s">
        <v>12</v>
      </c>
      <c r="I2291" s="12">
        <f>car_price_prediction_[[#This Row],[Mileage]]/1000</f>
        <v>6.6109999999999998</v>
      </c>
      <c r="J2291" s="5">
        <v>6611</v>
      </c>
      <c r="K2291" s="1" t="s">
        <v>25</v>
      </c>
      <c r="L2291" s="5">
        <f>car_price_prediction_[[#This Row],[Price]]/100</f>
        <v>63555.14</v>
      </c>
      <c r="M2291">
        <v>6355514</v>
      </c>
      <c r="N2291" s="1" t="s">
        <v>51</v>
      </c>
      <c r="O2291" s="1">
        <f>IF(IFERROR(VLOOKUP(car_price_prediction_[[#This Row],[Car ID]],A2292:A4791,1,FALSE),0),1,0)</f>
        <v>0</v>
      </c>
    </row>
    <row r="2292" spans="1:15" x14ac:dyDescent="0.25">
      <c r="A2292">
        <v>2291</v>
      </c>
      <c r="B2292" s="1" t="s">
        <v>30</v>
      </c>
      <c r="C2292" s="1">
        <f>car_price_prediction_[[#This Row],[Year2]]</f>
        <v>2021</v>
      </c>
      <c r="D2292">
        <v>2021</v>
      </c>
      <c r="E2292">
        <f>car_price_prediction_[[#This Row],[Engine Size]]/10</f>
        <v>5.3</v>
      </c>
      <c r="F2292">
        <v>53</v>
      </c>
      <c r="G2292" s="1" t="s">
        <v>29</v>
      </c>
      <c r="H2292" s="1" t="s">
        <v>22</v>
      </c>
      <c r="I2292" s="12">
        <f>car_price_prediction_[[#This Row],[Mileage]]/1000</f>
        <v>247.524</v>
      </c>
      <c r="J2292" s="5">
        <v>247524</v>
      </c>
      <c r="K2292" s="1" t="s">
        <v>17</v>
      </c>
      <c r="L2292" s="5">
        <f>car_price_prediction_[[#This Row],[Price]]/100</f>
        <v>27193.86</v>
      </c>
      <c r="M2292">
        <v>2719386</v>
      </c>
      <c r="N2292" s="1" t="s">
        <v>42</v>
      </c>
      <c r="O2292" s="1">
        <f>IF(IFERROR(VLOOKUP(car_price_prediction_[[#This Row],[Car ID]],A2293:A4792,1,FALSE),0),1,0)</f>
        <v>0</v>
      </c>
    </row>
    <row r="2293" spans="1:15" x14ac:dyDescent="0.25">
      <c r="A2293">
        <v>2292</v>
      </c>
      <c r="B2293" s="1" t="s">
        <v>15</v>
      </c>
      <c r="C2293" s="1">
        <f>car_price_prediction_[[#This Row],[Year2]]</f>
        <v>2020</v>
      </c>
      <c r="D2293">
        <v>2020</v>
      </c>
      <c r="E2293">
        <f>car_price_prediction_[[#This Row],[Engine Size]]/10</f>
        <v>3.5</v>
      </c>
      <c r="F2293">
        <v>35</v>
      </c>
      <c r="G2293" s="1" t="s">
        <v>21</v>
      </c>
      <c r="H2293" s="1" t="s">
        <v>22</v>
      </c>
      <c r="I2293" s="12">
        <f>car_price_prediction_[[#This Row],[Mileage]]/1000</f>
        <v>295.18700000000001</v>
      </c>
      <c r="J2293" s="5">
        <v>295187</v>
      </c>
      <c r="K2293" s="1" t="s">
        <v>17</v>
      </c>
      <c r="L2293" s="5">
        <f>car_price_prediction_[[#This Row],[Price]]/100</f>
        <v>56527.43</v>
      </c>
      <c r="M2293">
        <v>5652743</v>
      </c>
      <c r="N2293" s="1" t="s">
        <v>35</v>
      </c>
      <c r="O2293" s="1">
        <f>IF(IFERROR(VLOOKUP(car_price_prediction_[[#This Row],[Car ID]],A2294:A4793,1,FALSE),0),1,0)</f>
        <v>0</v>
      </c>
    </row>
    <row r="2294" spans="1:15" x14ac:dyDescent="0.25">
      <c r="A2294">
        <v>2293</v>
      </c>
      <c r="B2294" s="1" t="s">
        <v>36</v>
      </c>
      <c r="C2294" s="1">
        <f>car_price_prediction_[[#This Row],[Year2]]</f>
        <v>2021</v>
      </c>
      <c r="D2294">
        <v>2021</v>
      </c>
      <c r="E2294">
        <f>car_price_prediction_[[#This Row],[Engine Size]]/10</f>
        <v>4</v>
      </c>
      <c r="F2294">
        <v>40</v>
      </c>
      <c r="G2294" s="1" t="s">
        <v>16</v>
      </c>
      <c r="H2294" s="1" t="s">
        <v>12</v>
      </c>
      <c r="I2294" s="12">
        <f>car_price_prediction_[[#This Row],[Mileage]]/1000</f>
        <v>136.34299999999999</v>
      </c>
      <c r="J2294" s="5">
        <v>136343</v>
      </c>
      <c r="K2294" s="1" t="s">
        <v>13</v>
      </c>
      <c r="L2294" s="5">
        <f>car_price_prediction_[[#This Row],[Price]]/100</f>
        <v>26109.68</v>
      </c>
      <c r="M2294">
        <v>2610968</v>
      </c>
      <c r="N2294" s="1" t="s">
        <v>41</v>
      </c>
      <c r="O2294" s="1">
        <f>IF(IFERROR(VLOOKUP(car_price_prediction_[[#This Row],[Car ID]],A2295:A4794,1,FALSE),0),1,0)</f>
        <v>0</v>
      </c>
    </row>
    <row r="2295" spans="1:15" x14ac:dyDescent="0.25">
      <c r="A2295">
        <v>2294</v>
      </c>
      <c r="B2295" s="1" t="s">
        <v>15</v>
      </c>
      <c r="C2295" s="1">
        <f>car_price_prediction_[[#This Row],[Year2]]</f>
        <v>2020</v>
      </c>
      <c r="D2295">
        <v>2020</v>
      </c>
      <c r="E2295">
        <f>car_price_prediction_[[#This Row],[Engine Size]]/10</f>
        <v>2.1</v>
      </c>
      <c r="F2295">
        <v>21</v>
      </c>
      <c r="G2295" s="1" t="s">
        <v>16</v>
      </c>
      <c r="H2295" s="1" t="s">
        <v>22</v>
      </c>
      <c r="I2295" s="12">
        <f>car_price_prediction_[[#This Row],[Mileage]]/1000</f>
        <v>190.191</v>
      </c>
      <c r="J2295" s="5">
        <v>190191</v>
      </c>
      <c r="K2295" s="1" t="s">
        <v>13</v>
      </c>
      <c r="L2295" s="5">
        <f>car_price_prediction_[[#This Row],[Price]]/100</f>
        <v>18957.689999999999</v>
      </c>
      <c r="M2295">
        <v>1895769</v>
      </c>
      <c r="N2295" s="1" t="s">
        <v>35</v>
      </c>
      <c r="O2295" s="1">
        <f>IF(IFERROR(VLOOKUP(car_price_prediction_[[#This Row],[Car ID]],A2296:A4795,1,FALSE),0),1,0)</f>
        <v>0</v>
      </c>
    </row>
    <row r="2296" spans="1:15" x14ac:dyDescent="0.25">
      <c r="A2296">
        <v>2295</v>
      </c>
      <c r="B2296" s="1" t="s">
        <v>36</v>
      </c>
      <c r="C2296" s="1">
        <f>car_price_prediction_[[#This Row],[Year2]]</f>
        <v>2007</v>
      </c>
      <c r="D2296">
        <v>2007</v>
      </c>
      <c r="E2296">
        <f>car_price_prediction_[[#This Row],[Engine Size]]/10</f>
        <v>3.7</v>
      </c>
      <c r="F2296">
        <v>37</v>
      </c>
      <c r="G2296" s="1" t="s">
        <v>11</v>
      </c>
      <c r="H2296" s="1" t="s">
        <v>12</v>
      </c>
      <c r="I2296" s="12">
        <f>car_price_prediction_[[#This Row],[Mileage]]/1000</f>
        <v>142.64500000000001</v>
      </c>
      <c r="J2296" s="5">
        <v>142645</v>
      </c>
      <c r="K2296" s="1" t="s">
        <v>25</v>
      </c>
      <c r="L2296" s="5">
        <f>car_price_prediction_[[#This Row],[Price]]/100</f>
        <v>59447.82</v>
      </c>
      <c r="M2296">
        <v>5944782</v>
      </c>
      <c r="N2296" s="1" t="s">
        <v>37</v>
      </c>
      <c r="O2296" s="1">
        <f>IF(IFERROR(VLOOKUP(car_price_prediction_[[#This Row],[Car ID]],A2297:A4796,1,FALSE),0),1,0)</f>
        <v>0</v>
      </c>
    </row>
    <row r="2297" spans="1:15" x14ac:dyDescent="0.25">
      <c r="A2297">
        <v>2296</v>
      </c>
      <c r="B2297" s="1" t="s">
        <v>10</v>
      </c>
      <c r="C2297" s="1">
        <f>car_price_prediction_[[#This Row],[Year2]]</f>
        <v>2016</v>
      </c>
      <c r="D2297">
        <v>2016</v>
      </c>
      <c r="E2297">
        <f>car_price_prediction_[[#This Row],[Engine Size]]/10</f>
        <v>4.5</v>
      </c>
      <c r="F2297">
        <v>45</v>
      </c>
      <c r="G2297" s="1" t="s">
        <v>21</v>
      </c>
      <c r="H2297" s="1" t="s">
        <v>12</v>
      </c>
      <c r="I2297" s="12">
        <f>car_price_prediction_[[#This Row],[Mileage]]/1000</f>
        <v>152.48099999999999</v>
      </c>
      <c r="J2297" s="5">
        <v>152481</v>
      </c>
      <c r="K2297" s="1" t="s">
        <v>17</v>
      </c>
      <c r="L2297" s="5">
        <f>car_price_prediction_[[#This Row],[Price]]/100</f>
        <v>97860.06</v>
      </c>
      <c r="M2297">
        <v>9786006</v>
      </c>
      <c r="N2297" s="1" t="s">
        <v>23</v>
      </c>
      <c r="O2297" s="1">
        <f>IF(IFERROR(VLOOKUP(car_price_prediction_[[#This Row],[Car ID]],A2298:A4797,1,FALSE),0),1,0)</f>
        <v>0</v>
      </c>
    </row>
    <row r="2298" spans="1:15" x14ac:dyDescent="0.25">
      <c r="A2298">
        <v>2297</v>
      </c>
      <c r="B2298" s="1" t="s">
        <v>24</v>
      </c>
      <c r="C2298" s="1">
        <f>car_price_prediction_[[#This Row],[Year2]]</f>
        <v>2015</v>
      </c>
      <c r="D2298">
        <v>2015</v>
      </c>
      <c r="E2298">
        <f>car_price_prediction_[[#This Row],[Engine Size]]/10</f>
        <v>3.6</v>
      </c>
      <c r="F2298">
        <v>36</v>
      </c>
      <c r="G2298" s="1" t="s">
        <v>16</v>
      </c>
      <c r="H2298" s="1" t="s">
        <v>12</v>
      </c>
      <c r="I2298" s="12">
        <f>car_price_prediction_[[#This Row],[Mileage]]/1000</f>
        <v>286.608</v>
      </c>
      <c r="J2298" s="5">
        <v>286608</v>
      </c>
      <c r="K2298" s="1" t="s">
        <v>25</v>
      </c>
      <c r="L2298" s="5">
        <f>car_price_prediction_[[#This Row],[Price]]/100</f>
        <v>27508.67</v>
      </c>
      <c r="M2298">
        <v>2750867</v>
      </c>
      <c r="N2298" s="1" t="s">
        <v>26</v>
      </c>
      <c r="O2298" s="1">
        <f>IF(IFERROR(VLOOKUP(car_price_prediction_[[#This Row],[Car ID]],A2299:A4798,1,FALSE),0),1,0)</f>
        <v>0</v>
      </c>
    </row>
    <row r="2299" spans="1:15" x14ac:dyDescent="0.25">
      <c r="A2299">
        <v>2298</v>
      </c>
      <c r="B2299" s="1" t="s">
        <v>10</v>
      </c>
      <c r="C2299" s="1">
        <f>car_price_prediction_[[#This Row],[Year2]]</f>
        <v>2022</v>
      </c>
      <c r="D2299">
        <v>2022</v>
      </c>
      <c r="E2299">
        <f>car_price_prediction_[[#This Row],[Engine Size]]/10</f>
        <v>6</v>
      </c>
      <c r="F2299">
        <v>60</v>
      </c>
      <c r="G2299" s="1" t="s">
        <v>29</v>
      </c>
      <c r="H2299" s="1" t="s">
        <v>22</v>
      </c>
      <c r="I2299" s="12">
        <f>car_price_prediction_[[#This Row],[Mileage]]/1000</f>
        <v>249.22</v>
      </c>
      <c r="J2299" s="5">
        <v>249220</v>
      </c>
      <c r="K2299" s="1" t="s">
        <v>13</v>
      </c>
      <c r="L2299" s="5">
        <f>car_price_prediction_[[#This Row],[Price]]/100</f>
        <v>38756.93</v>
      </c>
      <c r="M2299">
        <v>3875693</v>
      </c>
      <c r="N2299" s="1" t="s">
        <v>33</v>
      </c>
      <c r="O2299" s="1">
        <f>IF(IFERROR(VLOOKUP(car_price_prediction_[[#This Row],[Car ID]],A2300:A4799,1,FALSE),0),1,0)</f>
        <v>0</v>
      </c>
    </row>
    <row r="2300" spans="1:15" x14ac:dyDescent="0.25">
      <c r="A2300">
        <v>2299</v>
      </c>
      <c r="B2300" s="1" t="s">
        <v>10</v>
      </c>
      <c r="C2300" s="1">
        <f>car_price_prediction_[[#This Row],[Year2]]</f>
        <v>2009</v>
      </c>
      <c r="D2300">
        <v>2009</v>
      </c>
      <c r="E2300">
        <f>car_price_prediction_[[#This Row],[Engine Size]]/10</f>
        <v>4.0999999999999996</v>
      </c>
      <c r="F2300">
        <v>41</v>
      </c>
      <c r="G2300" s="1" t="s">
        <v>21</v>
      </c>
      <c r="H2300" s="1" t="s">
        <v>22</v>
      </c>
      <c r="I2300" s="12">
        <f>car_price_prediction_[[#This Row],[Mileage]]/1000</f>
        <v>118.523</v>
      </c>
      <c r="J2300" s="5">
        <v>118523</v>
      </c>
      <c r="K2300" s="1" t="s">
        <v>25</v>
      </c>
      <c r="L2300" s="5">
        <f>car_price_prediction_[[#This Row],[Price]]/100</f>
        <v>29374.46</v>
      </c>
      <c r="M2300">
        <v>2937446</v>
      </c>
      <c r="N2300" s="1" t="s">
        <v>33</v>
      </c>
      <c r="O2300" s="1">
        <f>IF(IFERROR(VLOOKUP(car_price_prediction_[[#This Row],[Car ID]],A2301:A4800,1,FALSE),0),1,0)</f>
        <v>0</v>
      </c>
    </row>
    <row r="2301" spans="1:15" x14ac:dyDescent="0.25">
      <c r="A2301">
        <v>2300</v>
      </c>
      <c r="B2301" s="1" t="s">
        <v>24</v>
      </c>
      <c r="C2301" s="1">
        <f>car_price_prediction_[[#This Row],[Year2]]</f>
        <v>2009</v>
      </c>
      <c r="D2301">
        <v>2009</v>
      </c>
      <c r="E2301">
        <f>car_price_prediction_[[#This Row],[Engine Size]]/10</f>
        <v>2.9</v>
      </c>
      <c r="F2301">
        <v>29</v>
      </c>
      <c r="G2301" s="1" t="s">
        <v>16</v>
      </c>
      <c r="H2301" s="1" t="s">
        <v>12</v>
      </c>
      <c r="I2301" s="12">
        <f>car_price_prediction_[[#This Row],[Mileage]]/1000</f>
        <v>20.661999999999999</v>
      </c>
      <c r="J2301" s="5">
        <v>20662</v>
      </c>
      <c r="K2301" s="1" t="s">
        <v>25</v>
      </c>
      <c r="L2301" s="5">
        <f>car_price_prediction_[[#This Row],[Price]]/100</f>
        <v>30313.68</v>
      </c>
      <c r="M2301">
        <v>3031368</v>
      </c>
      <c r="N2301" s="1" t="s">
        <v>32</v>
      </c>
      <c r="O2301" s="1">
        <f>IF(IFERROR(VLOOKUP(car_price_prediction_[[#This Row],[Car ID]],A2302:A4801,1,FALSE),0),1,0)</f>
        <v>0</v>
      </c>
    </row>
    <row r="2302" spans="1:15" x14ac:dyDescent="0.25">
      <c r="A2302">
        <v>2301</v>
      </c>
      <c r="B2302" s="1" t="s">
        <v>15</v>
      </c>
      <c r="C2302" s="1">
        <f>car_price_prediction_[[#This Row],[Year2]]</f>
        <v>2001</v>
      </c>
      <c r="D2302">
        <v>2001</v>
      </c>
      <c r="E2302">
        <f>car_price_prediction_[[#This Row],[Engine Size]]/10</f>
        <v>4.9000000000000004</v>
      </c>
      <c r="F2302">
        <v>49</v>
      </c>
      <c r="G2302" s="1" t="s">
        <v>16</v>
      </c>
      <c r="H2302" s="1" t="s">
        <v>22</v>
      </c>
      <c r="I2302" s="12">
        <f>car_price_prediction_[[#This Row],[Mileage]]/1000</f>
        <v>280.37200000000001</v>
      </c>
      <c r="J2302" s="5">
        <v>280372</v>
      </c>
      <c r="K2302" s="1" t="s">
        <v>25</v>
      </c>
      <c r="L2302" s="5">
        <f>car_price_prediction_[[#This Row],[Price]]/100</f>
        <v>43398.25</v>
      </c>
      <c r="M2302">
        <v>4339825</v>
      </c>
      <c r="N2302" s="1" t="s">
        <v>35</v>
      </c>
      <c r="O2302" s="1">
        <f>IF(IFERROR(VLOOKUP(car_price_prediction_[[#This Row],[Car ID]],A2303:A4802,1,FALSE),0),1,0)</f>
        <v>0</v>
      </c>
    </row>
    <row r="2303" spans="1:15" x14ac:dyDescent="0.25">
      <c r="A2303">
        <v>2302</v>
      </c>
      <c r="B2303" s="1" t="s">
        <v>15</v>
      </c>
      <c r="C2303" s="1">
        <f>car_price_prediction_[[#This Row],[Year2]]</f>
        <v>2008</v>
      </c>
      <c r="D2303">
        <v>2008</v>
      </c>
      <c r="E2303">
        <f>car_price_prediction_[[#This Row],[Engine Size]]/10</f>
        <v>1.9</v>
      </c>
      <c r="F2303">
        <v>19</v>
      </c>
      <c r="G2303" s="1" t="s">
        <v>29</v>
      </c>
      <c r="H2303" s="1" t="s">
        <v>12</v>
      </c>
      <c r="I2303" s="12">
        <f>car_price_prediction_[[#This Row],[Mileage]]/1000</f>
        <v>60.720999999999997</v>
      </c>
      <c r="J2303" s="5">
        <v>60721</v>
      </c>
      <c r="K2303" s="1" t="s">
        <v>13</v>
      </c>
      <c r="L2303" s="5">
        <f>car_price_prediction_[[#This Row],[Price]]/100</f>
        <v>71676.27</v>
      </c>
      <c r="M2303">
        <v>7167627</v>
      </c>
      <c r="N2303" s="1" t="s">
        <v>51</v>
      </c>
      <c r="O2303" s="1">
        <f>IF(IFERROR(VLOOKUP(car_price_prediction_[[#This Row],[Car ID]],A2304:A4803,1,FALSE),0),1,0)</f>
        <v>0</v>
      </c>
    </row>
    <row r="2304" spans="1:15" x14ac:dyDescent="0.25">
      <c r="A2304">
        <v>2303</v>
      </c>
      <c r="B2304" s="1" t="s">
        <v>36</v>
      </c>
      <c r="C2304" s="1">
        <f>car_price_prediction_[[#This Row],[Year2]]</f>
        <v>2016</v>
      </c>
      <c r="D2304">
        <v>2016</v>
      </c>
      <c r="E2304">
        <f>car_price_prediction_[[#This Row],[Engine Size]]/10</f>
        <v>2.9</v>
      </c>
      <c r="F2304">
        <v>29</v>
      </c>
      <c r="G2304" s="1" t="s">
        <v>11</v>
      </c>
      <c r="H2304" s="1" t="s">
        <v>22</v>
      </c>
      <c r="I2304" s="12">
        <f>car_price_prediction_[[#This Row],[Mileage]]/1000</f>
        <v>138.458</v>
      </c>
      <c r="J2304" s="5">
        <v>138458</v>
      </c>
      <c r="K2304" s="1" t="s">
        <v>25</v>
      </c>
      <c r="L2304" s="5">
        <f>car_price_prediction_[[#This Row],[Price]]/100</f>
        <v>8686.43</v>
      </c>
      <c r="M2304">
        <v>868643</v>
      </c>
      <c r="N2304" s="1" t="s">
        <v>46</v>
      </c>
      <c r="O2304" s="1">
        <f>IF(IFERROR(VLOOKUP(car_price_prediction_[[#This Row],[Car ID]],A2305:A4804,1,FALSE),0),1,0)</f>
        <v>0</v>
      </c>
    </row>
    <row r="2305" spans="1:15" x14ac:dyDescent="0.25">
      <c r="A2305">
        <v>2304</v>
      </c>
      <c r="B2305" s="1" t="s">
        <v>30</v>
      </c>
      <c r="C2305" s="1">
        <f>car_price_prediction_[[#This Row],[Year2]]</f>
        <v>2010</v>
      </c>
      <c r="D2305">
        <v>2010</v>
      </c>
      <c r="E2305">
        <f>car_price_prediction_[[#This Row],[Engine Size]]/10</f>
        <v>2.7</v>
      </c>
      <c r="F2305">
        <v>27</v>
      </c>
      <c r="G2305" s="1" t="s">
        <v>29</v>
      </c>
      <c r="H2305" s="1" t="s">
        <v>12</v>
      </c>
      <c r="I2305" s="12">
        <f>car_price_prediction_[[#This Row],[Mileage]]/1000</f>
        <v>269.00599999999997</v>
      </c>
      <c r="J2305" s="5">
        <v>269006</v>
      </c>
      <c r="K2305" s="1" t="s">
        <v>13</v>
      </c>
      <c r="L2305" s="5">
        <f>car_price_prediction_[[#This Row],[Price]]/100</f>
        <v>9592.68</v>
      </c>
      <c r="M2305">
        <v>959268</v>
      </c>
      <c r="N2305" s="1" t="s">
        <v>48</v>
      </c>
      <c r="O2305" s="1">
        <f>IF(IFERROR(VLOOKUP(car_price_prediction_[[#This Row],[Car ID]],A2306:A4805,1,FALSE),0),1,0)</f>
        <v>0</v>
      </c>
    </row>
    <row r="2306" spans="1:15" x14ac:dyDescent="0.25">
      <c r="A2306">
        <v>2305</v>
      </c>
      <c r="B2306" s="1" t="s">
        <v>36</v>
      </c>
      <c r="C2306" s="1">
        <f>car_price_prediction_[[#This Row],[Year2]]</f>
        <v>2009</v>
      </c>
      <c r="D2306">
        <v>2009</v>
      </c>
      <c r="E2306">
        <f>car_price_prediction_[[#This Row],[Engine Size]]/10</f>
        <v>3.2</v>
      </c>
      <c r="F2306">
        <v>32</v>
      </c>
      <c r="G2306" s="1" t="s">
        <v>11</v>
      </c>
      <c r="H2306" s="1" t="s">
        <v>12</v>
      </c>
      <c r="I2306" s="12">
        <f>car_price_prediction_[[#This Row],[Mileage]]/1000</f>
        <v>40.107999999999997</v>
      </c>
      <c r="J2306" s="5">
        <v>40108</v>
      </c>
      <c r="K2306" s="1" t="s">
        <v>17</v>
      </c>
      <c r="L2306" s="5">
        <f>car_price_prediction_[[#This Row],[Price]]/100</f>
        <v>9396.59</v>
      </c>
      <c r="M2306">
        <v>939659</v>
      </c>
      <c r="N2306" s="1" t="s">
        <v>40</v>
      </c>
      <c r="O2306" s="1">
        <f>IF(IFERROR(VLOOKUP(car_price_prediction_[[#This Row],[Car ID]],A2307:A4806,1,FALSE),0),1,0)</f>
        <v>0</v>
      </c>
    </row>
    <row r="2307" spans="1:15" x14ac:dyDescent="0.25">
      <c r="A2307">
        <v>2306</v>
      </c>
      <c r="B2307" s="1" t="s">
        <v>30</v>
      </c>
      <c r="C2307" s="1">
        <f>car_price_prediction_[[#This Row],[Year2]]</f>
        <v>2021</v>
      </c>
      <c r="D2307">
        <v>2021</v>
      </c>
      <c r="E2307">
        <f>car_price_prediction_[[#This Row],[Engine Size]]/10</f>
        <v>4.9000000000000004</v>
      </c>
      <c r="F2307">
        <v>49</v>
      </c>
      <c r="G2307" s="1" t="s">
        <v>16</v>
      </c>
      <c r="H2307" s="1" t="s">
        <v>22</v>
      </c>
      <c r="I2307" s="12">
        <f>car_price_prediction_[[#This Row],[Mileage]]/1000</f>
        <v>91.787999999999997</v>
      </c>
      <c r="J2307" s="5">
        <v>91788</v>
      </c>
      <c r="K2307" s="1" t="s">
        <v>25</v>
      </c>
      <c r="L2307" s="5">
        <f>car_price_prediction_[[#This Row],[Price]]/100</f>
        <v>88719.05</v>
      </c>
      <c r="M2307">
        <v>8871905</v>
      </c>
      <c r="N2307" s="1" t="s">
        <v>31</v>
      </c>
      <c r="O2307" s="1">
        <f>IF(IFERROR(VLOOKUP(car_price_prediction_[[#This Row],[Car ID]],A2308:A4807,1,FALSE),0),1,0)</f>
        <v>0</v>
      </c>
    </row>
    <row r="2308" spans="1:15" x14ac:dyDescent="0.25">
      <c r="A2308">
        <v>2307</v>
      </c>
      <c r="B2308" s="1" t="s">
        <v>10</v>
      </c>
      <c r="C2308" s="1">
        <f>car_price_prediction_[[#This Row],[Year2]]</f>
        <v>2016</v>
      </c>
      <c r="D2308">
        <v>2016</v>
      </c>
      <c r="E2308">
        <f>car_price_prediction_[[#This Row],[Engine Size]]/10</f>
        <v>3.4</v>
      </c>
      <c r="F2308">
        <v>34</v>
      </c>
      <c r="G2308" s="1" t="s">
        <v>11</v>
      </c>
      <c r="H2308" s="1" t="s">
        <v>12</v>
      </c>
      <c r="I2308" s="12">
        <f>car_price_prediction_[[#This Row],[Mileage]]/1000</f>
        <v>244.43700000000001</v>
      </c>
      <c r="J2308" s="5">
        <v>244437</v>
      </c>
      <c r="K2308" s="1" t="s">
        <v>25</v>
      </c>
      <c r="L2308" s="5">
        <f>car_price_prediction_[[#This Row],[Price]]/100</f>
        <v>89965.92</v>
      </c>
      <c r="M2308">
        <v>8996592</v>
      </c>
      <c r="N2308" s="1" t="s">
        <v>23</v>
      </c>
      <c r="O2308" s="1">
        <f>IF(IFERROR(VLOOKUP(car_price_prediction_[[#This Row],[Car ID]],A2309:A4808,1,FALSE),0),1,0)</f>
        <v>0</v>
      </c>
    </row>
    <row r="2309" spans="1:15" x14ac:dyDescent="0.25">
      <c r="A2309">
        <v>2308</v>
      </c>
      <c r="B2309" s="1" t="s">
        <v>24</v>
      </c>
      <c r="C2309" s="1">
        <f>car_price_prediction_[[#This Row],[Year2]]</f>
        <v>2003</v>
      </c>
      <c r="D2309">
        <v>2003</v>
      </c>
      <c r="E2309">
        <f>car_price_prediction_[[#This Row],[Engine Size]]/10</f>
        <v>5</v>
      </c>
      <c r="F2309">
        <v>50</v>
      </c>
      <c r="G2309" s="1" t="s">
        <v>16</v>
      </c>
      <c r="H2309" s="1" t="s">
        <v>12</v>
      </c>
      <c r="I2309" s="12">
        <f>car_price_prediction_[[#This Row],[Mileage]]/1000</f>
        <v>237.011</v>
      </c>
      <c r="J2309" s="5">
        <v>237011</v>
      </c>
      <c r="K2309" s="1" t="s">
        <v>13</v>
      </c>
      <c r="L2309" s="5">
        <f>car_price_prediction_[[#This Row],[Price]]/100</f>
        <v>54826.47</v>
      </c>
      <c r="M2309">
        <v>5482647</v>
      </c>
      <c r="N2309" s="1" t="s">
        <v>53</v>
      </c>
      <c r="O2309" s="1">
        <f>IF(IFERROR(VLOOKUP(car_price_prediction_[[#This Row],[Car ID]],A2310:A4809,1,FALSE),0),1,0)</f>
        <v>0</v>
      </c>
    </row>
    <row r="2310" spans="1:15" x14ac:dyDescent="0.25">
      <c r="A2310">
        <v>2309</v>
      </c>
      <c r="B2310" s="1" t="s">
        <v>10</v>
      </c>
      <c r="C2310" s="1">
        <f>car_price_prediction_[[#This Row],[Year2]]</f>
        <v>2015</v>
      </c>
      <c r="D2310">
        <v>2015</v>
      </c>
      <c r="E2310">
        <f>car_price_prediction_[[#This Row],[Engine Size]]/10</f>
        <v>3.9</v>
      </c>
      <c r="F2310">
        <v>39</v>
      </c>
      <c r="G2310" s="1" t="s">
        <v>16</v>
      </c>
      <c r="H2310" s="1" t="s">
        <v>22</v>
      </c>
      <c r="I2310" s="12">
        <f>car_price_prediction_[[#This Row],[Mileage]]/1000</f>
        <v>158.273</v>
      </c>
      <c r="J2310" s="5">
        <v>158273</v>
      </c>
      <c r="K2310" s="1" t="s">
        <v>25</v>
      </c>
      <c r="L2310" s="5">
        <f>car_price_prediction_[[#This Row],[Price]]/100</f>
        <v>1801.47</v>
      </c>
      <c r="M2310">
        <v>180147</v>
      </c>
      <c r="N2310" s="1" t="s">
        <v>49</v>
      </c>
      <c r="O2310" s="1">
        <f>IF(IFERROR(VLOOKUP(car_price_prediction_[[#This Row],[Car ID]],A2311:A4810,1,FALSE),0),1,0)</f>
        <v>0</v>
      </c>
    </row>
    <row r="2311" spans="1:15" x14ac:dyDescent="0.25">
      <c r="A2311">
        <v>2310</v>
      </c>
      <c r="B2311" s="1" t="s">
        <v>43</v>
      </c>
      <c r="C2311" s="1">
        <f>car_price_prediction_[[#This Row],[Year2]]</f>
        <v>2019</v>
      </c>
      <c r="D2311">
        <v>2019</v>
      </c>
      <c r="E2311">
        <f>car_price_prediction_[[#This Row],[Engine Size]]/10</f>
        <v>2.7</v>
      </c>
      <c r="F2311">
        <v>27</v>
      </c>
      <c r="G2311" s="1" t="s">
        <v>21</v>
      </c>
      <c r="H2311" s="1" t="s">
        <v>12</v>
      </c>
      <c r="I2311" s="12">
        <f>car_price_prediction_[[#This Row],[Mileage]]/1000</f>
        <v>49.966000000000001</v>
      </c>
      <c r="J2311" s="5">
        <v>49966</v>
      </c>
      <c r="K2311" s="1" t="s">
        <v>13</v>
      </c>
      <c r="L2311" s="5">
        <f>car_price_prediction_[[#This Row],[Price]]/100</f>
        <v>58688.87</v>
      </c>
      <c r="M2311">
        <v>5868887</v>
      </c>
      <c r="N2311" s="1" t="s">
        <v>44</v>
      </c>
      <c r="O2311" s="1">
        <f>IF(IFERROR(VLOOKUP(car_price_prediction_[[#This Row],[Car ID]],A2312:A4811,1,FALSE),0),1,0)</f>
        <v>0</v>
      </c>
    </row>
    <row r="2312" spans="1:15" x14ac:dyDescent="0.25">
      <c r="A2312">
        <v>2311</v>
      </c>
      <c r="B2312" s="1" t="s">
        <v>15</v>
      </c>
      <c r="C2312" s="1">
        <f>car_price_prediction_[[#This Row],[Year2]]</f>
        <v>2014</v>
      </c>
      <c r="D2312">
        <v>2014</v>
      </c>
      <c r="E2312">
        <f>car_price_prediction_[[#This Row],[Engine Size]]/10</f>
        <v>5</v>
      </c>
      <c r="F2312">
        <v>50</v>
      </c>
      <c r="G2312" s="1" t="s">
        <v>11</v>
      </c>
      <c r="H2312" s="1" t="s">
        <v>12</v>
      </c>
      <c r="I2312" s="12">
        <f>car_price_prediction_[[#This Row],[Mileage]]/1000</f>
        <v>185.846</v>
      </c>
      <c r="J2312" s="5">
        <v>185846</v>
      </c>
      <c r="K2312" s="1" t="s">
        <v>25</v>
      </c>
      <c r="L2312" s="5">
        <f>car_price_prediction_[[#This Row],[Price]]/100</f>
        <v>64720.06</v>
      </c>
      <c r="M2312">
        <v>6472006</v>
      </c>
      <c r="N2312" s="1" t="s">
        <v>51</v>
      </c>
      <c r="O2312" s="1">
        <f>IF(IFERROR(VLOOKUP(car_price_prediction_[[#This Row],[Car ID]],A2313:A4812,1,FALSE),0),1,0)</f>
        <v>0</v>
      </c>
    </row>
    <row r="2313" spans="1:15" x14ac:dyDescent="0.25">
      <c r="A2313">
        <v>2312</v>
      </c>
      <c r="B2313" s="1" t="s">
        <v>30</v>
      </c>
      <c r="C2313" s="1">
        <f>car_price_prediction_[[#This Row],[Year2]]</f>
        <v>2020</v>
      </c>
      <c r="D2313">
        <v>2020</v>
      </c>
      <c r="E2313">
        <f>car_price_prediction_[[#This Row],[Engine Size]]/10</f>
        <v>2.2000000000000002</v>
      </c>
      <c r="F2313">
        <v>22</v>
      </c>
      <c r="G2313" s="1" t="s">
        <v>11</v>
      </c>
      <c r="H2313" s="1" t="s">
        <v>22</v>
      </c>
      <c r="I2313" s="12">
        <f>car_price_prediction_[[#This Row],[Mileage]]/1000</f>
        <v>272.52999999999997</v>
      </c>
      <c r="J2313" s="5">
        <v>272530</v>
      </c>
      <c r="K2313" s="1" t="s">
        <v>17</v>
      </c>
      <c r="L2313" s="5">
        <f>car_price_prediction_[[#This Row],[Price]]/100</f>
        <v>8648.7099999999991</v>
      </c>
      <c r="M2313">
        <v>864871</v>
      </c>
      <c r="N2313" s="1" t="s">
        <v>45</v>
      </c>
      <c r="O2313" s="1">
        <f>IF(IFERROR(VLOOKUP(car_price_prediction_[[#This Row],[Car ID]],A2314:A4813,1,FALSE),0),1,0)</f>
        <v>0</v>
      </c>
    </row>
    <row r="2314" spans="1:15" x14ac:dyDescent="0.25">
      <c r="A2314">
        <v>2313</v>
      </c>
      <c r="B2314" s="1" t="s">
        <v>36</v>
      </c>
      <c r="C2314" s="1">
        <f>car_price_prediction_[[#This Row],[Year2]]</f>
        <v>2004</v>
      </c>
      <c r="D2314">
        <v>2004</v>
      </c>
      <c r="E2314">
        <f>car_price_prediction_[[#This Row],[Engine Size]]/10</f>
        <v>2.1</v>
      </c>
      <c r="F2314">
        <v>21</v>
      </c>
      <c r="G2314" s="1" t="s">
        <v>11</v>
      </c>
      <c r="H2314" s="1" t="s">
        <v>12</v>
      </c>
      <c r="I2314" s="12">
        <f>car_price_prediction_[[#This Row],[Mileage]]/1000</f>
        <v>77.227999999999994</v>
      </c>
      <c r="J2314" s="5">
        <v>77228</v>
      </c>
      <c r="K2314" s="1" t="s">
        <v>17</v>
      </c>
      <c r="L2314" s="5">
        <f>car_price_prediction_[[#This Row],[Price]]/100</f>
        <v>57335.06</v>
      </c>
      <c r="M2314">
        <v>5733506</v>
      </c>
      <c r="N2314" s="1" t="s">
        <v>40</v>
      </c>
      <c r="O2314" s="1">
        <f>IF(IFERROR(VLOOKUP(car_price_prediction_[[#This Row],[Car ID]],A2315:A4814,1,FALSE),0),1,0)</f>
        <v>0</v>
      </c>
    </row>
    <row r="2315" spans="1:15" x14ac:dyDescent="0.25">
      <c r="A2315">
        <v>2314</v>
      </c>
      <c r="B2315" s="1" t="s">
        <v>24</v>
      </c>
      <c r="C2315" s="1">
        <f>car_price_prediction_[[#This Row],[Year2]]</f>
        <v>2005</v>
      </c>
      <c r="D2315">
        <v>2005</v>
      </c>
      <c r="E2315">
        <f>car_price_prediction_[[#This Row],[Engine Size]]/10</f>
        <v>3.5</v>
      </c>
      <c r="F2315">
        <v>35</v>
      </c>
      <c r="G2315" s="1" t="s">
        <v>29</v>
      </c>
      <c r="H2315" s="1" t="s">
        <v>12</v>
      </c>
      <c r="I2315" s="12">
        <f>car_price_prediction_[[#This Row],[Mileage]]/1000</f>
        <v>146.297</v>
      </c>
      <c r="J2315" s="5">
        <v>146297</v>
      </c>
      <c r="K2315" s="1" t="s">
        <v>17</v>
      </c>
      <c r="L2315" s="5">
        <f>car_price_prediction_[[#This Row],[Price]]/100</f>
        <v>44017.39</v>
      </c>
      <c r="M2315">
        <v>4401739</v>
      </c>
      <c r="N2315" s="1" t="s">
        <v>53</v>
      </c>
      <c r="O2315" s="1">
        <f>IF(IFERROR(VLOOKUP(car_price_prediction_[[#This Row],[Car ID]],A2316:A4815,1,FALSE),0),1,0)</f>
        <v>0</v>
      </c>
    </row>
    <row r="2316" spans="1:15" x14ac:dyDescent="0.25">
      <c r="A2316">
        <v>2315</v>
      </c>
      <c r="B2316" s="1" t="s">
        <v>30</v>
      </c>
      <c r="C2316" s="1">
        <f>car_price_prediction_[[#This Row],[Year2]]</f>
        <v>2016</v>
      </c>
      <c r="D2316">
        <v>2016</v>
      </c>
      <c r="E2316">
        <f>car_price_prediction_[[#This Row],[Engine Size]]/10</f>
        <v>2.2999999999999998</v>
      </c>
      <c r="F2316">
        <v>23</v>
      </c>
      <c r="G2316" s="1" t="s">
        <v>21</v>
      </c>
      <c r="H2316" s="1" t="s">
        <v>12</v>
      </c>
      <c r="I2316" s="12">
        <f>car_price_prediction_[[#This Row],[Mileage]]/1000</f>
        <v>43.021000000000001</v>
      </c>
      <c r="J2316" s="5">
        <v>43021</v>
      </c>
      <c r="K2316" s="1" t="s">
        <v>25</v>
      </c>
      <c r="L2316" s="5">
        <f>car_price_prediction_[[#This Row],[Price]]/100</f>
        <v>84637.66</v>
      </c>
      <c r="M2316">
        <v>8463766</v>
      </c>
      <c r="N2316" s="1" t="s">
        <v>48</v>
      </c>
      <c r="O2316" s="1">
        <f>IF(IFERROR(VLOOKUP(car_price_prediction_[[#This Row],[Car ID]],A2317:A4816,1,FALSE),0),1,0)</f>
        <v>0</v>
      </c>
    </row>
    <row r="2317" spans="1:15" x14ac:dyDescent="0.25">
      <c r="A2317">
        <v>2316</v>
      </c>
      <c r="B2317" s="1" t="s">
        <v>36</v>
      </c>
      <c r="C2317" s="1">
        <f>car_price_prediction_[[#This Row],[Year2]]</f>
        <v>2000</v>
      </c>
      <c r="D2317">
        <v>2000</v>
      </c>
      <c r="E2317">
        <f>car_price_prediction_[[#This Row],[Engine Size]]/10</f>
        <v>1</v>
      </c>
      <c r="F2317">
        <v>10</v>
      </c>
      <c r="G2317" s="1" t="s">
        <v>21</v>
      </c>
      <c r="H2317" s="1" t="s">
        <v>12</v>
      </c>
      <c r="I2317" s="12">
        <f>car_price_prediction_[[#This Row],[Mileage]]/1000</f>
        <v>149.333</v>
      </c>
      <c r="J2317" s="5">
        <v>149333</v>
      </c>
      <c r="K2317" s="1" t="s">
        <v>25</v>
      </c>
      <c r="L2317" s="5">
        <f>car_price_prediction_[[#This Row],[Price]]/100</f>
        <v>98190.42</v>
      </c>
      <c r="M2317">
        <v>9819042</v>
      </c>
      <c r="N2317" s="1" t="s">
        <v>41</v>
      </c>
      <c r="O2317" s="1">
        <f>IF(IFERROR(VLOOKUP(car_price_prediction_[[#This Row],[Car ID]],A2318:A4817,1,FALSE),0),1,0)</f>
        <v>0</v>
      </c>
    </row>
    <row r="2318" spans="1:15" x14ac:dyDescent="0.25">
      <c r="A2318">
        <v>2317</v>
      </c>
      <c r="B2318" s="1" t="s">
        <v>15</v>
      </c>
      <c r="C2318" s="1">
        <f>car_price_prediction_[[#This Row],[Year2]]</f>
        <v>2018</v>
      </c>
      <c r="D2318">
        <v>2018</v>
      </c>
      <c r="E2318">
        <f>car_price_prediction_[[#This Row],[Engine Size]]/10</f>
        <v>4.2</v>
      </c>
      <c r="F2318">
        <v>42</v>
      </c>
      <c r="G2318" s="1" t="s">
        <v>21</v>
      </c>
      <c r="H2318" s="1" t="s">
        <v>12</v>
      </c>
      <c r="I2318" s="12">
        <f>car_price_prediction_[[#This Row],[Mileage]]/1000</f>
        <v>252.64599999999999</v>
      </c>
      <c r="J2318" s="5">
        <v>252646</v>
      </c>
      <c r="K2318" s="1" t="s">
        <v>17</v>
      </c>
      <c r="L2318" s="5">
        <f>car_price_prediction_[[#This Row],[Price]]/100</f>
        <v>6628.48</v>
      </c>
      <c r="M2318">
        <v>662848</v>
      </c>
      <c r="N2318" s="1" t="s">
        <v>39</v>
      </c>
      <c r="O2318" s="1">
        <f>IF(IFERROR(VLOOKUP(car_price_prediction_[[#This Row],[Car ID]],A2319:A4818,1,FALSE),0),1,0)</f>
        <v>0</v>
      </c>
    </row>
    <row r="2319" spans="1:15" x14ac:dyDescent="0.25">
      <c r="A2319">
        <v>2318</v>
      </c>
      <c r="B2319" s="1" t="s">
        <v>10</v>
      </c>
      <c r="C2319" s="1">
        <f>car_price_prediction_[[#This Row],[Year2]]</f>
        <v>2003</v>
      </c>
      <c r="D2319">
        <v>2003</v>
      </c>
      <c r="E2319">
        <f>car_price_prediction_[[#This Row],[Engine Size]]/10</f>
        <v>3.6</v>
      </c>
      <c r="F2319">
        <v>36</v>
      </c>
      <c r="G2319" s="1" t="s">
        <v>29</v>
      </c>
      <c r="H2319" s="1" t="s">
        <v>12</v>
      </c>
      <c r="I2319" s="12">
        <f>car_price_prediction_[[#This Row],[Mileage]]/1000</f>
        <v>86.754999999999995</v>
      </c>
      <c r="J2319" s="5">
        <v>86755</v>
      </c>
      <c r="K2319" s="1" t="s">
        <v>17</v>
      </c>
      <c r="L2319" s="5">
        <f>car_price_prediction_[[#This Row],[Price]]/100</f>
        <v>88066.77</v>
      </c>
      <c r="M2319">
        <v>8806677</v>
      </c>
      <c r="N2319" s="1" t="s">
        <v>23</v>
      </c>
      <c r="O2319" s="1">
        <f>IF(IFERROR(VLOOKUP(car_price_prediction_[[#This Row],[Car ID]],A2320:A4819,1,FALSE),0),1,0)</f>
        <v>0</v>
      </c>
    </row>
    <row r="2320" spans="1:15" x14ac:dyDescent="0.25">
      <c r="A2320">
        <v>2319</v>
      </c>
      <c r="B2320" s="1" t="s">
        <v>15</v>
      </c>
      <c r="C2320" s="1">
        <f>car_price_prediction_[[#This Row],[Year2]]</f>
        <v>2016</v>
      </c>
      <c r="D2320">
        <v>2016</v>
      </c>
      <c r="E2320">
        <f>car_price_prediction_[[#This Row],[Engine Size]]/10</f>
        <v>3.2</v>
      </c>
      <c r="F2320">
        <v>32</v>
      </c>
      <c r="G2320" s="1" t="s">
        <v>11</v>
      </c>
      <c r="H2320" s="1" t="s">
        <v>12</v>
      </c>
      <c r="I2320" s="12">
        <f>car_price_prediction_[[#This Row],[Mileage]]/1000</f>
        <v>66.33</v>
      </c>
      <c r="J2320" s="5">
        <v>66330</v>
      </c>
      <c r="K2320" s="1" t="s">
        <v>13</v>
      </c>
      <c r="L2320" s="5">
        <f>car_price_prediction_[[#This Row],[Price]]/100</f>
        <v>61879.839999999997</v>
      </c>
      <c r="M2320">
        <v>6187984</v>
      </c>
      <c r="N2320" s="1" t="s">
        <v>51</v>
      </c>
      <c r="O2320" s="1">
        <f>IF(IFERROR(VLOOKUP(car_price_prediction_[[#This Row],[Car ID]],A2321:A4820,1,FALSE),0),1,0)</f>
        <v>0</v>
      </c>
    </row>
    <row r="2321" spans="1:15" x14ac:dyDescent="0.25">
      <c r="A2321">
        <v>2320</v>
      </c>
      <c r="B2321" s="1" t="s">
        <v>19</v>
      </c>
      <c r="C2321" s="1">
        <f>car_price_prediction_[[#This Row],[Year2]]</f>
        <v>2008</v>
      </c>
      <c r="D2321">
        <v>2008</v>
      </c>
      <c r="E2321">
        <f>car_price_prediction_[[#This Row],[Engine Size]]/10</f>
        <v>5.8</v>
      </c>
      <c r="F2321">
        <v>58</v>
      </c>
      <c r="G2321" s="1" t="s">
        <v>11</v>
      </c>
      <c r="H2321" s="1" t="s">
        <v>12</v>
      </c>
      <c r="I2321" s="12">
        <f>car_price_prediction_[[#This Row],[Mileage]]/1000</f>
        <v>178.43799999999999</v>
      </c>
      <c r="J2321" s="5">
        <v>178438</v>
      </c>
      <c r="K2321" s="1" t="s">
        <v>13</v>
      </c>
      <c r="L2321" s="5">
        <f>car_price_prediction_[[#This Row],[Price]]/100</f>
        <v>70529.86</v>
      </c>
      <c r="M2321">
        <v>7052986</v>
      </c>
      <c r="N2321" s="1" t="s">
        <v>38</v>
      </c>
      <c r="O2321" s="1">
        <f>IF(IFERROR(VLOOKUP(car_price_prediction_[[#This Row],[Car ID]],A2322:A4821,1,FALSE),0),1,0)</f>
        <v>0</v>
      </c>
    </row>
    <row r="2322" spans="1:15" x14ac:dyDescent="0.25">
      <c r="A2322">
        <v>2321</v>
      </c>
      <c r="B2322" s="1" t="s">
        <v>43</v>
      </c>
      <c r="C2322" s="1">
        <f>car_price_prediction_[[#This Row],[Year2]]</f>
        <v>2023</v>
      </c>
      <c r="D2322">
        <v>2023</v>
      </c>
      <c r="E2322">
        <f>car_price_prediction_[[#This Row],[Engine Size]]/10</f>
        <v>3.9</v>
      </c>
      <c r="F2322">
        <v>39</v>
      </c>
      <c r="G2322" s="1" t="s">
        <v>11</v>
      </c>
      <c r="H2322" s="1" t="s">
        <v>22</v>
      </c>
      <c r="I2322" s="12">
        <f>car_price_prediction_[[#This Row],[Mileage]]/1000</f>
        <v>45.313000000000002</v>
      </c>
      <c r="J2322" s="5">
        <v>45313</v>
      </c>
      <c r="K2322" s="1" t="s">
        <v>17</v>
      </c>
      <c r="L2322" s="5">
        <f>car_price_prediction_[[#This Row],[Price]]/100</f>
        <v>70375.88</v>
      </c>
      <c r="M2322">
        <v>7037588</v>
      </c>
      <c r="N2322" s="1" t="s">
        <v>50</v>
      </c>
      <c r="O2322" s="1">
        <f>IF(IFERROR(VLOOKUP(car_price_prediction_[[#This Row],[Car ID]],A2323:A4822,1,FALSE),0),1,0)</f>
        <v>0</v>
      </c>
    </row>
    <row r="2323" spans="1:15" x14ac:dyDescent="0.25">
      <c r="A2323">
        <v>2322</v>
      </c>
      <c r="B2323" s="1" t="s">
        <v>19</v>
      </c>
      <c r="C2323" s="1">
        <f>car_price_prediction_[[#This Row],[Year2]]</f>
        <v>2001</v>
      </c>
      <c r="D2323">
        <v>2001</v>
      </c>
      <c r="E2323">
        <f>car_price_prediction_[[#This Row],[Engine Size]]/10</f>
        <v>5.3</v>
      </c>
      <c r="F2323">
        <v>53</v>
      </c>
      <c r="G2323" s="1" t="s">
        <v>21</v>
      </c>
      <c r="H2323" s="1" t="s">
        <v>12</v>
      </c>
      <c r="I2323" s="12">
        <f>car_price_prediction_[[#This Row],[Mileage]]/1000</f>
        <v>234.72900000000001</v>
      </c>
      <c r="J2323" s="5">
        <v>234729</v>
      </c>
      <c r="K2323" s="1" t="s">
        <v>17</v>
      </c>
      <c r="L2323" s="5">
        <f>car_price_prediction_[[#This Row],[Price]]/100</f>
        <v>71954.759999999995</v>
      </c>
      <c r="M2323">
        <v>7195476</v>
      </c>
      <c r="N2323" s="1" t="s">
        <v>28</v>
      </c>
      <c r="O2323" s="1">
        <f>IF(IFERROR(VLOOKUP(car_price_prediction_[[#This Row],[Car ID]],A2324:A4823,1,FALSE),0),1,0)</f>
        <v>0</v>
      </c>
    </row>
    <row r="2324" spans="1:15" x14ac:dyDescent="0.25">
      <c r="A2324">
        <v>2323</v>
      </c>
      <c r="B2324" s="1" t="s">
        <v>24</v>
      </c>
      <c r="C2324" s="1">
        <f>car_price_prediction_[[#This Row],[Year2]]</f>
        <v>2007</v>
      </c>
      <c r="D2324">
        <v>2007</v>
      </c>
      <c r="E2324">
        <f>car_price_prediction_[[#This Row],[Engine Size]]/10</f>
        <v>1.7</v>
      </c>
      <c r="F2324">
        <v>17</v>
      </c>
      <c r="G2324" s="1" t="s">
        <v>21</v>
      </c>
      <c r="H2324" s="1" t="s">
        <v>12</v>
      </c>
      <c r="I2324" s="12">
        <f>car_price_prediction_[[#This Row],[Mileage]]/1000</f>
        <v>232.78299999999999</v>
      </c>
      <c r="J2324" s="5">
        <v>232783</v>
      </c>
      <c r="K2324" s="1" t="s">
        <v>25</v>
      </c>
      <c r="L2324" s="5">
        <f>car_price_prediction_[[#This Row],[Price]]/100</f>
        <v>35496.28</v>
      </c>
      <c r="M2324">
        <v>3549628</v>
      </c>
      <c r="N2324" s="1" t="s">
        <v>53</v>
      </c>
      <c r="O2324" s="1">
        <f>IF(IFERROR(VLOOKUP(car_price_prediction_[[#This Row],[Car ID]],A2325:A4824,1,FALSE),0),1,0)</f>
        <v>0</v>
      </c>
    </row>
    <row r="2325" spans="1:15" x14ac:dyDescent="0.25">
      <c r="A2325">
        <v>2324</v>
      </c>
      <c r="B2325" s="1" t="s">
        <v>30</v>
      </c>
      <c r="C2325" s="1">
        <f>car_price_prediction_[[#This Row],[Year2]]</f>
        <v>2014</v>
      </c>
      <c r="D2325">
        <v>2014</v>
      </c>
      <c r="E2325">
        <f>car_price_prediction_[[#This Row],[Engine Size]]/10</f>
        <v>3.8</v>
      </c>
      <c r="F2325">
        <v>38</v>
      </c>
      <c r="G2325" s="1" t="s">
        <v>16</v>
      </c>
      <c r="H2325" s="1" t="s">
        <v>22</v>
      </c>
      <c r="I2325" s="12">
        <f>car_price_prediction_[[#This Row],[Mileage]]/1000</f>
        <v>289.17599999999999</v>
      </c>
      <c r="J2325" s="5">
        <v>289176</v>
      </c>
      <c r="K2325" s="1" t="s">
        <v>17</v>
      </c>
      <c r="L2325" s="5">
        <f>car_price_prediction_[[#This Row],[Price]]/100</f>
        <v>59687.83</v>
      </c>
      <c r="M2325">
        <v>5968783</v>
      </c>
      <c r="N2325" s="1" t="s">
        <v>31</v>
      </c>
      <c r="O2325" s="1">
        <f>IF(IFERROR(VLOOKUP(car_price_prediction_[[#This Row],[Car ID]],A2326:A4825,1,FALSE),0),1,0)</f>
        <v>0</v>
      </c>
    </row>
    <row r="2326" spans="1:15" x14ac:dyDescent="0.25">
      <c r="A2326">
        <v>2325</v>
      </c>
      <c r="B2326" s="1" t="s">
        <v>24</v>
      </c>
      <c r="C2326" s="1">
        <f>car_price_prediction_[[#This Row],[Year2]]</f>
        <v>2006</v>
      </c>
      <c r="D2326">
        <v>2006</v>
      </c>
      <c r="E2326">
        <f>car_price_prediction_[[#This Row],[Engine Size]]/10</f>
        <v>5.3</v>
      </c>
      <c r="F2326">
        <v>53</v>
      </c>
      <c r="G2326" s="1" t="s">
        <v>29</v>
      </c>
      <c r="H2326" s="1" t="s">
        <v>12</v>
      </c>
      <c r="I2326" s="12">
        <f>car_price_prediction_[[#This Row],[Mileage]]/1000</f>
        <v>148.43</v>
      </c>
      <c r="J2326" s="5">
        <v>148430</v>
      </c>
      <c r="K2326" s="1" t="s">
        <v>13</v>
      </c>
      <c r="L2326" s="5">
        <f>car_price_prediction_[[#This Row],[Price]]/100</f>
        <v>61442.879999999997</v>
      </c>
      <c r="M2326">
        <v>6144288</v>
      </c>
      <c r="N2326" s="1" t="s">
        <v>53</v>
      </c>
      <c r="O2326" s="1">
        <f>IF(IFERROR(VLOOKUP(car_price_prediction_[[#This Row],[Car ID]],A2327:A4826,1,FALSE),0),1,0)</f>
        <v>0</v>
      </c>
    </row>
    <row r="2327" spans="1:15" x14ac:dyDescent="0.25">
      <c r="A2327">
        <v>2326</v>
      </c>
      <c r="B2327" s="1" t="s">
        <v>10</v>
      </c>
      <c r="C2327" s="1">
        <f>car_price_prediction_[[#This Row],[Year2]]</f>
        <v>2005</v>
      </c>
      <c r="D2327">
        <v>2005</v>
      </c>
      <c r="E2327">
        <f>car_price_prediction_[[#This Row],[Engine Size]]/10</f>
        <v>3.9</v>
      </c>
      <c r="F2327">
        <v>39</v>
      </c>
      <c r="G2327" s="1" t="s">
        <v>29</v>
      </c>
      <c r="H2327" s="1" t="s">
        <v>12</v>
      </c>
      <c r="I2327" s="12">
        <f>car_price_prediction_[[#This Row],[Mileage]]/1000</f>
        <v>28.364999999999998</v>
      </c>
      <c r="J2327" s="5">
        <v>28365</v>
      </c>
      <c r="K2327" s="1" t="s">
        <v>13</v>
      </c>
      <c r="L2327" s="5">
        <f>car_price_prediction_[[#This Row],[Price]]/100</f>
        <v>3493.18</v>
      </c>
      <c r="M2327">
        <v>349318</v>
      </c>
      <c r="N2327" s="1" t="s">
        <v>23</v>
      </c>
      <c r="O2327" s="1">
        <f>IF(IFERROR(VLOOKUP(car_price_prediction_[[#This Row],[Car ID]],A2328:A4827,1,FALSE),0),1,0)</f>
        <v>0</v>
      </c>
    </row>
    <row r="2328" spans="1:15" x14ac:dyDescent="0.25">
      <c r="A2328">
        <v>2327</v>
      </c>
      <c r="B2328" s="1" t="s">
        <v>36</v>
      </c>
      <c r="C2328" s="1">
        <f>car_price_prediction_[[#This Row],[Year2]]</f>
        <v>2000</v>
      </c>
      <c r="D2328">
        <v>2000</v>
      </c>
      <c r="E2328">
        <f>car_price_prediction_[[#This Row],[Engine Size]]/10</f>
        <v>4.5999999999999996</v>
      </c>
      <c r="F2328">
        <v>46</v>
      </c>
      <c r="G2328" s="1" t="s">
        <v>21</v>
      </c>
      <c r="H2328" s="1" t="s">
        <v>12</v>
      </c>
      <c r="I2328" s="12">
        <f>car_price_prediction_[[#This Row],[Mileage]]/1000</f>
        <v>275.33300000000003</v>
      </c>
      <c r="J2328" s="5">
        <v>275333</v>
      </c>
      <c r="K2328" s="1" t="s">
        <v>13</v>
      </c>
      <c r="L2328" s="5">
        <f>car_price_prediction_[[#This Row],[Price]]/100</f>
        <v>38235.97</v>
      </c>
      <c r="M2328">
        <v>3823597</v>
      </c>
      <c r="N2328" s="1" t="s">
        <v>46</v>
      </c>
      <c r="O2328" s="1">
        <f>IF(IFERROR(VLOOKUP(car_price_prediction_[[#This Row],[Car ID]],A2329:A4828,1,FALSE),0),1,0)</f>
        <v>0</v>
      </c>
    </row>
    <row r="2329" spans="1:15" x14ac:dyDescent="0.25">
      <c r="A2329">
        <v>2328</v>
      </c>
      <c r="B2329" s="1" t="s">
        <v>15</v>
      </c>
      <c r="C2329" s="1">
        <f>car_price_prediction_[[#This Row],[Year2]]</f>
        <v>2014</v>
      </c>
      <c r="D2329">
        <v>2014</v>
      </c>
      <c r="E2329">
        <f>car_price_prediction_[[#This Row],[Engine Size]]/10</f>
        <v>2.9</v>
      </c>
      <c r="F2329">
        <v>29</v>
      </c>
      <c r="G2329" s="1" t="s">
        <v>16</v>
      </c>
      <c r="H2329" s="1" t="s">
        <v>12</v>
      </c>
      <c r="I2329" s="12">
        <f>car_price_prediction_[[#This Row],[Mileage]]/1000</f>
        <v>7.2480000000000002</v>
      </c>
      <c r="J2329" s="5">
        <v>7248</v>
      </c>
      <c r="K2329" s="1" t="s">
        <v>13</v>
      </c>
      <c r="L2329" s="5">
        <f>car_price_prediction_[[#This Row],[Price]]/100</f>
        <v>77413.440000000002</v>
      </c>
      <c r="M2329">
        <v>7741344</v>
      </c>
      <c r="N2329" s="1" t="s">
        <v>51</v>
      </c>
      <c r="O2329" s="1">
        <f>IF(IFERROR(VLOOKUP(car_price_prediction_[[#This Row],[Car ID]],A2330:A4829,1,FALSE),0),1,0)</f>
        <v>0</v>
      </c>
    </row>
    <row r="2330" spans="1:15" x14ac:dyDescent="0.25">
      <c r="A2330">
        <v>2329</v>
      </c>
      <c r="B2330" s="1" t="s">
        <v>19</v>
      </c>
      <c r="C2330" s="1">
        <f>car_price_prediction_[[#This Row],[Year2]]</f>
        <v>2022</v>
      </c>
      <c r="D2330">
        <v>2022</v>
      </c>
      <c r="E2330">
        <f>car_price_prediction_[[#This Row],[Engine Size]]/10</f>
        <v>1.5</v>
      </c>
      <c r="F2330">
        <v>15</v>
      </c>
      <c r="G2330" s="1" t="s">
        <v>11</v>
      </c>
      <c r="H2330" s="1" t="s">
        <v>12</v>
      </c>
      <c r="I2330" s="12">
        <f>car_price_prediction_[[#This Row],[Mileage]]/1000</f>
        <v>4.3689999999999998</v>
      </c>
      <c r="J2330" s="5">
        <v>4369</v>
      </c>
      <c r="K2330" s="1" t="s">
        <v>13</v>
      </c>
      <c r="L2330" s="5">
        <f>car_price_prediction_[[#This Row],[Price]]/100</f>
        <v>60358.76</v>
      </c>
      <c r="M2330">
        <v>6035876</v>
      </c>
      <c r="N2330" s="1" t="s">
        <v>27</v>
      </c>
      <c r="O2330" s="1">
        <f>IF(IFERROR(VLOOKUP(car_price_prediction_[[#This Row],[Car ID]],A2331:A4830,1,FALSE),0),1,0)</f>
        <v>0</v>
      </c>
    </row>
    <row r="2331" spans="1:15" x14ac:dyDescent="0.25">
      <c r="A2331">
        <v>2330</v>
      </c>
      <c r="B2331" s="1" t="s">
        <v>19</v>
      </c>
      <c r="C2331" s="1">
        <f>car_price_prediction_[[#This Row],[Year2]]</f>
        <v>2006</v>
      </c>
      <c r="D2331">
        <v>2006</v>
      </c>
      <c r="E2331">
        <f>car_price_prediction_[[#This Row],[Engine Size]]/10</f>
        <v>3.3</v>
      </c>
      <c r="F2331">
        <v>33</v>
      </c>
      <c r="G2331" s="1" t="s">
        <v>21</v>
      </c>
      <c r="H2331" s="1" t="s">
        <v>12</v>
      </c>
      <c r="I2331" s="12">
        <f>car_price_prediction_[[#This Row],[Mileage]]/1000</f>
        <v>290.74900000000002</v>
      </c>
      <c r="J2331" s="5">
        <v>290749</v>
      </c>
      <c r="K2331" s="1" t="s">
        <v>13</v>
      </c>
      <c r="L2331" s="5">
        <f>car_price_prediction_[[#This Row],[Price]]/100</f>
        <v>19175.060000000001</v>
      </c>
      <c r="M2331">
        <v>1917506</v>
      </c>
      <c r="N2331" s="1" t="s">
        <v>38</v>
      </c>
      <c r="O2331" s="1">
        <f>IF(IFERROR(VLOOKUP(car_price_prediction_[[#This Row],[Car ID]],A2332:A4831,1,FALSE),0),1,0)</f>
        <v>0</v>
      </c>
    </row>
    <row r="2332" spans="1:15" x14ac:dyDescent="0.25">
      <c r="A2332">
        <v>2331</v>
      </c>
      <c r="B2332" s="1" t="s">
        <v>10</v>
      </c>
      <c r="C2332" s="1">
        <f>car_price_prediction_[[#This Row],[Year2]]</f>
        <v>2016</v>
      </c>
      <c r="D2332">
        <v>2016</v>
      </c>
      <c r="E2332">
        <f>car_price_prediction_[[#This Row],[Engine Size]]/10</f>
        <v>3</v>
      </c>
      <c r="F2332">
        <v>30</v>
      </c>
      <c r="G2332" s="1" t="s">
        <v>29</v>
      </c>
      <c r="H2332" s="1" t="s">
        <v>22</v>
      </c>
      <c r="I2332" s="12">
        <f>car_price_prediction_[[#This Row],[Mileage]]/1000</f>
        <v>171.95500000000001</v>
      </c>
      <c r="J2332" s="5">
        <v>171955</v>
      </c>
      <c r="K2332" s="1" t="s">
        <v>17</v>
      </c>
      <c r="L2332" s="5">
        <f>car_price_prediction_[[#This Row],[Price]]/100</f>
        <v>84575.51</v>
      </c>
      <c r="M2332">
        <v>8457551</v>
      </c>
      <c r="N2332" s="1" t="s">
        <v>14</v>
      </c>
      <c r="O2332" s="1">
        <f>IF(IFERROR(VLOOKUP(car_price_prediction_[[#This Row],[Car ID]],A2333:A4832,1,FALSE),0),1,0)</f>
        <v>0</v>
      </c>
    </row>
    <row r="2333" spans="1:15" x14ac:dyDescent="0.25">
      <c r="A2333">
        <v>2332</v>
      </c>
      <c r="B2333" s="1" t="s">
        <v>19</v>
      </c>
      <c r="C2333" s="1">
        <f>car_price_prediction_[[#This Row],[Year2]]</f>
        <v>2001</v>
      </c>
      <c r="D2333">
        <v>2001</v>
      </c>
      <c r="E2333">
        <f>car_price_prediction_[[#This Row],[Engine Size]]/10</f>
        <v>5.3</v>
      </c>
      <c r="F2333">
        <v>53</v>
      </c>
      <c r="G2333" s="1" t="s">
        <v>29</v>
      </c>
      <c r="H2333" s="1" t="s">
        <v>22</v>
      </c>
      <c r="I2333" s="12">
        <f>car_price_prediction_[[#This Row],[Mileage]]/1000</f>
        <v>33.055</v>
      </c>
      <c r="J2333" s="5">
        <v>33055</v>
      </c>
      <c r="K2333" s="1" t="s">
        <v>13</v>
      </c>
      <c r="L2333" s="5">
        <f>car_price_prediction_[[#This Row],[Price]]/100</f>
        <v>88895.86</v>
      </c>
      <c r="M2333">
        <v>8889586</v>
      </c>
      <c r="N2333" s="1" t="s">
        <v>28</v>
      </c>
      <c r="O2333" s="1">
        <f>IF(IFERROR(VLOOKUP(car_price_prediction_[[#This Row],[Car ID]],A2334:A4833,1,FALSE),0),1,0)</f>
        <v>0</v>
      </c>
    </row>
    <row r="2334" spans="1:15" x14ac:dyDescent="0.25">
      <c r="A2334">
        <v>2333</v>
      </c>
      <c r="B2334" s="1" t="s">
        <v>10</v>
      </c>
      <c r="C2334" s="1">
        <f>car_price_prediction_[[#This Row],[Year2]]</f>
        <v>2008</v>
      </c>
      <c r="D2334">
        <v>2008</v>
      </c>
      <c r="E2334">
        <f>car_price_prediction_[[#This Row],[Engine Size]]/10</f>
        <v>2.2000000000000002</v>
      </c>
      <c r="F2334">
        <v>22</v>
      </c>
      <c r="G2334" s="1" t="s">
        <v>29</v>
      </c>
      <c r="H2334" s="1" t="s">
        <v>22</v>
      </c>
      <c r="I2334" s="12">
        <f>car_price_prediction_[[#This Row],[Mileage]]/1000</f>
        <v>199.803</v>
      </c>
      <c r="J2334" s="5">
        <v>199803</v>
      </c>
      <c r="K2334" s="1" t="s">
        <v>13</v>
      </c>
      <c r="L2334" s="5">
        <f>car_price_prediction_[[#This Row],[Price]]/100</f>
        <v>49283.41</v>
      </c>
      <c r="M2334">
        <v>4928341</v>
      </c>
      <c r="N2334" s="1" t="s">
        <v>33</v>
      </c>
      <c r="O2334" s="1">
        <f>IF(IFERROR(VLOOKUP(car_price_prediction_[[#This Row],[Car ID]],A2335:A4834,1,FALSE),0),1,0)</f>
        <v>0</v>
      </c>
    </row>
    <row r="2335" spans="1:15" x14ac:dyDescent="0.25">
      <c r="A2335">
        <v>2334</v>
      </c>
      <c r="B2335" s="1" t="s">
        <v>24</v>
      </c>
      <c r="C2335" s="1">
        <f>car_price_prediction_[[#This Row],[Year2]]</f>
        <v>2008</v>
      </c>
      <c r="D2335">
        <v>2008</v>
      </c>
      <c r="E2335">
        <f>car_price_prediction_[[#This Row],[Engine Size]]/10</f>
        <v>5.8</v>
      </c>
      <c r="F2335">
        <v>58</v>
      </c>
      <c r="G2335" s="1" t="s">
        <v>11</v>
      </c>
      <c r="H2335" s="1" t="s">
        <v>22</v>
      </c>
      <c r="I2335" s="12">
        <f>car_price_prediction_[[#This Row],[Mileage]]/1000</f>
        <v>269.59399999999999</v>
      </c>
      <c r="J2335" s="5">
        <v>269594</v>
      </c>
      <c r="K2335" s="1" t="s">
        <v>13</v>
      </c>
      <c r="L2335" s="5">
        <f>car_price_prediction_[[#This Row],[Price]]/100</f>
        <v>24846.21</v>
      </c>
      <c r="M2335">
        <v>2484621</v>
      </c>
      <c r="N2335" s="1" t="s">
        <v>53</v>
      </c>
      <c r="O2335" s="1">
        <f>IF(IFERROR(VLOOKUP(car_price_prediction_[[#This Row],[Car ID]],A2336:A4835,1,FALSE),0),1,0)</f>
        <v>0</v>
      </c>
    </row>
    <row r="2336" spans="1:15" x14ac:dyDescent="0.25">
      <c r="A2336">
        <v>2335</v>
      </c>
      <c r="B2336" s="1" t="s">
        <v>15</v>
      </c>
      <c r="C2336" s="1">
        <f>car_price_prediction_[[#This Row],[Year2]]</f>
        <v>2012</v>
      </c>
      <c r="D2336">
        <v>2012</v>
      </c>
      <c r="E2336">
        <f>car_price_prediction_[[#This Row],[Engine Size]]/10</f>
        <v>5.8</v>
      </c>
      <c r="F2336">
        <v>58</v>
      </c>
      <c r="G2336" s="1" t="s">
        <v>29</v>
      </c>
      <c r="H2336" s="1" t="s">
        <v>22</v>
      </c>
      <c r="I2336" s="12">
        <f>car_price_prediction_[[#This Row],[Mileage]]/1000</f>
        <v>133.99700000000001</v>
      </c>
      <c r="J2336" s="5">
        <v>133997</v>
      </c>
      <c r="K2336" s="1" t="s">
        <v>13</v>
      </c>
      <c r="L2336" s="5">
        <f>car_price_prediction_[[#This Row],[Price]]/100</f>
        <v>95022.62</v>
      </c>
      <c r="M2336">
        <v>9502262</v>
      </c>
      <c r="N2336" s="1" t="s">
        <v>18</v>
      </c>
      <c r="O2336" s="1">
        <f>IF(IFERROR(VLOOKUP(car_price_prediction_[[#This Row],[Car ID]],A2337:A4836,1,FALSE),0),1,0)</f>
        <v>0</v>
      </c>
    </row>
    <row r="2337" spans="1:15" x14ac:dyDescent="0.25">
      <c r="A2337">
        <v>2336</v>
      </c>
      <c r="B2337" s="1" t="s">
        <v>30</v>
      </c>
      <c r="C2337" s="1">
        <f>car_price_prediction_[[#This Row],[Year2]]</f>
        <v>2005</v>
      </c>
      <c r="D2337">
        <v>2005</v>
      </c>
      <c r="E2337">
        <f>car_price_prediction_[[#This Row],[Engine Size]]/10</f>
        <v>2.2000000000000002</v>
      </c>
      <c r="F2337">
        <v>22</v>
      </c>
      <c r="G2337" s="1" t="s">
        <v>11</v>
      </c>
      <c r="H2337" s="1" t="s">
        <v>12</v>
      </c>
      <c r="I2337" s="12">
        <f>car_price_prediction_[[#This Row],[Mileage]]/1000</f>
        <v>50.271999999999998</v>
      </c>
      <c r="J2337" s="5">
        <v>50272</v>
      </c>
      <c r="K2337" s="1" t="s">
        <v>17</v>
      </c>
      <c r="L2337" s="5">
        <f>car_price_prediction_[[#This Row],[Price]]/100</f>
        <v>88815.61</v>
      </c>
      <c r="M2337">
        <v>8881561</v>
      </c>
      <c r="N2337" s="1" t="s">
        <v>31</v>
      </c>
      <c r="O2337" s="1">
        <f>IF(IFERROR(VLOOKUP(car_price_prediction_[[#This Row],[Car ID]],A2338:A4837,1,FALSE),0),1,0)</f>
        <v>0</v>
      </c>
    </row>
    <row r="2338" spans="1:15" x14ac:dyDescent="0.25">
      <c r="A2338">
        <v>2337</v>
      </c>
      <c r="B2338" s="1" t="s">
        <v>36</v>
      </c>
      <c r="C2338" s="1">
        <f>car_price_prediction_[[#This Row],[Year2]]</f>
        <v>2005</v>
      </c>
      <c r="D2338">
        <v>2005</v>
      </c>
      <c r="E2338">
        <f>car_price_prediction_[[#This Row],[Engine Size]]/10</f>
        <v>2.7</v>
      </c>
      <c r="F2338">
        <v>27</v>
      </c>
      <c r="G2338" s="1" t="s">
        <v>11</v>
      </c>
      <c r="H2338" s="1" t="s">
        <v>12</v>
      </c>
      <c r="I2338" s="12">
        <f>car_price_prediction_[[#This Row],[Mileage]]/1000</f>
        <v>5.31</v>
      </c>
      <c r="J2338" s="5">
        <v>5310</v>
      </c>
      <c r="K2338" s="1" t="s">
        <v>25</v>
      </c>
      <c r="L2338" s="5">
        <f>car_price_prediction_[[#This Row],[Price]]/100</f>
        <v>28216.27</v>
      </c>
      <c r="M2338">
        <v>2821627</v>
      </c>
      <c r="N2338" s="1" t="s">
        <v>37</v>
      </c>
      <c r="O2338" s="1">
        <f>IF(IFERROR(VLOOKUP(car_price_prediction_[[#This Row],[Car ID]],A2339:A4838,1,FALSE),0),1,0)</f>
        <v>0</v>
      </c>
    </row>
    <row r="2339" spans="1:15" x14ac:dyDescent="0.25">
      <c r="A2339">
        <v>2338</v>
      </c>
      <c r="B2339" s="1" t="s">
        <v>30</v>
      </c>
      <c r="C2339" s="1">
        <f>car_price_prediction_[[#This Row],[Year2]]</f>
        <v>2019</v>
      </c>
      <c r="D2339">
        <v>2019</v>
      </c>
      <c r="E2339">
        <f>car_price_prediction_[[#This Row],[Engine Size]]/10</f>
        <v>5.5</v>
      </c>
      <c r="F2339">
        <v>55</v>
      </c>
      <c r="G2339" s="1" t="s">
        <v>11</v>
      </c>
      <c r="H2339" s="1" t="s">
        <v>12</v>
      </c>
      <c r="I2339" s="12">
        <f>car_price_prediction_[[#This Row],[Mileage]]/1000</f>
        <v>31.817</v>
      </c>
      <c r="J2339" s="5">
        <v>31817</v>
      </c>
      <c r="K2339" s="1" t="s">
        <v>25</v>
      </c>
      <c r="L2339" s="5">
        <f>car_price_prediction_[[#This Row],[Price]]/100</f>
        <v>1408.14</v>
      </c>
      <c r="M2339">
        <v>140814</v>
      </c>
      <c r="N2339" s="1" t="s">
        <v>48</v>
      </c>
      <c r="O2339" s="1">
        <f>IF(IFERROR(VLOOKUP(car_price_prediction_[[#This Row],[Car ID]],A2340:A4839,1,FALSE),0),1,0)</f>
        <v>0</v>
      </c>
    </row>
    <row r="2340" spans="1:15" x14ac:dyDescent="0.25">
      <c r="A2340">
        <v>2339</v>
      </c>
      <c r="B2340" s="1" t="s">
        <v>24</v>
      </c>
      <c r="C2340" s="1">
        <f>car_price_prediction_[[#This Row],[Year2]]</f>
        <v>2019</v>
      </c>
      <c r="D2340">
        <v>2019</v>
      </c>
      <c r="E2340">
        <f>car_price_prediction_[[#This Row],[Engine Size]]/10</f>
        <v>5.8</v>
      </c>
      <c r="F2340">
        <v>58</v>
      </c>
      <c r="G2340" s="1" t="s">
        <v>21</v>
      </c>
      <c r="H2340" s="1" t="s">
        <v>12</v>
      </c>
      <c r="I2340" s="12">
        <f>car_price_prediction_[[#This Row],[Mileage]]/1000</f>
        <v>215.88800000000001</v>
      </c>
      <c r="J2340" s="5">
        <v>215888</v>
      </c>
      <c r="K2340" s="1" t="s">
        <v>25</v>
      </c>
      <c r="L2340" s="5">
        <f>car_price_prediction_[[#This Row],[Price]]/100</f>
        <v>46862.09</v>
      </c>
      <c r="M2340">
        <v>4686209</v>
      </c>
      <c r="N2340" s="1" t="s">
        <v>26</v>
      </c>
      <c r="O2340" s="1">
        <f>IF(IFERROR(VLOOKUP(car_price_prediction_[[#This Row],[Car ID]],A2341:A4840,1,FALSE),0),1,0)</f>
        <v>0</v>
      </c>
    </row>
    <row r="2341" spans="1:15" x14ac:dyDescent="0.25">
      <c r="A2341">
        <v>2340</v>
      </c>
      <c r="B2341" s="1" t="s">
        <v>36</v>
      </c>
      <c r="C2341" s="1">
        <f>car_price_prediction_[[#This Row],[Year2]]</f>
        <v>2020</v>
      </c>
      <c r="D2341">
        <v>2020</v>
      </c>
      <c r="E2341">
        <f>car_price_prediction_[[#This Row],[Engine Size]]/10</f>
        <v>3.2</v>
      </c>
      <c r="F2341">
        <v>32</v>
      </c>
      <c r="G2341" s="1" t="s">
        <v>11</v>
      </c>
      <c r="H2341" s="1" t="s">
        <v>12</v>
      </c>
      <c r="I2341" s="12">
        <f>car_price_prediction_[[#This Row],[Mileage]]/1000</f>
        <v>82.641000000000005</v>
      </c>
      <c r="J2341" s="5">
        <v>82641</v>
      </c>
      <c r="K2341" s="1" t="s">
        <v>25</v>
      </c>
      <c r="L2341" s="5">
        <f>car_price_prediction_[[#This Row],[Price]]/100</f>
        <v>69257.710000000006</v>
      </c>
      <c r="M2341">
        <v>6925771</v>
      </c>
      <c r="N2341" s="1" t="s">
        <v>40</v>
      </c>
      <c r="O2341" s="1">
        <f>IF(IFERROR(VLOOKUP(car_price_prediction_[[#This Row],[Car ID]],A2342:A4841,1,FALSE),0),1,0)</f>
        <v>0</v>
      </c>
    </row>
    <row r="2342" spans="1:15" x14ac:dyDescent="0.25">
      <c r="A2342">
        <v>2341</v>
      </c>
      <c r="B2342" s="1" t="s">
        <v>19</v>
      </c>
      <c r="C2342" s="1">
        <f>car_price_prediction_[[#This Row],[Year2]]</f>
        <v>2002</v>
      </c>
      <c r="D2342">
        <v>2002</v>
      </c>
      <c r="E2342">
        <f>car_price_prediction_[[#This Row],[Engine Size]]/10</f>
        <v>2.6</v>
      </c>
      <c r="F2342">
        <v>26</v>
      </c>
      <c r="G2342" s="1" t="s">
        <v>16</v>
      </c>
      <c r="H2342" s="1" t="s">
        <v>22</v>
      </c>
      <c r="I2342" s="12">
        <f>car_price_prediction_[[#This Row],[Mileage]]/1000</f>
        <v>215.155</v>
      </c>
      <c r="J2342" s="5">
        <v>215155</v>
      </c>
      <c r="K2342" s="1" t="s">
        <v>13</v>
      </c>
      <c r="L2342" s="5">
        <f>car_price_prediction_[[#This Row],[Price]]/100</f>
        <v>21661.919999999998</v>
      </c>
      <c r="M2342">
        <v>2166192</v>
      </c>
      <c r="N2342" s="1" t="s">
        <v>27</v>
      </c>
      <c r="O2342" s="1">
        <f>IF(IFERROR(VLOOKUP(car_price_prediction_[[#This Row],[Car ID]],A2343:A4842,1,FALSE),0),1,0)</f>
        <v>0</v>
      </c>
    </row>
    <row r="2343" spans="1:15" x14ac:dyDescent="0.25">
      <c r="A2343">
        <v>2342</v>
      </c>
      <c r="B2343" s="1" t="s">
        <v>43</v>
      </c>
      <c r="C2343" s="1">
        <f>car_price_prediction_[[#This Row],[Year2]]</f>
        <v>2016</v>
      </c>
      <c r="D2343">
        <v>2016</v>
      </c>
      <c r="E2343">
        <f>car_price_prediction_[[#This Row],[Engine Size]]/10</f>
        <v>3.6</v>
      </c>
      <c r="F2343">
        <v>36</v>
      </c>
      <c r="G2343" s="1" t="s">
        <v>29</v>
      </c>
      <c r="H2343" s="1" t="s">
        <v>22</v>
      </c>
      <c r="I2343" s="12">
        <f>car_price_prediction_[[#This Row],[Mileage]]/1000</f>
        <v>207.38200000000001</v>
      </c>
      <c r="J2343" s="5">
        <v>207382</v>
      </c>
      <c r="K2343" s="1" t="s">
        <v>25</v>
      </c>
      <c r="L2343" s="5">
        <f>car_price_prediction_[[#This Row],[Price]]/100</f>
        <v>5375.52</v>
      </c>
      <c r="M2343">
        <v>537552</v>
      </c>
      <c r="N2343" s="1" t="s">
        <v>47</v>
      </c>
      <c r="O2343" s="1">
        <f>IF(IFERROR(VLOOKUP(car_price_prediction_[[#This Row],[Car ID]],A2344:A4843,1,FALSE),0),1,0)</f>
        <v>0</v>
      </c>
    </row>
    <row r="2344" spans="1:15" x14ac:dyDescent="0.25">
      <c r="A2344">
        <v>2343</v>
      </c>
      <c r="B2344" s="1" t="s">
        <v>24</v>
      </c>
      <c r="C2344" s="1">
        <f>car_price_prediction_[[#This Row],[Year2]]</f>
        <v>2016</v>
      </c>
      <c r="D2344">
        <v>2016</v>
      </c>
      <c r="E2344">
        <f>car_price_prediction_[[#This Row],[Engine Size]]/10</f>
        <v>4.4000000000000004</v>
      </c>
      <c r="F2344">
        <v>44</v>
      </c>
      <c r="G2344" s="1" t="s">
        <v>21</v>
      </c>
      <c r="H2344" s="1" t="s">
        <v>12</v>
      </c>
      <c r="I2344" s="12">
        <f>car_price_prediction_[[#This Row],[Mileage]]/1000</f>
        <v>15.457000000000001</v>
      </c>
      <c r="J2344" s="5">
        <v>15457</v>
      </c>
      <c r="K2344" s="1" t="s">
        <v>25</v>
      </c>
      <c r="L2344" s="5">
        <f>car_price_prediction_[[#This Row],[Price]]/100</f>
        <v>45414.47</v>
      </c>
      <c r="M2344">
        <v>4541447</v>
      </c>
      <c r="N2344" s="1" t="s">
        <v>32</v>
      </c>
      <c r="O2344" s="1">
        <f>IF(IFERROR(VLOOKUP(car_price_prediction_[[#This Row],[Car ID]],A2345:A4844,1,FALSE),0),1,0)</f>
        <v>0</v>
      </c>
    </row>
    <row r="2345" spans="1:15" x14ac:dyDescent="0.25">
      <c r="A2345">
        <v>2344</v>
      </c>
      <c r="B2345" s="1" t="s">
        <v>24</v>
      </c>
      <c r="C2345" s="1">
        <f>car_price_prediction_[[#This Row],[Year2]]</f>
        <v>2011</v>
      </c>
      <c r="D2345">
        <v>2011</v>
      </c>
      <c r="E2345">
        <f>car_price_prediction_[[#This Row],[Engine Size]]/10</f>
        <v>2.4</v>
      </c>
      <c r="F2345">
        <v>24</v>
      </c>
      <c r="G2345" s="1" t="s">
        <v>29</v>
      </c>
      <c r="H2345" s="1" t="s">
        <v>12</v>
      </c>
      <c r="I2345" s="12">
        <f>car_price_prediction_[[#This Row],[Mileage]]/1000</f>
        <v>42.311</v>
      </c>
      <c r="J2345" s="5">
        <v>42311</v>
      </c>
      <c r="K2345" s="1" t="s">
        <v>17</v>
      </c>
      <c r="L2345" s="5">
        <f>car_price_prediction_[[#This Row],[Price]]/100</f>
        <v>89602.36</v>
      </c>
      <c r="M2345">
        <v>8960236</v>
      </c>
      <c r="N2345" s="1" t="s">
        <v>26</v>
      </c>
      <c r="O2345" s="1">
        <f>IF(IFERROR(VLOOKUP(car_price_prediction_[[#This Row],[Car ID]],A2346:A4845,1,FALSE),0),1,0)</f>
        <v>0</v>
      </c>
    </row>
    <row r="2346" spans="1:15" x14ac:dyDescent="0.25">
      <c r="A2346">
        <v>2345</v>
      </c>
      <c r="B2346" s="1" t="s">
        <v>15</v>
      </c>
      <c r="C2346" s="1">
        <f>car_price_prediction_[[#This Row],[Year2]]</f>
        <v>2015</v>
      </c>
      <c r="D2346">
        <v>2015</v>
      </c>
      <c r="E2346">
        <f>car_price_prediction_[[#This Row],[Engine Size]]/10</f>
        <v>4.7</v>
      </c>
      <c r="F2346">
        <v>47</v>
      </c>
      <c r="G2346" s="1" t="s">
        <v>11</v>
      </c>
      <c r="H2346" s="1" t="s">
        <v>12</v>
      </c>
      <c r="I2346" s="12">
        <f>car_price_prediction_[[#This Row],[Mileage]]/1000</f>
        <v>151.958</v>
      </c>
      <c r="J2346" s="5">
        <v>151958</v>
      </c>
      <c r="K2346" s="1" t="s">
        <v>17</v>
      </c>
      <c r="L2346" s="5">
        <f>car_price_prediction_[[#This Row],[Price]]/100</f>
        <v>45808.83</v>
      </c>
      <c r="M2346">
        <v>4580883</v>
      </c>
      <c r="N2346" s="1" t="s">
        <v>39</v>
      </c>
      <c r="O2346" s="1">
        <f>IF(IFERROR(VLOOKUP(car_price_prediction_[[#This Row],[Car ID]],A2347:A4846,1,FALSE),0),1,0)</f>
        <v>0</v>
      </c>
    </row>
    <row r="2347" spans="1:15" x14ac:dyDescent="0.25">
      <c r="A2347">
        <v>2346</v>
      </c>
      <c r="B2347" s="1" t="s">
        <v>30</v>
      </c>
      <c r="C2347" s="1">
        <f>car_price_prediction_[[#This Row],[Year2]]</f>
        <v>2014</v>
      </c>
      <c r="D2347">
        <v>2014</v>
      </c>
      <c r="E2347">
        <f>car_price_prediction_[[#This Row],[Engine Size]]/10</f>
        <v>1.3</v>
      </c>
      <c r="F2347">
        <v>13</v>
      </c>
      <c r="G2347" s="1" t="s">
        <v>21</v>
      </c>
      <c r="H2347" s="1" t="s">
        <v>22</v>
      </c>
      <c r="I2347" s="12">
        <f>car_price_prediction_[[#This Row],[Mileage]]/1000</f>
        <v>123.57299999999999</v>
      </c>
      <c r="J2347" s="5">
        <v>123573</v>
      </c>
      <c r="K2347" s="1" t="s">
        <v>17</v>
      </c>
      <c r="L2347" s="5">
        <f>car_price_prediction_[[#This Row],[Price]]/100</f>
        <v>55708.76</v>
      </c>
      <c r="M2347">
        <v>5570876</v>
      </c>
      <c r="N2347" s="1" t="s">
        <v>45</v>
      </c>
      <c r="O2347" s="1">
        <f>IF(IFERROR(VLOOKUP(car_price_prediction_[[#This Row],[Car ID]],A2348:A4847,1,FALSE),0),1,0)</f>
        <v>0</v>
      </c>
    </row>
    <row r="2348" spans="1:15" x14ac:dyDescent="0.25">
      <c r="A2348">
        <v>2347</v>
      </c>
      <c r="B2348" s="1" t="s">
        <v>24</v>
      </c>
      <c r="C2348" s="1">
        <f>car_price_prediction_[[#This Row],[Year2]]</f>
        <v>2012</v>
      </c>
      <c r="D2348">
        <v>2012</v>
      </c>
      <c r="E2348">
        <f>car_price_prediction_[[#This Row],[Engine Size]]/10</f>
        <v>1.2</v>
      </c>
      <c r="F2348">
        <v>12</v>
      </c>
      <c r="G2348" s="1" t="s">
        <v>16</v>
      </c>
      <c r="H2348" s="1" t="s">
        <v>22</v>
      </c>
      <c r="I2348" s="12">
        <f>car_price_prediction_[[#This Row],[Mileage]]/1000</f>
        <v>298.32499999999999</v>
      </c>
      <c r="J2348" s="5">
        <v>298325</v>
      </c>
      <c r="K2348" s="1" t="s">
        <v>13</v>
      </c>
      <c r="L2348" s="5">
        <f>car_price_prediction_[[#This Row],[Price]]/100</f>
        <v>95752.19</v>
      </c>
      <c r="M2348">
        <v>9575219</v>
      </c>
      <c r="N2348" s="1" t="s">
        <v>34</v>
      </c>
      <c r="O2348" s="1">
        <f>IF(IFERROR(VLOOKUP(car_price_prediction_[[#This Row],[Car ID]],A2349:A4848,1,FALSE),0),1,0)</f>
        <v>0</v>
      </c>
    </row>
    <row r="2349" spans="1:15" x14ac:dyDescent="0.25">
      <c r="A2349">
        <v>2348</v>
      </c>
      <c r="B2349" s="1" t="s">
        <v>24</v>
      </c>
      <c r="C2349" s="1">
        <f>car_price_prediction_[[#This Row],[Year2]]</f>
        <v>2022</v>
      </c>
      <c r="D2349">
        <v>2022</v>
      </c>
      <c r="E2349">
        <f>car_price_prediction_[[#This Row],[Engine Size]]/10</f>
        <v>2.9</v>
      </c>
      <c r="F2349">
        <v>29</v>
      </c>
      <c r="G2349" s="1" t="s">
        <v>11</v>
      </c>
      <c r="H2349" s="1" t="s">
        <v>12</v>
      </c>
      <c r="I2349" s="12">
        <f>car_price_prediction_[[#This Row],[Mileage]]/1000</f>
        <v>164.334</v>
      </c>
      <c r="J2349" s="5">
        <v>164334</v>
      </c>
      <c r="K2349" s="1" t="s">
        <v>13</v>
      </c>
      <c r="L2349" s="5">
        <f>car_price_prediction_[[#This Row],[Price]]/100</f>
        <v>33470.720000000001</v>
      </c>
      <c r="M2349">
        <v>3347072</v>
      </c>
      <c r="N2349" s="1" t="s">
        <v>53</v>
      </c>
      <c r="O2349" s="1">
        <f>IF(IFERROR(VLOOKUP(car_price_prediction_[[#This Row],[Car ID]],A2350:A4849,1,FALSE),0),1,0)</f>
        <v>0</v>
      </c>
    </row>
    <row r="2350" spans="1:15" x14ac:dyDescent="0.25">
      <c r="A2350">
        <v>2349</v>
      </c>
      <c r="B2350" s="1" t="s">
        <v>19</v>
      </c>
      <c r="C2350" s="1">
        <f>car_price_prediction_[[#This Row],[Year2]]</f>
        <v>2000</v>
      </c>
      <c r="D2350">
        <v>2000</v>
      </c>
      <c r="E2350">
        <f>car_price_prediction_[[#This Row],[Engine Size]]/10</f>
        <v>2.8</v>
      </c>
      <c r="F2350">
        <v>28</v>
      </c>
      <c r="G2350" s="1" t="s">
        <v>29</v>
      </c>
      <c r="H2350" s="1" t="s">
        <v>22</v>
      </c>
      <c r="I2350" s="12">
        <f>car_price_prediction_[[#This Row],[Mileage]]/1000</f>
        <v>263.27199999999999</v>
      </c>
      <c r="J2350" s="5">
        <v>263272</v>
      </c>
      <c r="K2350" s="1" t="s">
        <v>13</v>
      </c>
      <c r="L2350" s="5">
        <f>car_price_prediction_[[#This Row],[Price]]/100</f>
        <v>32454.14</v>
      </c>
      <c r="M2350">
        <v>3245414</v>
      </c>
      <c r="N2350" s="1" t="s">
        <v>38</v>
      </c>
      <c r="O2350" s="1">
        <f>IF(IFERROR(VLOOKUP(car_price_prediction_[[#This Row],[Car ID]],A2351:A4850,1,FALSE),0),1,0)</f>
        <v>0</v>
      </c>
    </row>
    <row r="2351" spans="1:15" x14ac:dyDescent="0.25">
      <c r="A2351">
        <v>2350</v>
      </c>
      <c r="B2351" s="1" t="s">
        <v>19</v>
      </c>
      <c r="C2351" s="1">
        <f>car_price_prediction_[[#This Row],[Year2]]</f>
        <v>2016</v>
      </c>
      <c r="D2351">
        <v>2016</v>
      </c>
      <c r="E2351">
        <f>car_price_prediction_[[#This Row],[Engine Size]]/10</f>
        <v>2.6</v>
      </c>
      <c r="F2351">
        <v>26</v>
      </c>
      <c r="G2351" s="1" t="s">
        <v>16</v>
      </c>
      <c r="H2351" s="1" t="s">
        <v>12</v>
      </c>
      <c r="I2351" s="12">
        <f>car_price_prediction_[[#This Row],[Mileage]]/1000</f>
        <v>79.522000000000006</v>
      </c>
      <c r="J2351" s="5">
        <v>79522</v>
      </c>
      <c r="K2351" s="1" t="s">
        <v>17</v>
      </c>
      <c r="L2351" s="5">
        <f>car_price_prediction_[[#This Row],[Price]]/100</f>
        <v>80961.53</v>
      </c>
      <c r="M2351">
        <v>8096153</v>
      </c>
      <c r="N2351" s="1" t="s">
        <v>38</v>
      </c>
      <c r="O2351" s="1">
        <f>IF(IFERROR(VLOOKUP(car_price_prediction_[[#This Row],[Car ID]],A2352:A4851,1,FALSE),0),1,0)</f>
        <v>0</v>
      </c>
    </row>
    <row r="2352" spans="1:15" x14ac:dyDescent="0.25">
      <c r="A2352">
        <v>2351</v>
      </c>
      <c r="B2352" s="1" t="s">
        <v>36</v>
      </c>
      <c r="C2352" s="1">
        <f>car_price_prediction_[[#This Row],[Year2]]</f>
        <v>2002</v>
      </c>
      <c r="D2352">
        <v>2002</v>
      </c>
      <c r="E2352">
        <f>car_price_prediction_[[#This Row],[Engine Size]]/10</f>
        <v>3.5</v>
      </c>
      <c r="F2352">
        <v>35</v>
      </c>
      <c r="G2352" s="1" t="s">
        <v>11</v>
      </c>
      <c r="H2352" s="1" t="s">
        <v>22</v>
      </c>
      <c r="I2352" s="12">
        <f>car_price_prediction_[[#This Row],[Mileage]]/1000</f>
        <v>163.39400000000001</v>
      </c>
      <c r="J2352" s="5">
        <v>163394</v>
      </c>
      <c r="K2352" s="1" t="s">
        <v>25</v>
      </c>
      <c r="L2352" s="5">
        <f>car_price_prediction_[[#This Row],[Price]]/100</f>
        <v>3136.62</v>
      </c>
      <c r="M2352">
        <v>313662</v>
      </c>
      <c r="N2352" s="1" t="s">
        <v>41</v>
      </c>
      <c r="O2352" s="1">
        <f>IF(IFERROR(VLOOKUP(car_price_prediction_[[#This Row],[Car ID]],A2353:A4852,1,FALSE),0),1,0)</f>
        <v>0</v>
      </c>
    </row>
    <row r="2353" spans="1:15" x14ac:dyDescent="0.25">
      <c r="A2353">
        <v>2352</v>
      </c>
      <c r="B2353" s="1" t="s">
        <v>10</v>
      </c>
      <c r="C2353" s="1">
        <f>car_price_prediction_[[#This Row],[Year2]]</f>
        <v>2014</v>
      </c>
      <c r="D2353">
        <v>2014</v>
      </c>
      <c r="E2353">
        <f>car_price_prediction_[[#This Row],[Engine Size]]/10</f>
        <v>2.6</v>
      </c>
      <c r="F2353">
        <v>26</v>
      </c>
      <c r="G2353" s="1" t="s">
        <v>16</v>
      </c>
      <c r="H2353" s="1" t="s">
        <v>22</v>
      </c>
      <c r="I2353" s="12">
        <f>car_price_prediction_[[#This Row],[Mileage]]/1000</f>
        <v>48.929000000000002</v>
      </c>
      <c r="J2353" s="5">
        <v>48929</v>
      </c>
      <c r="K2353" s="1" t="s">
        <v>17</v>
      </c>
      <c r="L2353" s="5">
        <f>car_price_prediction_[[#This Row],[Price]]/100</f>
        <v>84027.26</v>
      </c>
      <c r="M2353">
        <v>8402726</v>
      </c>
      <c r="N2353" s="1" t="s">
        <v>33</v>
      </c>
      <c r="O2353" s="1">
        <f>IF(IFERROR(VLOOKUP(car_price_prediction_[[#This Row],[Car ID]],A2354:A4853,1,FALSE),0),1,0)</f>
        <v>0</v>
      </c>
    </row>
    <row r="2354" spans="1:15" x14ac:dyDescent="0.25">
      <c r="A2354">
        <v>2353</v>
      </c>
      <c r="B2354" s="1" t="s">
        <v>10</v>
      </c>
      <c r="C2354" s="1">
        <f>car_price_prediction_[[#This Row],[Year2]]</f>
        <v>2003</v>
      </c>
      <c r="D2354">
        <v>2003</v>
      </c>
      <c r="E2354">
        <f>car_price_prediction_[[#This Row],[Engine Size]]/10</f>
        <v>2</v>
      </c>
      <c r="F2354">
        <v>20</v>
      </c>
      <c r="G2354" s="1" t="s">
        <v>11</v>
      </c>
      <c r="H2354" s="1" t="s">
        <v>12</v>
      </c>
      <c r="I2354" s="12">
        <f>car_price_prediction_[[#This Row],[Mileage]]/1000</f>
        <v>81.695999999999998</v>
      </c>
      <c r="J2354" s="5">
        <v>81696</v>
      </c>
      <c r="K2354" s="1" t="s">
        <v>13</v>
      </c>
      <c r="L2354" s="5">
        <f>car_price_prediction_[[#This Row],[Price]]/100</f>
        <v>14075.88</v>
      </c>
      <c r="M2354">
        <v>1407588</v>
      </c>
      <c r="N2354" s="1" t="s">
        <v>33</v>
      </c>
      <c r="O2354" s="1">
        <f>IF(IFERROR(VLOOKUP(car_price_prediction_[[#This Row],[Car ID]],A2355:A4854,1,FALSE),0),1,0)</f>
        <v>0</v>
      </c>
    </row>
    <row r="2355" spans="1:15" x14ac:dyDescent="0.25">
      <c r="A2355">
        <v>2354</v>
      </c>
      <c r="B2355" s="1" t="s">
        <v>43</v>
      </c>
      <c r="C2355" s="1">
        <f>car_price_prediction_[[#This Row],[Year2]]</f>
        <v>2003</v>
      </c>
      <c r="D2355">
        <v>2003</v>
      </c>
      <c r="E2355">
        <f>car_price_prediction_[[#This Row],[Engine Size]]/10</f>
        <v>2.5</v>
      </c>
      <c r="F2355">
        <v>25</v>
      </c>
      <c r="G2355" s="1" t="s">
        <v>21</v>
      </c>
      <c r="H2355" s="1" t="s">
        <v>22</v>
      </c>
      <c r="I2355" s="12">
        <f>car_price_prediction_[[#This Row],[Mileage]]/1000</f>
        <v>271.952</v>
      </c>
      <c r="J2355" s="5">
        <v>271952</v>
      </c>
      <c r="K2355" s="1" t="s">
        <v>17</v>
      </c>
      <c r="L2355" s="5">
        <f>car_price_prediction_[[#This Row],[Price]]/100</f>
        <v>15569.82</v>
      </c>
      <c r="M2355">
        <v>1556982</v>
      </c>
      <c r="N2355" s="1" t="s">
        <v>47</v>
      </c>
      <c r="O2355" s="1">
        <f>IF(IFERROR(VLOOKUP(car_price_prediction_[[#This Row],[Car ID]],A2356:A4855,1,FALSE),0),1,0)</f>
        <v>0</v>
      </c>
    </row>
    <row r="2356" spans="1:15" x14ac:dyDescent="0.25">
      <c r="A2356">
        <v>2355</v>
      </c>
      <c r="B2356" s="1" t="s">
        <v>10</v>
      </c>
      <c r="C2356" s="1">
        <f>car_price_prediction_[[#This Row],[Year2]]</f>
        <v>2017</v>
      </c>
      <c r="D2356">
        <v>2017</v>
      </c>
      <c r="E2356">
        <f>car_price_prediction_[[#This Row],[Engine Size]]/10</f>
        <v>5.9</v>
      </c>
      <c r="F2356">
        <v>59</v>
      </c>
      <c r="G2356" s="1" t="s">
        <v>11</v>
      </c>
      <c r="H2356" s="1" t="s">
        <v>22</v>
      </c>
      <c r="I2356" s="12">
        <f>car_price_prediction_[[#This Row],[Mileage]]/1000</f>
        <v>95.147999999999996</v>
      </c>
      <c r="J2356" s="5">
        <v>95148</v>
      </c>
      <c r="K2356" s="1" t="s">
        <v>25</v>
      </c>
      <c r="L2356" s="5">
        <f>car_price_prediction_[[#This Row],[Price]]/100</f>
        <v>90625.72</v>
      </c>
      <c r="M2356">
        <v>9062572</v>
      </c>
      <c r="N2356" s="1" t="s">
        <v>14</v>
      </c>
      <c r="O2356" s="1">
        <f>IF(IFERROR(VLOOKUP(car_price_prediction_[[#This Row],[Car ID]],A2357:A4856,1,FALSE),0),1,0)</f>
        <v>0</v>
      </c>
    </row>
    <row r="2357" spans="1:15" x14ac:dyDescent="0.25">
      <c r="A2357">
        <v>2356</v>
      </c>
      <c r="B2357" s="1" t="s">
        <v>15</v>
      </c>
      <c r="C2357" s="1">
        <f>car_price_prediction_[[#This Row],[Year2]]</f>
        <v>2016</v>
      </c>
      <c r="D2357">
        <v>2016</v>
      </c>
      <c r="E2357">
        <f>car_price_prediction_[[#This Row],[Engine Size]]/10</f>
        <v>3.1</v>
      </c>
      <c r="F2357">
        <v>31</v>
      </c>
      <c r="G2357" s="1" t="s">
        <v>21</v>
      </c>
      <c r="H2357" s="1" t="s">
        <v>12</v>
      </c>
      <c r="I2357" s="12">
        <f>car_price_prediction_[[#This Row],[Mileage]]/1000</f>
        <v>283.86900000000003</v>
      </c>
      <c r="J2357" s="5">
        <v>283869</v>
      </c>
      <c r="K2357" s="1" t="s">
        <v>13</v>
      </c>
      <c r="L2357" s="5">
        <f>car_price_prediction_[[#This Row],[Price]]/100</f>
        <v>56377.17</v>
      </c>
      <c r="M2357">
        <v>5637717</v>
      </c>
      <c r="N2357" s="1" t="s">
        <v>18</v>
      </c>
      <c r="O2357" s="1">
        <f>IF(IFERROR(VLOOKUP(car_price_prediction_[[#This Row],[Car ID]],A2358:A4857,1,FALSE),0),1,0)</f>
        <v>0</v>
      </c>
    </row>
    <row r="2358" spans="1:15" x14ac:dyDescent="0.25">
      <c r="A2358">
        <v>2357</v>
      </c>
      <c r="B2358" s="1" t="s">
        <v>43</v>
      </c>
      <c r="C2358" s="1">
        <f>car_price_prediction_[[#This Row],[Year2]]</f>
        <v>2018</v>
      </c>
      <c r="D2358">
        <v>2018</v>
      </c>
      <c r="E2358">
        <f>car_price_prediction_[[#This Row],[Engine Size]]/10</f>
        <v>3.2</v>
      </c>
      <c r="F2358">
        <v>32</v>
      </c>
      <c r="G2358" s="1" t="s">
        <v>11</v>
      </c>
      <c r="H2358" s="1" t="s">
        <v>22</v>
      </c>
      <c r="I2358" s="12">
        <f>car_price_prediction_[[#This Row],[Mileage]]/1000</f>
        <v>220.02600000000001</v>
      </c>
      <c r="J2358" s="5">
        <v>220026</v>
      </c>
      <c r="K2358" s="1" t="s">
        <v>25</v>
      </c>
      <c r="L2358" s="5">
        <f>car_price_prediction_[[#This Row],[Price]]/100</f>
        <v>73287.360000000001</v>
      </c>
      <c r="M2358">
        <v>7328736</v>
      </c>
      <c r="N2358" s="1" t="s">
        <v>44</v>
      </c>
      <c r="O2358" s="1">
        <f>IF(IFERROR(VLOOKUP(car_price_prediction_[[#This Row],[Car ID]],A2359:A4858,1,FALSE),0),1,0)</f>
        <v>0</v>
      </c>
    </row>
    <row r="2359" spans="1:15" x14ac:dyDescent="0.25">
      <c r="A2359">
        <v>2358</v>
      </c>
      <c r="B2359" s="1" t="s">
        <v>36</v>
      </c>
      <c r="C2359" s="1">
        <f>car_price_prediction_[[#This Row],[Year2]]</f>
        <v>2010</v>
      </c>
      <c r="D2359">
        <v>2010</v>
      </c>
      <c r="E2359">
        <f>car_price_prediction_[[#This Row],[Engine Size]]/10</f>
        <v>3.9</v>
      </c>
      <c r="F2359">
        <v>39</v>
      </c>
      <c r="G2359" s="1" t="s">
        <v>11</v>
      </c>
      <c r="H2359" s="1" t="s">
        <v>12</v>
      </c>
      <c r="I2359" s="12">
        <f>car_price_prediction_[[#This Row],[Mileage]]/1000</f>
        <v>83.575999999999993</v>
      </c>
      <c r="J2359" s="5">
        <v>83576</v>
      </c>
      <c r="K2359" s="1" t="s">
        <v>25</v>
      </c>
      <c r="L2359" s="5">
        <f>car_price_prediction_[[#This Row],[Price]]/100</f>
        <v>26402.44</v>
      </c>
      <c r="M2359">
        <v>2640244</v>
      </c>
      <c r="N2359" s="1" t="s">
        <v>40</v>
      </c>
      <c r="O2359" s="1">
        <f>IF(IFERROR(VLOOKUP(car_price_prediction_[[#This Row],[Car ID]],A2360:A4859,1,FALSE),0),1,0)</f>
        <v>0</v>
      </c>
    </row>
    <row r="2360" spans="1:15" x14ac:dyDescent="0.25">
      <c r="A2360">
        <v>2359</v>
      </c>
      <c r="B2360" s="1" t="s">
        <v>19</v>
      </c>
      <c r="C2360" s="1">
        <f>car_price_prediction_[[#This Row],[Year2]]</f>
        <v>2019</v>
      </c>
      <c r="D2360">
        <v>2019</v>
      </c>
      <c r="E2360">
        <f>car_price_prediction_[[#This Row],[Engine Size]]/10</f>
        <v>5.9</v>
      </c>
      <c r="F2360">
        <v>59</v>
      </c>
      <c r="G2360" s="1" t="s">
        <v>29</v>
      </c>
      <c r="H2360" s="1" t="s">
        <v>22</v>
      </c>
      <c r="I2360" s="12">
        <f>car_price_prediction_[[#This Row],[Mileage]]/1000</f>
        <v>20.556999999999999</v>
      </c>
      <c r="J2360" s="5">
        <v>20557</v>
      </c>
      <c r="K2360" s="1" t="s">
        <v>13</v>
      </c>
      <c r="L2360" s="5">
        <f>car_price_prediction_[[#This Row],[Price]]/100</f>
        <v>20796.060000000001</v>
      </c>
      <c r="M2360">
        <v>2079606</v>
      </c>
      <c r="N2360" s="1" t="s">
        <v>20</v>
      </c>
      <c r="O2360" s="1">
        <f>IF(IFERROR(VLOOKUP(car_price_prediction_[[#This Row],[Car ID]],A2361:A4860,1,FALSE),0),1,0)</f>
        <v>0</v>
      </c>
    </row>
    <row r="2361" spans="1:15" x14ac:dyDescent="0.25">
      <c r="A2361">
        <v>2360</v>
      </c>
      <c r="B2361" s="1" t="s">
        <v>10</v>
      </c>
      <c r="C2361" s="1">
        <f>car_price_prediction_[[#This Row],[Year2]]</f>
        <v>2002</v>
      </c>
      <c r="D2361">
        <v>2002</v>
      </c>
      <c r="E2361">
        <f>car_price_prediction_[[#This Row],[Engine Size]]/10</f>
        <v>2.2000000000000002</v>
      </c>
      <c r="F2361">
        <v>22</v>
      </c>
      <c r="G2361" s="1" t="s">
        <v>16</v>
      </c>
      <c r="H2361" s="1" t="s">
        <v>12</v>
      </c>
      <c r="I2361" s="12">
        <f>car_price_prediction_[[#This Row],[Mileage]]/1000</f>
        <v>21.824999999999999</v>
      </c>
      <c r="J2361" s="5">
        <v>21825</v>
      </c>
      <c r="K2361" s="1" t="s">
        <v>25</v>
      </c>
      <c r="L2361" s="5">
        <f>car_price_prediction_[[#This Row],[Price]]/100</f>
        <v>84320.65</v>
      </c>
      <c r="M2361">
        <v>8432065</v>
      </c>
      <c r="N2361" s="1" t="s">
        <v>23</v>
      </c>
      <c r="O2361" s="1">
        <f>IF(IFERROR(VLOOKUP(car_price_prediction_[[#This Row],[Car ID]],A2362:A4861,1,FALSE),0),1,0)</f>
        <v>0</v>
      </c>
    </row>
    <row r="2362" spans="1:15" x14ac:dyDescent="0.25">
      <c r="A2362">
        <v>2361</v>
      </c>
      <c r="B2362" s="1" t="s">
        <v>30</v>
      </c>
      <c r="C2362" s="1">
        <f>car_price_prediction_[[#This Row],[Year2]]</f>
        <v>2007</v>
      </c>
      <c r="D2362">
        <v>2007</v>
      </c>
      <c r="E2362">
        <f>car_price_prediction_[[#This Row],[Engine Size]]/10</f>
        <v>4.4000000000000004</v>
      </c>
      <c r="F2362">
        <v>44</v>
      </c>
      <c r="G2362" s="1" t="s">
        <v>16</v>
      </c>
      <c r="H2362" s="1" t="s">
        <v>12</v>
      </c>
      <c r="I2362" s="12">
        <f>car_price_prediction_[[#This Row],[Mileage]]/1000</f>
        <v>271.142</v>
      </c>
      <c r="J2362" s="5">
        <v>271142</v>
      </c>
      <c r="K2362" s="1" t="s">
        <v>17</v>
      </c>
      <c r="L2362" s="5">
        <f>car_price_prediction_[[#This Row],[Price]]/100</f>
        <v>39069.22</v>
      </c>
      <c r="M2362">
        <v>3906922</v>
      </c>
      <c r="N2362" s="1" t="s">
        <v>48</v>
      </c>
      <c r="O2362" s="1">
        <f>IF(IFERROR(VLOOKUP(car_price_prediction_[[#This Row],[Car ID]],A2363:A4862,1,FALSE),0),1,0)</f>
        <v>0</v>
      </c>
    </row>
    <row r="2363" spans="1:15" x14ac:dyDescent="0.25">
      <c r="A2363">
        <v>2362</v>
      </c>
      <c r="B2363" s="1" t="s">
        <v>19</v>
      </c>
      <c r="C2363" s="1">
        <f>car_price_prediction_[[#This Row],[Year2]]</f>
        <v>2013</v>
      </c>
      <c r="D2363">
        <v>2013</v>
      </c>
      <c r="E2363">
        <f>car_price_prediction_[[#This Row],[Engine Size]]/10</f>
        <v>4.5999999999999996</v>
      </c>
      <c r="F2363">
        <v>46</v>
      </c>
      <c r="G2363" s="1" t="s">
        <v>16</v>
      </c>
      <c r="H2363" s="1" t="s">
        <v>22</v>
      </c>
      <c r="I2363" s="12">
        <f>car_price_prediction_[[#This Row],[Mileage]]/1000</f>
        <v>36.08</v>
      </c>
      <c r="J2363" s="5">
        <v>36080</v>
      </c>
      <c r="K2363" s="1" t="s">
        <v>25</v>
      </c>
      <c r="L2363" s="5">
        <f>car_price_prediction_[[#This Row],[Price]]/100</f>
        <v>4822.8100000000004</v>
      </c>
      <c r="M2363">
        <v>482281</v>
      </c>
      <c r="N2363" s="1" t="s">
        <v>38</v>
      </c>
      <c r="O2363" s="1">
        <f>IF(IFERROR(VLOOKUP(car_price_prediction_[[#This Row],[Car ID]],A2364:A4863,1,FALSE),0),1,0)</f>
        <v>0</v>
      </c>
    </row>
    <row r="2364" spans="1:15" x14ac:dyDescent="0.25">
      <c r="A2364">
        <v>2363</v>
      </c>
      <c r="B2364" s="1" t="s">
        <v>15</v>
      </c>
      <c r="C2364" s="1">
        <f>car_price_prediction_[[#This Row],[Year2]]</f>
        <v>2000</v>
      </c>
      <c r="D2364">
        <v>2000</v>
      </c>
      <c r="E2364">
        <f>car_price_prediction_[[#This Row],[Engine Size]]/10</f>
        <v>4</v>
      </c>
      <c r="F2364">
        <v>40</v>
      </c>
      <c r="G2364" s="1" t="s">
        <v>11</v>
      </c>
      <c r="H2364" s="1" t="s">
        <v>22</v>
      </c>
      <c r="I2364" s="12">
        <f>car_price_prediction_[[#This Row],[Mileage]]/1000</f>
        <v>258.815</v>
      </c>
      <c r="J2364" s="5">
        <v>258815</v>
      </c>
      <c r="K2364" s="1" t="s">
        <v>25</v>
      </c>
      <c r="L2364" s="5">
        <f>car_price_prediction_[[#This Row],[Price]]/100</f>
        <v>7657.33</v>
      </c>
      <c r="M2364">
        <v>765733</v>
      </c>
      <c r="N2364" s="1" t="s">
        <v>39</v>
      </c>
      <c r="O2364" s="1">
        <f>IF(IFERROR(VLOOKUP(car_price_prediction_[[#This Row],[Car ID]],A2365:A4864,1,FALSE),0),1,0)</f>
        <v>0</v>
      </c>
    </row>
    <row r="2365" spans="1:15" x14ac:dyDescent="0.25">
      <c r="A2365">
        <v>2364</v>
      </c>
      <c r="B2365" s="1" t="s">
        <v>19</v>
      </c>
      <c r="C2365" s="1">
        <f>car_price_prediction_[[#This Row],[Year2]]</f>
        <v>2013</v>
      </c>
      <c r="D2365">
        <v>2013</v>
      </c>
      <c r="E2365">
        <f>car_price_prediction_[[#This Row],[Engine Size]]/10</f>
        <v>1.4</v>
      </c>
      <c r="F2365">
        <v>14</v>
      </c>
      <c r="G2365" s="1" t="s">
        <v>11</v>
      </c>
      <c r="H2365" s="1" t="s">
        <v>12</v>
      </c>
      <c r="I2365" s="12">
        <f>car_price_prediction_[[#This Row],[Mileage]]/1000</f>
        <v>188.869</v>
      </c>
      <c r="J2365" s="5">
        <v>188869</v>
      </c>
      <c r="K2365" s="1" t="s">
        <v>25</v>
      </c>
      <c r="L2365" s="5">
        <f>car_price_prediction_[[#This Row],[Price]]/100</f>
        <v>41658.67</v>
      </c>
      <c r="M2365">
        <v>4165867</v>
      </c>
      <c r="N2365" s="1" t="s">
        <v>28</v>
      </c>
      <c r="O2365" s="1">
        <f>IF(IFERROR(VLOOKUP(car_price_prediction_[[#This Row],[Car ID]],A2366:A4865,1,FALSE),0),1,0)</f>
        <v>0</v>
      </c>
    </row>
    <row r="2366" spans="1:15" x14ac:dyDescent="0.25">
      <c r="A2366">
        <v>2365</v>
      </c>
      <c r="B2366" s="1" t="s">
        <v>15</v>
      </c>
      <c r="C2366" s="1">
        <f>car_price_prediction_[[#This Row],[Year2]]</f>
        <v>2001</v>
      </c>
      <c r="D2366">
        <v>2001</v>
      </c>
      <c r="E2366">
        <f>car_price_prediction_[[#This Row],[Engine Size]]/10</f>
        <v>4.4000000000000004</v>
      </c>
      <c r="F2366">
        <v>44</v>
      </c>
      <c r="G2366" s="1" t="s">
        <v>11</v>
      </c>
      <c r="H2366" s="1" t="s">
        <v>22</v>
      </c>
      <c r="I2366" s="12">
        <f>car_price_prediction_[[#This Row],[Mileage]]/1000</f>
        <v>146.874</v>
      </c>
      <c r="J2366" s="5">
        <v>146874</v>
      </c>
      <c r="K2366" s="1" t="s">
        <v>17</v>
      </c>
      <c r="L2366" s="5">
        <f>car_price_prediction_[[#This Row],[Price]]/100</f>
        <v>78191.59</v>
      </c>
      <c r="M2366">
        <v>7819159</v>
      </c>
      <c r="N2366" s="1" t="s">
        <v>18</v>
      </c>
      <c r="O2366" s="1">
        <f>IF(IFERROR(VLOOKUP(car_price_prediction_[[#This Row],[Car ID]],A2367:A4866,1,FALSE),0),1,0)</f>
        <v>0</v>
      </c>
    </row>
    <row r="2367" spans="1:15" x14ac:dyDescent="0.25">
      <c r="A2367">
        <v>2366</v>
      </c>
      <c r="B2367" s="1" t="s">
        <v>15</v>
      </c>
      <c r="C2367" s="1">
        <f>car_price_prediction_[[#This Row],[Year2]]</f>
        <v>2022</v>
      </c>
      <c r="D2367">
        <v>2022</v>
      </c>
      <c r="E2367">
        <f>car_price_prediction_[[#This Row],[Engine Size]]/10</f>
        <v>1.3</v>
      </c>
      <c r="F2367">
        <v>13</v>
      </c>
      <c r="G2367" s="1" t="s">
        <v>21</v>
      </c>
      <c r="H2367" s="1" t="s">
        <v>22</v>
      </c>
      <c r="I2367" s="12">
        <f>car_price_prediction_[[#This Row],[Mileage]]/1000</f>
        <v>42.406999999999996</v>
      </c>
      <c r="J2367" s="5">
        <v>42407</v>
      </c>
      <c r="K2367" s="1" t="s">
        <v>25</v>
      </c>
      <c r="L2367" s="5">
        <f>car_price_prediction_[[#This Row],[Price]]/100</f>
        <v>83021.14</v>
      </c>
      <c r="M2367">
        <v>8302114</v>
      </c>
      <c r="N2367" s="1" t="s">
        <v>51</v>
      </c>
      <c r="O2367" s="1">
        <f>IF(IFERROR(VLOOKUP(car_price_prediction_[[#This Row],[Car ID]],A2368:A4867,1,FALSE),0),1,0)</f>
        <v>0</v>
      </c>
    </row>
    <row r="2368" spans="1:15" x14ac:dyDescent="0.25">
      <c r="A2368">
        <v>2367</v>
      </c>
      <c r="B2368" s="1" t="s">
        <v>15</v>
      </c>
      <c r="C2368" s="1">
        <f>car_price_prediction_[[#This Row],[Year2]]</f>
        <v>2003</v>
      </c>
      <c r="D2368">
        <v>2003</v>
      </c>
      <c r="E2368">
        <f>car_price_prediction_[[#This Row],[Engine Size]]/10</f>
        <v>4</v>
      </c>
      <c r="F2368">
        <v>40</v>
      </c>
      <c r="G2368" s="1" t="s">
        <v>21</v>
      </c>
      <c r="H2368" s="1" t="s">
        <v>22</v>
      </c>
      <c r="I2368" s="12">
        <f>car_price_prediction_[[#This Row],[Mileage]]/1000</f>
        <v>120.283</v>
      </c>
      <c r="J2368" s="5">
        <v>120283</v>
      </c>
      <c r="K2368" s="1" t="s">
        <v>25</v>
      </c>
      <c r="L2368" s="5">
        <f>car_price_prediction_[[#This Row],[Price]]/100</f>
        <v>7138.17</v>
      </c>
      <c r="M2368">
        <v>713817</v>
      </c>
      <c r="N2368" s="1" t="s">
        <v>39</v>
      </c>
      <c r="O2368" s="1">
        <f>IF(IFERROR(VLOOKUP(car_price_prediction_[[#This Row],[Car ID]],A2369:A4868,1,FALSE),0),1,0)</f>
        <v>0</v>
      </c>
    </row>
    <row r="2369" spans="1:15" x14ac:dyDescent="0.25">
      <c r="A2369">
        <v>2368</v>
      </c>
      <c r="B2369" s="1" t="s">
        <v>36</v>
      </c>
      <c r="C2369" s="1">
        <f>car_price_prediction_[[#This Row],[Year2]]</f>
        <v>2023</v>
      </c>
      <c r="D2369">
        <v>2023</v>
      </c>
      <c r="E2369">
        <f>car_price_prediction_[[#This Row],[Engine Size]]/10</f>
        <v>4.7</v>
      </c>
      <c r="F2369">
        <v>47</v>
      </c>
      <c r="G2369" s="1" t="s">
        <v>29</v>
      </c>
      <c r="H2369" s="1" t="s">
        <v>12</v>
      </c>
      <c r="I2369" s="12">
        <f>car_price_prediction_[[#This Row],[Mileage]]/1000</f>
        <v>13.337999999999999</v>
      </c>
      <c r="J2369" s="5">
        <v>13338</v>
      </c>
      <c r="K2369" s="1" t="s">
        <v>17</v>
      </c>
      <c r="L2369" s="5">
        <f>car_price_prediction_[[#This Row],[Price]]/100</f>
        <v>70757.070000000007</v>
      </c>
      <c r="M2369">
        <v>7075707</v>
      </c>
      <c r="N2369" s="1" t="s">
        <v>46</v>
      </c>
      <c r="O2369" s="1">
        <f>IF(IFERROR(VLOOKUP(car_price_prediction_[[#This Row],[Car ID]],A2370:A4869,1,FALSE),0),1,0)</f>
        <v>0</v>
      </c>
    </row>
    <row r="2370" spans="1:15" x14ac:dyDescent="0.25">
      <c r="A2370">
        <v>2369</v>
      </c>
      <c r="B2370" s="1" t="s">
        <v>15</v>
      </c>
      <c r="C2370" s="1">
        <f>car_price_prediction_[[#This Row],[Year2]]</f>
        <v>2018</v>
      </c>
      <c r="D2370">
        <v>2018</v>
      </c>
      <c r="E2370">
        <f>car_price_prediction_[[#This Row],[Engine Size]]/10</f>
        <v>2.1</v>
      </c>
      <c r="F2370">
        <v>21</v>
      </c>
      <c r="G2370" s="1" t="s">
        <v>11</v>
      </c>
      <c r="H2370" s="1" t="s">
        <v>12</v>
      </c>
      <c r="I2370" s="12">
        <f>car_price_prediction_[[#This Row],[Mileage]]/1000</f>
        <v>76.289000000000001</v>
      </c>
      <c r="J2370" s="5">
        <v>76289</v>
      </c>
      <c r="K2370" s="1" t="s">
        <v>13</v>
      </c>
      <c r="L2370" s="5">
        <f>car_price_prediction_[[#This Row],[Price]]/100</f>
        <v>53092.73</v>
      </c>
      <c r="M2370">
        <v>5309273</v>
      </c>
      <c r="N2370" s="1" t="s">
        <v>39</v>
      </c>
      <c r="O2370" s="1">
        <f>IF(IFERROR(VLOOKUP(car_price_prediction_[[#This Row],[Car ID]],A2371:A4870,1,FALSE),0),1,0)</f>
        <v>0</v>
      </c>
    </row>
    <row r="2371" spans="1:15" x14ac:dyDescent="0.25">
      <c r="A2371">
        <v>2370</v>
      </c>
      <c r="B2371" s="1" t="s">
        <v>15</v>
      </c>
      <c r="C2371" s="1">
        <f>car_price_prediction_[[#This Row],[Year2]]</f>
        <v>2005</v>
      </c>
      <c r="D2371">
        <v>2005</v>
      </c>
      <c r="E2371">
        <f>car_price_prediction_[[#This Row],[Engine Size]]/10</f>
        <v>5.2</v>
      </c>
      <c r="F2371">
        <v>52</v>
      </c>
      <c r="G2371" s="1" t="s">
        <v>16</v>
      </c>
      <c r="H2371" s="1" t="s">
        <v>12</v>
      </c>
      <c r="I2371" s="12">
        <f>car_price_prediction_[[#This Row],[Mileage]]/1000</f>
        <v>149.96700000000001</v>
      </c>
      <c r="J2371" s="5">
        <v>149967</v>
      </c>
      <c r="K2371" s="1" t="s">
        <v>13</v>
      </c>
      <c r="L2371" s="5">
        <f>car_price_prediction_[[#This Row],[Price]]/100</f>
        <v>56141.29</v>
      </c>
      <c r="M2371">
        <v>5614129</v>
      </c>
      <c r="N2371" s="1" t="s">
        <v>35</v>
      </c>
      <c r="O2371" s="1">
        <f>IF(IFERROR(VLOOKUP(car_price_prediction_[[#This Row],[Car ID]],A2372:A4871,1,FALSE),0),1,0)</f>
        <v>0</v>
      </c>
    </row>
    <row r="2372" spans="1:15" x14ac:dyDescent="0.25">
      <c r="A2372">
        <v>2371</v>
      </c>
      <c r="B2372" s="1" t="s">
        <v>30</v>
      </c>
      <c r="C2372" s="1">
        <f>car_price_prediction_[[#This Row],[Year2]]</f>
        <v>2000</v>
      </c>
      <c r="D2372">
        <v>2000</v>
      </c>
      <c r="E2372">
        <f>car_price_prediction_[[#This Row],[Engine Size]]/10</f>
        <v>1.2</v>
      </c>
      <c r="F2372">
        <v>12</v>
      </c>
      <c r="G2372" s="1" t="s">
        <v>16</v>
      </c>
      <c r="H2372" s="1" t="s">
        <v>22</v>
      </c>
      <c r="I2372" s="12">
        <f>car_price_prediction_[[#This Row],[Mileage]]/1000</f>
        <v>178.982</v>
      </c>
      <c r="J2372" s="5">
        <v>178982</v>
      </c>
      <c r="K2372" s="1" t="s">
        <v>13</v>
      </c>
      <c r="L2372" s="5">
        <f>car_price_prediction_[[#This Row],[Price]]/100</f>
        <v>75550.02</v>
      </c>
      <c r="M2372">
        <v>7555002</v>
      </c>
      <c r="N2372" s="1" t="s">
        <v>42</v>
      </c>
      <c r="O2372" s="1">
        <f>IF(IFERROR(VLOOKUP(car_price_prediction_[[#This Row],[Car ID]],A2373:A4872,1,FALSE),0),1,0)</f>
        <v>0</v>
      </c>
    </row>
    <row r="2373" spans="1:15" x14ac:dyDescent="0.25">
      <c r="A2373">
        <v>2372</v>
      </c>
      <c r="B2373" s="1" t="s">
        <v>43</v>
      </c>
      <c r="C2373" s="1">
        <f>car_price_prediction_[[#This Row],[Year2]]</f>
        <v>2016</v>
      </c>
      <c r="D2373">
        <v>2016</v>
      </c>
      <c r="E2373">
        <f>car_price_prediction_[[#This Row],[Engine Size]]/10</f>
        <v>5.2</v>
      </c>
      <c r="F2373">
        <v>52</v>
      </c>
      <c r="G2373" s="1" t="s">
        <v>29</v>
      </c>
      <c r="H2373" s="1" t="s">
        <v>22</v>
      </c>
      <c r="I2373" s="12">
        <f>car_price_prediction_[[#This Row],[Mileage]]/1000</f>
        <v>109.367</v>
      </c>
      <c r="J2373" s="5">
        <v>109367</v>
      </c>
      <c r="K2373" s="1" t="s">
        <v>25</v>
      </c>
      <c r="L2373" s="5">
        <f>car_price_prediction_[[#This Row],[Price]]/100</f>
        <v>28493.67</v>
      </c>
      <c r="M2373">
        <v>2849367</v>
      </c>
      <c r="N2373" s="1" t="s">
        <v>44</v>
      </c>
      <c r="O2373" s="1">
        <f>IF(IFERROR(VLOOKUP(car_price_prediction_[[#This Row],[Car ID]],A2374:A4873,1,FALSE),0),1,0)</f>
        <v>0</v>
      </c>
    </row>
    <row r="2374" spans="1:15" x14ac:dyDescent="0.25">
      <c r="A2374">
        <v>2373</v>
      </c>
      <c r="B2374" s="1" t="s">
        <v>24</v>
      </c>
      <c r="C2374" s="1">
        <f>car_price_prediction_[[#This Row],[Year2]]</f>
        <v>2007</v>
      </c>
      <c r="D2374">
        <v>2007</v>
      </c>
      <c r="E2374">
        <f>car_price_prediction_[[#This Row],[Engine Size]]/10</f>
        <v>3.3</v>
      </c>
      <c r="F2374">
        <v>33</v>
      </c>
      <c r="G2374" s="1" t="s">
        <v>16</v>
      </c>
      <c r="H2374" s="1" t="s">
        <v>12</v>
      </c>
      <c r="I2374" s="12">
        <f>car_price_prediction_[[#This Row],[Mileage]]/1000</f>
        <v>117.486</v>
      </c>
      <c r="J2374" s="5">
        <v>117486</v>
      </c>
      <c r="K2374" s="1" t="s">
        <v>13</v>
      </c>
      <c r="L2374" s="5">
        <f>car_price_prediction_[[#This Row],[Price]]/100</f>
        <v>26994.12</v>
      </c>
      <c r="M2374">
        <v>2699412</v>
      </c>
      <c r="N2374" s="1" t="s">
        <v>34</v>
      </c>
      <c r="O2374" s="1">
        <f>IF(IFERROR(VLOOKUP(car_price_prediction_[[#This Row],[Car ID]],A2375:A4874,1,FALSE),0),1,0)</f>
        <v>0</v>
      </c>
    </row>
    <row r="2375" spans="1:15" x14ac:dyDescent="0.25">
      <c r="A2375">
        <v>2374</v>
      </c>
      <c r="B2375" s="1" t="s">
        <v>43</v>
      </c>
      <c r="C2375" s="1">
        <f>car_price_prediction_[[#This Row],[Year2]]</f>
        <v>2018</v>
      </c>
      <c r="D2375">
        <v>2018</v>
      </c>
      <c r="E2375">
        <f>car_price_prediction_[[#This Row],[Engine Size]]/10</f>
        <v>2.1</v>
      </c>
      <c r="F2375">
        <v>21</v>
      </c>
      <c r="G2375" s="1" t="s">
        <v>29</v>
      </c>
      <c r="H2375" s="1" t="s">
        <v>12</v>
      </c>
      <c r="I2375" s="12">
        <f>car_price_prediction_[[#This Row],[Mileage]]/1000</f>
        <v>214.209</v>
      </c>
      <c r="J2375" s="5">
        <v>214209</v>
      </c>
      <c r="K2375" s="1" t="s">
        <v>17</v>
      </c>
      <c r="L2375" s="5">
        <f>car_price_prediction_[[#This Row],[Price]]/100</f>
        <v>95242.86</v>
      </c>
      <c r="M2375">
        <v>9524286</v>
      </c>
      <c r="N2375" s="1" t="s">
        <v>47</v>
      </c>
      <c r="O2375" s="1">
        <f>IF(IFERROR(VLOOKUP(car_price_prediction_[[#This Row],[Car ID]],A2376:A4875,1,FALSE),0),1,0)</f>
        <v>0</v>
      </c>
    </row>
    <row r="2376" spans="1:15" x14ac:dyDescent="0.25">
      <c r="A2376">
        <v>2375</v>
      </c>
      <c r="B2376" s="1" t="s">
        <v>15</v>
      </c>
      <c r="C2376" s="1">
        <f>car_price_prediction_[[#This Row],[Year2]]</f>
        <v>2020</v>
      </c>
      <c r="D2376">
        <v>2020</v>
      </c>
      <c r="E2376">
        <f>car_price_prediction_[[#This Row],[Engine Size]]/10</f>
        <v>1.7</v>
      </c>
      <c r="F2376">
        <v>17</v>
      </c>
      <c r="G2376" s="1" t="s">
        <v>11</v>
      </c>
      <c r="H2376" s="1" t="s">
        <v>22</v>
      </c>
      <c r="I2376" s="12">
        <f>car_price_prediction_[[#This Row],[Mileage]]/1000</f>
        <v>256.05500000000001</v>
      </c>
      <c r="J2376" s="5">
        <v>256055</v>
      </c>
      <c r="K2376" s="1" t="s">
        <v>25</v>
      </c>
      <c r="L2376" s="5">
        <f>car_price_prediction_[[#This Row],[Price]]/100</f>
        <v>7630.54</v>
      </c>
      <c r="M2376">
        <v>763054</v>
      </c>
      <c r="N2376" s="1" t="s">
        <v>51</v>
      </c>
      <c r="O2376" s="1">
        <f>IF(IFERROR(VLOOKUP(car_price_prediction_[[#This Row],[Car ID]],A2377:A4876,1,FALSE),0),1,0)</f>
        <v>0</v>
      </c>
    </row>
    <row r="2377" spans="1:15" x14ac:dyDescent="0.25">
      <c r="A2377">
        <v>2376</v>
      </c>
      <c r="B2377" s="1" t="s">
        <v>30</v>
      </c>
      <c r="C2377" s="1">
        <f>car_price_prediction_[[#This Row],[Year2]]</f>
        <v>2000</v>
      </c>
      <c r="D2377">
        <v>2000</v>
      </c>
      <c r="E2377">
        <f>car_price_prediction_[[#This Row],[Engine Size]]/10</f>
        <v>5.8</v>
      </c>
      <c r="F2377">
        <v>58</v>
      </c>
      <c r="G2377" s="1" t="s">
        <v>16</v>
      </c>
      <c r="H2377" s="1" t="s">
        <v>22</v>
      </c>
      <c r="I2377" s="12">
        <f>car_price_prediction_[[#This Row],[Mileage]]/1000</f>
        <v>136.42099999999999</v>
      </c>
      <c r="J2377" s="5">
        <v>136421</v>
      </c>
      <c r="K2377" s="1" t="s">
        <v>25</v>
      </c>
      <c r="L2377" s="5">
        <f>car_price_prediction_[[#This Row],[Price]]/100</f>
        <v>18249.22</v>
      </c>
      <c r="M2377">
        <v>1824922</v>
      </c>
      <c r="N2377" s="1" t="s">
        <v>48</v>
      </c>
      <c r="O2377" s="1">
        <f>IF(IFERROR(VLOOKUP(car_price_prediction_[[#This Row],[Car ID]],A2378:A4877,1,FALSE),0),1,0)</f>
        <v>0</v>
      </c>
    </row>
    <row r="2378" spans="1:15" x14ac:dyDescent="0.25">
      <c r="A2378">
        <v>2377</v>
      </c>
      <c r="B2378" s="1" t="s">
        <v>19</v>
      </c>
      <c r="C2378" s="1">
        <f>car_price_prediction_[[#This Row],[Year2]]</f>
        <v>2004</v>
      </c>
      <c r="D2378">
        <v>2004</v>
      </c>
      <c r="E2378">
        <f>car_price_prediction_[[#This Row],[Engine Size]]/10</f>
        <v>1.4</v>
      </c>
      <c r="F2378">
        <v>14</v>
      </c>
      <c r="G2378" s="1" t="s">
        <v>11</v>
      </c>
      <c r="H2378" s="1" t="s">
        <v>22</v>
      </c>
      <c r="I2378" s="12">
        <f>car_price_prediction_[[#This Row],[Mileage]]/1000</f>
        <v>153.535</v>
      </c>
      <c r="J2378" s="5">
        <v>153535</v>
      </c>
      <c r="K2378" s="1" t="s">
        <v>25</v>
      </c>
      <c r="L2378" s="5">
        <f>car_price_prediction_[[#This Row],[Price]]/100</f>
        <v>59181.58</v>
      </c>
      <c r="M2378">
        <v>5918158</v>
      </c>
      <c r="N2378" s="1" t="s">
        <v>28</v>
      </c>
      <c r="O2378" s="1">
        <f>IF(IFERROR(VLOOKUP(car_price_prediction_[[#This Row],[Car ID]],A2379:A4878,1,FALSE),0),1,0)</f>
        <v>0</v>
      </c>
    </row>
    <row r="2379" spans="1:15" x14ac:dyDescent="0.25">
      <c r="A2379">
        <v>2378</v>
      </c>
      <c r="B2379" s="1" t="s">
        <v>30</v>
      </c>
      <c r="C2379" s="1">
        <f>car_price_prediction_[[#This Row],[Year2]]</f>
        <v>2015</v>
      </c>
      <c r="D2379">
        <v>2015</v>
      </c>
      <c r="E2379">
        <f>car_price_prediction_[[#This Row],[Engine Size]]/10</f>
        <v>2</v>
      </c>
      <c r="F2379">
        <v>20</v>
      </c>
      <c r="G2379" s="1" t="s">
        <v>21</v>
      </c>
      <c r="H2379" s="1" t="s">
        <v>22</v>
      </c>
      <c r="I2379" s="12">
        <f>car_price_prediction_[[#This Row],[Mileage]]/1000</f>
        <v>74.935000000000002</v>
      </c>
      <c r="J2379" s="5">
        <v>74935</v>
      </c>
      <c r="K2379" s="1" t="s">
        <v>13</v>
      </c>
      <c r="L2379" s="5">
        <f>car_price_prediction_[[#This Row],[Price]]/100</f>
        <v>75094.31</v>
      </c>
      <c r="M2379">
        <v>7509431</v>
      </c>
      <c r="N2379" s="1" t="s">
        <v>48</v>
      </c>
      <c r="O2379" s="1">
        <f>IF(IFERROR(VLOOKUP(car_price_prediction_[[#This Row],[Car ID]],A2380:A4879,1,FALSE),0),1,0)</f>
        <v>0</v>
      </c>
    </row>
    <row r="2380" spans="1:15" x14ac:dyDescent="0.25">
      <c r="A2380">
        <v>2379</v>
      </c>
      <c r="B2380" s="1" t="s">
        <v>15</v>
      </c>
      <c r="C2380" s="1">
        <f>car_price_prediction_[[#This Row],[Year2]]</f>
        <v>2005</v>
      </c>
      <c r="D2380">
        <v>2005</v>
      </c>
      <c r="E2380">
        <f>car_price_prediction_[[#This Row],[Engine Size]]/10</f>
        <v>2.7</v>
      </c>
      <c r="F2380">
        <v>27</v>
      </c>
      <c r="G2380" s="1" t="s">
        <v>16</v>
      </c>
      <c r="H2380" s="1" t="s">
        <v>12</v>
      </c>
      <c r="I2380" s="12">
        <f>car_price_prediction_[[#This Row],[Mileage]]/1000</f>
        <v>189.864</v>
      </c>
      <c r="J2380" s="5">
        <v>189864</v>
      </c>
      <c r="K2380" s="1" t="s">
        <v>13</v>
      </c>
      <c r="L2380" s="5">
        <f>car_price_prediction_[[#This Row],[Price]]/100</f>
        <v>56099.65</v>
      </c>
      <c r="M2380">
        <v>5609965</v>
      </c>
      <c r="N2380" s="1" t="s">
        <v>35</v>
      </c>
      <c r="O2380" s="1">
        <f>IF(IFERROR(VLOOKUP(car_price_prediction_[[#This Row],[Car ID]],A2381:A4880,1,FALSE),0),1,0)</f>
        <v>0</v>
      </c>
    </row>
    <row r="2381" spans="1:15" x14ac:dyDescent="0.25">
      <c r="A2381">
        <v>2380</v>
      </c>
      <c r="B2381" s="1" t="s">
        <v>30</v>
      </c>
      <c r="C2381" s="1">
        <f>car_price_prediction_[[#This Row],[Year2]]</f>
        <v>2007</v>
      </c>
      <c r="D2381">
        <v>2007</v>
      </c>
      <c r="E2381">
        <f>car_price_prediction_[[#This Row],[Engine Size]]/10</f>
        <v>4.0999999999999996</v>
      </c>
      <c r="F2381">
        <v>41</v>
      </c>
      <c r="G2381" s="1" t="s">
        <v>21</v>
      </c>
      <c r="H2381" s="1" t="s">
        <v>22</v>
      </c>
      <c r="I2381" s="12">
        <f>car_price_prediction_[[#This Row],[Mileage]]/1000</f>
        <v>275.83</v>
      </c>
      <c r="J2381" s="5">
        <v>275830</v>
      </c>
      <c r="K2381" s="1" t="s">
        <v>13</v>
      </c>
      <c r="L2381" s="5">
        <f>car_price_prediction_[[#This Row],[Price]]/100</f>
        <v>38731.08</v>
      </c>
      <c r="M2381">
        <v>3873108</v>
      </c>
      <c r="N2381" s="1" t="s">
        <v>31</v>
      </c>
      <c r="O2381" s="1">
        <f>IF(IFERROR(VLOOKUP(car_price_prediction_[[#This Row],[Car ID]],A2382:A4881,1,FALSE),0),1,0)</f>
        <v>0</v>
      </c>
    </row>
    <row r="2382" spans="1:15" x14ac:dyDescent="0.25">
      <c r="A2382">
        <v>2381</v>
      </c>
      <c r="B2382" s="1" t="s">
        <v>10</v>
      </c>
      <c r="C2382" s="1">
        <f>car_price_prediction_[[#This Row],[Year2]]</f>
        <v>2012</v>
      </c>
      <c r="D2382">
        <v>2012</v>
      </c>
      <c r="E2382">
        <f>car_price_prediction_[[#This Row],[Engine Size]]/10</f>
        <v>3.7</v>
      </c>
      <c r="F2382">
        <v>37</v>
      </c>
      <c r="G2382" s="1" t="s">
        <v>16</v>
      </c>
      <c r="H2382" s="1" t="s">
        <v>22</v>
      </c>
      <c r="I2382" s="12">
        <f>car_price_prediction_[[#This Row],[Mileage]]/1000</f>
        <v>63.527999999999999</v>
      </c>
      <c r="J2382" s="5">
        <v>63528</v>
      </c>
      <c r="K2382" s="1" t="s">
        <v>25</v>
      </c>
      <c r="L2382" s="5">
        <f>car_price_prediction_[[#This Row],[Price]]/100</f>
        <v>97907.73</v>
      </c>
      <c r="M2382">
        <v>9790773</v>
      </c>
      <c r="N2382" s="1" t="s">
        <v>49</v>
      </c>
      <c r="O2382" s="1">
        <f>IF(IFERROR(VLOOKUP(car_price_prediction_[[#This Row],[Car ID]],A2383:A4882,1,FALSE),0),1,0)</f>
        <v>0</v>
      </c>
    </row>
    <row r="2383" spans="1:15" x14ac:dyDescent="0.25">
      <c r="A2383">
        <v>2382</v>
      </c>
      <c r="B2383" s="1" t="s">
        <v>30</v>
      </c>
      <c r="C2383" s="1">
        <f>car_price_prediction_[[#This Row],[Year2]]</f>
        <v>2015</v>
      </c>
      <c r="D2383">
        <v>2015</v>
      </c>
      <c r="E2383">
        <f>car_price_prediction_[[#This Row],[Engine Size]]/10</f>
        <v>1.6</v>
      </c>
      <c r="F2383">
        <v>16</v>
      </c>
      <c r="G2383" s="1" t="s">
        <v>11</v>
      </c>
      <c r="H2383" s="1" t="s">
        <v>12</v>
      </c>
      <c r="I2383" s="12">
        <f>car_price_prediction_[[#This Row],[Mileage]]/1000</f>
        <v>99.811000000000007</v>
      </c>
      <c r="J2383" s="5">
        <v>99811</v>
      </c>
      <c r="K2383" s="1" t="s">
        <v>17</v>
      </c>
      <c r="L2383" s="5">
        <f>car_price_prediction_[[#This Row],[Price]]/100</f>
        <v>71866.009999999995</v>
      </c>
      <c r="M2383">
        <v>7186601</v>
      </c>
      <c r="N2383" s="1" t="s">
        <v>48</v>
      </c>
      <c r="O2383" s="1">
        <f>IF(IFERROR(VLOOKUP(car_price_prediction_[[#This Row],[Car ID]],A2384:A4883,1,FALSE),0),1,0)</f>
        <v>0</v>
      </c>
    </row>
    <row r="2384" spans="1:15" x14ac:dyDescent="0.25">
      <c r="A2384">
        <v>2383</v>
      </c>
      <c r="B2384" s="1" t="s">
        <v>15</v>
      </c>
      <c r="C2384" s="1">
        <f>car_price_prediction_[[#This Row],[Year2]]</f>
        <v>2002</v>
      </c>
      <c r="D2384">
        <v>2002</v>
      </c>
      <c r="E2384">
        <f>car_price_prediction_[[#This Row],[Engine Size]]/10</f>
        <v>2.4</v>
      </c>
      <c r="F2384">
        <v>24</v>
      </c>
      <c r="G2384" s="1" t="s">
        <v>29</v>
      </c>
      <c r="H2384" s="1" t="s">
        <v>12</v>
      </c>
      <c r="I2384" s="12">
        <f>car_price_prediction_[[#This Row],[Mileage]]/1000</f>
        <v>284.93099999999998</v>
      </c>
      <c r="J2384" s="5">
        <v>284931</v>
      </c>
      <c r="K2384" s="1" t="s">
        <v>25</v>
      </c>
      <c r="L2384" s="5">
        <f>car_price_prediction_[[#This Row],[Price]]/100</f>
        <v>83982.13</v>
      </c>
      <c r="M2384">
        <v>8398213</v>
      </c>
      <c r="N2384" s="1" t="s">
        <v>51</v>
      </c>
      <c r="O2384" s="1">
        <f>IF(IFERROR(VLOOKUP(car_price_prediction_[[#This Row],[Car ID]],A2385:A4884,1,FALSE),0),1,0)</f>
        <v>0</v>
      </c>
    </row>
    <row r="2385" spans="1:15" x14ac:dyDescent="0.25">
      <c r="A2385">
        <v>2384</v>
      </c>
      <c r="B2385" s="1" t="s">
        <v>36</v>
      </c>
      <c r="C2385" s="1">
        <f>car_price_prediction_[[#This Row],[Year2]]</f>
        <v>2018</v>
      </c>
      <c r="D2385">
        <v>2018</v>
      </c>
      <c r="E2385">
        <f>car_price_prediction_[[#This Row],[Engine Size]]/10</f>
        <v>2.2000000000000002</v>
      </c>
      <c r="F2385">
        <v>22</v>
      </c>
      <c r="G2385" s="1" t="s">
        <v>11</v>
      </c>
      <c r="H2385" s="1" t="s">
        <v>22</v>
      </c>
      <c r="I2385" s="12">
        <f>car_price_prediction_[[#This Row],[Mileage]]/1000</f>
        <v>188.499</v>
      </c>
      <c r="J2385" s="5">
        <v>188499</v>
      </c>
      <c r="K2385" s="1" t="s">
        <v>17</v>
      </c>
      <c r="L2385" s="5">
        <f>car_price_prediction_[[#This Row],[Price]]/100</f>
        <v>8823.4500000000007</v>
      </c>
      <c r="M2385">
        <v>882345</v>
      </c>
      <c r="N2385" s="1" t="s">
        <v>41</v>
      </c>
      <c r="O2385" s="1">
        <f>IF(IFERROR(VLOOKUP(car_price_prediction_[[#This Row],[Car ID]],A2386:A4885,1,FALSE),0),1,0)</f>
        <v>0</v>
      </c>
    </row>
    <row r="2386" spans="1:15" x14ac:dyDescent="0.25">
      <c r="A2386">
        <v>2385</v>
      </c>
      <c r="B2386" s="1" t="s">
        <v>10</v>
      </c>
      <c r="C2386" s="1">
        <f>car_price_prediction_[[#This Row],[Year2]]</f>
        <v>2011</v>
      </c>
      <c r="D2386">
        <v>2011</v>
      </c>
      <c r="E2386">
        <f>car_price_prediction_[[#This Row],[Engine Size]]/10</f>
        <v>2.1</v>
      </c>
      <c r="F2386">
        <v>21</v>
      </c>
      <c r="G2386" s="1" t="s">
        <v>11</v>
      </c>
      <c r="H2386" s="1" t="s">
        <v>12</v>
      </c>
      <c r="I2386" s="12">
        <f>car_price_prediction_[[#This Row],[Mileage]]/1000</f>
        <v>260.14100000000002</v>
      </c>
      <c r="J2386" s="5">
        <v>260141</v>
      </c>
      <c r="K2386" s="1" t="s">
        <v>25</v>
      </c>
      <c r="L2386" s="5">
        <f>car_price_prediction_[[#This Row],[Price]]/100</f>
        <v>27412.41</v>
      </c>
      <c r="M2386">
        <v>2741241</v>
      </c>
      <c r="N2386" s="1" t="s">
        <v>49</v>
      </c>
      <c r="O2386" s="1">
        <f>IF(IFERROR(VLOOKUP(car_price_prediction_[[#This Row],[Car ID]],A2387:A4886,1,FALSE),0),1,0)</f>
        <v>0</v>
      </c>
    </row>
    <row r="2387" spans="1:15" x14ac:dyDescent="0.25">
      <c r="A2387">
        <v>2386</v>
      </c>
      <c r="B2387" s="1" t="s">
        <v>30</v>
      </c>
      <c r="C2387" s="1">
        <f>car_price_prediction_[[#This Row],[Year2]]</f>
        <v>2015</v>
      </c>
      <c r="D2387">
        <v>2015</v>
      </c>
      <c r="E2387">
        <f>car_price_prediction_[[#This Row],[Engine Size]]/10</f>
        <v>3.1</v>
      </c>
      <c r="F2387">
        <v>31</v>
      </c>
      <c r="G2387" s="1" t="s">
        <v>11</v>
      </c>
      <c r="H2387" s="1" t="s">
        <v>22</v>
      </c>
      <c r="I2387" s="12">
        <f>car_price_prediction_[[#This Row],[Mileage]]/1000</f>
        <v>104.887</v>
      </c>
      <c r="J2387" s="5">
        <v>104887</v>
      </c>
      <c r="K2387" s="1" t="s">
        <v>17</v>
      </c>
      <c r="L2387" s="5">
        <f>car_price_prediction_[[#This Row],[Price]]/100</f>
        <v>40546.25</v>
      </c>
      <c r="M2387">
        <v>4054625</v>
      </c>
      <c r="N2387" s="1" t="s">
        <v>45</v>
      </c>
      <c r="O2387" s="1">
        <f>IF(IFERROR(VLOOKUP(car_price_prediction_[[#This Row],[Car ID]],A2388:A4887,1,FALSE),0),1,0)</f>
        <v>0</v>
      </c>
    </row>
    <row r="2388" spans="1:15" x14ac:dyDescent="0.25">
      <c r="A2388">
        <v>2387</v>
      </c>
      <c r="B2388" s="1" t="s">
        <v>24</v>
      </c>
      <c r="C2388" s="1">
        <f>car_price_prediction_[[#This Row],[Year2]]</f>
        <v>2010</v>
      </c>
      <c r="D2388">
        <v>2010</v>
      </c>
      <c r="E2388">
        <f>car_price_prediction_[[#This Row],[Engine Size]]/10</f>
        <v>4.5</v>
      </c>
      <c r="F2388">
        <v>45</v>
      </c>
      <c r="G2388" s="1" t="s">
        <v>16</v>
      </c>
      <c r="H2388" s="1" t="s">
        <v>22</v>
      </c>
      <c r="I2388" s="12">
        <f>car_price_prediction_[[#This Row],[Mileage]]/1000</f>
        <v>61.085999999999999</v>
      </c>
      <c r="J2388" s="5">
        <v>61086</v>
      </c>
      <c r="K2388" s="1" t="s">
        <v>25</v>
      </c>
      <c r="L2388" s="5">
        <f>car_price_prediction_[[#This Row],[Price]]/100</f>
        <v>22347.13</v>
      </c>
      <c r="M2388">
        <v>2234713</v>
      </c>
      <c r="N2388" s="1" t="s">
        <v>26</v>
      </c>
      <c r="O2388" s="1">
        <f>IF(IFERROR(VLOOKUP(car_price_prediction_[[#This Row],[Car ID]],A2389:A4888,1,FALSE),0),1,0)</f>
        <v>0</v>
      </c>
    </row>
    <row r="2389" spans="1:15" x14ac:dyDescent="0.25">
      <c r="A2389">
        <v>2388</v>
      </c>
      <c r="B2389" s="1" t="s">
        <v>24</v>
      </c>
      <c r="C2389" s="1">
        <f>car_price_prediction_[[#This Row],[Year2]]</f>
        <v>2009</v>
      </c>
      <c r="D2389">
        <v>2009</v>
      </c>
      <c r="E2389">
        <f>car_price_prediction_[[#This Row],[Engine Size]]/10</f>
        <v>2.1</v>
      </c>
      <c r="F2389">
        <v>21</v>
      </c>
      <c r="G2389" s="1" t="s">
        <v>29</v>
      </c>
      <c r="H2389" s="1" t="s">
        <v>12</v>
      </c>
      <c r="I2389" s="12">
        <f>car_price_prediction_[[#This Row],[Mileage]]/1000</f>
        <v>255.494</v>
      </c>
      <c r="J2389" s="5">
        <v>255494</v>
      </c>
      <c r="K2389" s="1" t="s">
        <v>25</v>
      </c>
      <c r="L2389" s="5">
        <f>car_price_prediction_[[#This Row],[Price]]/100</f>
        <v>11925.43</v>
      </c>
      <c r="M2389">
        <v>1192543</v>
      </c>
      <c r="N2389" s="1" t="s">
        <v>53</v>
      </c>
      <c r="O2389" s="1">
        <f>IF(IFERROR(VLOOKUP(car_price_prediction_[[#This Row],[Car ID]],A2390:A4889,1,FALSE),0),1,0)</f>
        <v>0</v>
      </c>
    </row>
    <row r="2390" spans="1:15" x14ac:dyDescent="0.25">
      <c r="A2390">
        <v>2389</v>
      </c>
      <c r="B2390" s="1" t="s">
        <v>30</v>
      </c>
      <c r="C2390" s="1">
        <f>car_price_prediction_[[#This Row],[Year2]]</f>
        <v>2019</v>
      </c>
      <c r="D2390">
        <v>2019</v>
      </c>
      <c r="E2390">
        <f>car_price_prediction_[[#This Row],[Engine Size]]/10</f>
        <v>2.8</v>
      </c>
      <c r="F2390">
        <v>28</v>
      </c>
      <c r="G2390" s="1" t="s">
        <v>21</v>
      </c>
      <c r="H2390" s="1" t="s">
        <v>12</v>
      </c>
      <c r="I2390" s="12">
        <f>car_price_prediction_[[#This Row],[Mileage]]/1000</f>
        <v>63.308</v>
      </c>
      <c r="J2390" s="5">
        <v>63308</v>
      </c>
      <c r="K2390" s="1" t="s">
        <v>17</v>
      </c>
      <c r="L2390" s="5">
        <f>car_price_prediction_[[#This Row],[Price]]/100</f>
        <v>26383.71</v>
      </c>
      <c r="M2390">
        <v>2638371</v>
      </c>
      <c r="N2390" s="1" t="s">
        <v>42</v>
      </c>
      <c r="O2390" s="1">
        <f>IF(IFERROR(VLOOKUP(car_price_prediction_[[#This Row],[Car ID]],A2391:A4890,1,FALSE),0),1,0)</f>
        <v>0</v>
      </c>
    </row>
    <row r="2391" spans="1:15" x14ac:dyDescent="0.25">
      <c r="A2391">
        <v>2390</v>
      </c>
      <c r="B2391" s="1" t="s">
        <v>36</v>
      </c>
      <c r="C2391" s="1">
        <f>car_price_prediction_[[#This Row],[Year2]]</f>
        <v>2003</v>
      </c>
      <c r="D2391">
        <v>2003</v>
      </c>
      <c r="E2391">
        <f>car_price_prediction_[[#This Row],[Engine Size]]/10</f>
        <v>3</v>
      </c>
      <c r="F2391">
        <v>30</v>
      </c>
      <c r="G2391" s="1" t="s">
        <v>11</v>
      </c>
      <c r="H2391" s="1" t="s">
        <v>22</v>
      </c>
      <c r="I2391" s="12">
        <f>car_price_prediction_[[#This Row],[Mileage]]/1000</f>
        <v>277.94099999999997</v>
      </c>
      <c r="J2391" s="5">
        <v>277941</v>
      </c>
      <c r="K2391" s="1" t="s">
        <v>17</v>
      </c>
      <c r="L2391" s="5">
        <f>car_price_prediction_[[#This Row],[Price]]/100</f>
        <v>55695.38</v>
      </c>
      <c r="M2391">
        <v>5569538</v>
      </c>
      <c r="N2391" s="1" t="s">
        <v>41</v>
      </c>
      <c r="O2391" s="1">
        <f>IF(IFERROR(VLOOKUP(car_price_prediction_[[#This Row],[Car ID]],A2392:A4891,1,FALSE),0),1,0)</f>
        <v>0</v>
      </c>
    </row>
    <row r="2392" spans="1:15" x14ac:dyDescent="0.25">
      <c r="A2392">
        <v>2391</v>
      </c>
      <c r="B2392" s="1" t="s">
        <v>19</v>
      </c>
      <c r="C2392" s="1">
        <f>car_price_prediction_[[#This Row],[Year2]]</f>
        <v>2011</v>
      </c>
      <c r="D2392">
        <v>2011</v>
      </c>
      <c r="E2392">
        <f>car_price_prediction_[[#This Row],[Engine Size]]/10</f>
        <v>5.9</v>
      </c>
      <c r="F2392">
        <v>59</v>
      </c>
      <c r="G2392" s="1" t="s">
        <v>16</v>
      </c>
      <c r="H2392" s="1" t="s">
        <v>12</v>
      </c>
      <c r="I2392" s="12">
        <f>car_price_prediction_[[#This Row],[Mileage]]/1000</f>
        <v>267.44600000000003</v>
      </c>
      <c r="J2392" s="5">
        <v>267446</v>
      </c>
      <c r="K2392" s="1" t="s">
        <v>17</v>
      </c>
      <c r="L2392" s="5">
        <f>car_price_prediction_[[#This Row],[Price]]/100</f>
        <v>7109.58</v>
      </c>
      <c r="M2392">
        <v>710958</v>
      </c>
      <c r="N2392" s="1" t="s">
        <v>27</v>
      </c>
      <c r="O2392" s="1">
        <f>IF(IFERROR(VLOOKUP(car_price_prediction_[[#This Row],[Car ID]],A2393:A4892,1,FALSE),0),1,0)</f>
        <v>0</v>
      </c>
    </row>
    <row r="2393" spans="1:15" x14ac:dyDescent="0.25">
      <c r="A2393">
        <v>2392</v>
      </c>
      <c r="B2393" s="1" t="s">
        <v>15</v>
      </c>
      <c r="C2393" s="1">
        <f>car_price_prediction_[[#This Row],[Year2]]</f>
        <v>2022</v>
      </c>
      <c r="D2393">
        <v>2022</v>
      </c>
      <c r="E2393">
        <f>car_price_prediction_[[#This Row],[Engine Size]]/10</f>
        <v>5.8</v>
      </c>
      <c r="F2393">
        <v>58</v>
      </c>
      <c r="G2393" s="1" t="s">
        <v>21</v>
      </c>
      <c r="H2393" s="1" t="s">
        <v>22</v>
      </c>
      <c r="I2393" s="12">
        <f>car_price_prediction_[[#This Row],[Mileage]]/1000</f>
        <v>38.058999999999997</v>
      </c>
      <c r="J2393" s="5">
        <v>38059</v>
      </c>
      <c r="K2393" s="1" t="s">
        <v>17</v>
      </c>
      <c r="L2393" s="5">
        <f>car_price_prediction_[[#This Row],[Price]]/100</f>
        <v>78531.990000000005</v>
      </c>
      <c r="M2393">
        <v>7853199</v>
      </c>
      <c r="N2393" s="1" t="s">
        <v>35</v>
      </c>
      <c r="O2393" s="1">
        <f>IF(IFERROR(VLOOKUP(car_price_prediction_[[#This Row],[Car ID]],A2394:A4893,1,FALSE),0),1,0)</f>
        <v>0</v>
      </c>
    </row>
    <row r="2394" spans="1:15" x14ac:dyDescent="0.25">
      <c r="A2394">
        <v>2393</v>
      </c>
      <c r="B2394" s="1" t="s">
        <v>24</v>
      </c>
      <c r="C2394" s="1">
        <f>car_price_prediction_[[#This Row],[Year2]]</f>
        <v>2001</v>
      </c>
      <c r="D2394">
        <v>2001</v>
      </c>
      <c r="E2394">
        <f>car_price_prediction_[[#This Row],[Engine Size]]/10</f>
        <v>5</v>
      </c>
      <c r="F2394">
        <v>50</v>
      </c>
      <c r="G2394" s="1" t="s">
        <v>11</v>
      </c>
      <c r="H2394" s="1" t="s">
        <v>22</v>
      </c>
      <c r="I2394" s="12">
        <f>car_price_prediction_[[#This Row],[Mileage]]/1000</f>
        <v>131.97999999999999</v>
      </c>
      <c r="J2394" s="5">
        <v>131980</v>
      </c>
      <c r="K2394" s="1" t="s">
        <v>17</v>
      </c>
      <c r="L2394" s="5">
        <f>car_price_prediction_[[#This Row],[Price]]/100</f>
        <v>9078.93</v>
      </c>
      <c r="M2394">
        <v>907893</v>
      </c>
      <c r="N2394" s="1" t="s">
        <v>32</v>
      </c>
      <c r="O2394" s="1">
        <f>IF(IFERROR(VLOOKUP(car_price_prediction_[[#This Row],[Car ID]],A2395:A4894,1,FALSE),0),1,0)</f>
        <v>0</v>
      </c>
    </row>
    <row r="2395" spans="1:15" x14ac:dyDescent="0.25">
      <c r="A2395">
        <v>2394</v>
      </c>
      <c r="B2395" s="1" t="s">
        <v>19</v>
      </c>
      <c r="C2395" s="1">
        <f>car_price_prediction_[[#This Row],[Year2]]</f>
        <v>2023</v>
      </c>
      <c r="D2395">
        <v>2023</v>
      </c>
      <c r="E2395">
        <f>car_price_prediction_[[#This Row],[Engine Size]]/10</f>
        <v>2.2000000000000002</v>
      </c>
      <c r="F2395">
        <v>22</v>
      </c>
      <c r="G2395" s="1" t="s">
        <v>21</v>
      </c>
      <c r="H2395" s="1" t="s">
        <v>22</v>
      </c>
      <c r="I2395" s="12">
        <f>car_price_prediction_[[#This Row],[Mileage]]/1000</f>
        <v>191.32400000000001</v>
      </c>
      <c r="J2395" s="5">
        <v>191324</v>
      </c>
      <c r="K2395" s="1" t="s">
        <v>17</v>
      </c>
      <c r="L2395" s="5">
        <f>car_price_prediction_[[#This Row],[Price]]/100</f>
        <v>45658.69</v>
      </c>
      <c r="M2395">
        <v>4565869</v>
      </c>
      <c r="N2395" s="1" t="s">
        <v>27</v>
      </c>
      <c r="O2395" s="1">
        <f>IF(IFERROR(VLOOKUP(car_price_prediction_[[#This Row],[Car ID]],A2396:A4895,1,FALSE),0),1,0)</f>
        <v>0</v>
      </c>
    </row>
    <row r="2396" spans="1:15" x14ac:dyDescent="0.25">
      <c r="A2396">
        <v>2395</v>
      </c>
      <c r="B2396" s="1" t="s">
        <v>30</v>
      </c>
      <c r="C2396" s="1">
        <f>car_price_prediction_[[#This Row],[Year2]]</f>
        <v>2021</v>
      </c>
      <c r="D2396">
        <v>2021</v>
      </c>
      <c r="E2396">
        <f>car_price_prediction_[[#This Row],[Engine Size]]/10</f>
        <v>1.3</v>
      </c>
      <c r="F2396">
        <v>13</v>
      </c>
      <c r="G2396" s="1" t="s">
        <v>11</v>
      </c>
      <c r="H2396" s="1" t="s">
        <v>12</v>
      </c>
      <c r="I2396" s="12">
        <f>car_price_prediction_[[#This Row],[Mileage]]/1000</f>
        <v>143.94900000000001</v>
      </c>
      <c r="J2396" s="5">
        <v>143949</v>
      </c>
      <c r="K2396" s="1" t="s">
        <v>17</v>
      </c>
      <c r="L2396" s="5">
        <f>car_price_prediction_[[#This Row],[Price]]/100</f>
        <v>1661.01</v>
      </c>
      <c r="M2396">
        <v>166101</v>
      </c>
      <c r="N2396" s="1" t="s">
        <v>45</v>
      </c>
      <c r="O2396" s="1">
        <f>IF(IFERROR(VLOOKUP(car_price_prediction_[[#This Row],[Car ID]],A2397:A4896,1,FALSE),0),1,0)</f>
        <v>0</v>
      </c>
    </row>
    <row r="2397" spans="1:15" x14ac:dyDescent="0.25">
      <c r="A2397">
        <v>2396</v>
      </c>
      <c r="B2397" s="1" t="s">
        <v>19</v>
      </c>
      <c r="C2397" s="1">
        <f>car_price_prediction_[[#This Row],[Year2]]</f>
        <v>2018</v>
      </c>
      <c r="D2397">
        <v>2018</v>
      </c>
      <c r="E2397">
        <f>car_price_prediction_[[#This Row],[Engine Size]]/10</f>
        <v>2.6</v>
      </c>
      <c r="F2397">
        <v>26</v>
      </c>
      <c r="G2397" s="1" t="s">
        <v>21</v>
      </c>
      <c r="H2397" s="1" t="s">
        <v>22</v>
      </c>
      <c r="I2397" s="12">
        <f>car_price_prediction_[[#This Row],[Mileage]]/1000</f>
        <v>276.38299999999998</v>
      </c>
      <c r="J2397" s="5">
        <v>276383</v>
      </c>
      <c r="K2397" s="1" t="s">
        <v>17</v>
      </c>
      <c r="L2397" s="5">
        <f>car_price_prediction_[[#This Row],[Price]]/100</f>
        <v>45964.04</v>
      </c>
      <c r="M2397">
        <v>4596404</v>
      </c>
      <c r="N2397" s="1" t="s">
        <v>27</v>
      </c>
      <c r="O2397" s="1">
        <f>IF(IFERROR(VLOOKUP(car_price_prediction_[[#This Row],[Car ID]],A2398:A4897,1,FALSE),0),1,0)</f>
        <v>0</v>
      </c>
    </row>
    <row r="2398" spans="1:15" x14ac:dyDescent="0.25">
      <c r="A2398">
        <v>2397</v>
      </c>
      <c r="B2398" s="1" t="s">
        <v>10</v>
      </c>
      <c r="C2398" s="1">
        <f>car_price_prediction_[[#This Row],[Year2]]</f>
        <v>2004</v>
      </c>
      <c r="D2398">
        <v>2004</v>
      </c>
      <c r="E2398">
        <f>car_price_prediction_[[#This Row],[Engine Size]]/10</f>
        <v>2.2999999999999998</v>
      </c>
      <c r="F2398">
        <v>23</v>
      </c>
      <c r="G2398" s="1" t="s">
        <v>21</v>
      </c>
      <c r="H2398" s="1" t="s">
        <v>22</v>
      </c>
      <c r="I2398" s="12">
        <f>car_price_prediction_[[#This Row],[Mileage]]/1000</f>
        <v>27.312999999999999</v>
      </c>
      <c r="J2398" s="5">
        <v>27313</v>
      </c>
      <c r="K2398" s="1" t="s">
        <v>25</v>
      </c>
      <c r="L2398" s="5">
        <f>car_price_prediction_[[#This Row],[Price]]/100</f>
        <v>46227.71</v>
      </c>
      <c r="M2398">
        <v>4622771</v>
      </c>
      <c r="N2398" s="1" t="s">
        <v>23</v>
      </c>
      <c r="O2398" s="1">
        <f>IF(IFERROR(VLOOKUP(car_price_prediction_[[#This Row],[Car ID]],A2399:A4898,1,FALSE),0),1,0)</f>
        <v>0</v>
      </c>
    </row>
    <row r="2399" spans="1:15" x14ac:dyDescent="0.25">
      <c r="A2399">
        <v>2398</v>
      </c>
      <c r="B2399" s="1" t="s">
        <v>43</v>
      </c>
      <c r="C2399" s="1">
        <f>car_price_prediction_[[#This Row],[Year2]]</f>
        <v>2007</v>
      </c>
      <c r="D2399">
        <v>2007</v>
      </c>
      <c r="E2399">
        <f>car_price_prediction_[[#This Row],[Engine Size]]/10</f>
        <v>3.5</v>
      </c>
      <c r="F2399">
        <v>35</v>
      </c>
      <c r="G2399" s="1" t="s">
        <v>29</v>
      </c>
      <c r="H2399" s="1" t="s">
        <v>22</v>
      </c>
      <c r="I2399" s="12">
        <f>car_price_prediction_[[#This Row],[Mileage]]/1000</f>
        <v>42.103000000000002</v>
      </c>
      <c r="J2399" s="5">
        <v>42103</v>
      </c>
      <c r="K2399" s="1" t="s">
        <v>17</v>
      </c>
      <c r="L2399" s="5">
        <f>car_price_prediction_[[#This Row],[Price]]/100</f>
        <v>52330.11</v>
      </c>
      <c r="M2399">
        <v>5233011</v>
      </c>
      <c r="N2399" s="1" t="s">
        <v>52</v>
      </c>
      <c r="O2399" s="1">
        <f>IF(IFERROR(VLOOKUP(car_price_prediction_[[#This Row],[Car ID]],A2400:A4899,1,FALSE),0),1,0)</f>
        <v>0</v>
      </c>
    </row>
    <row r="2400" spans="1:15" x14ac:dyDescent="0.25">
      <c r="A2400">
        <v>2399</v>
      </c>
      <c r="B2400" s="1" t="s">
        <v>24</v>
      </c>
      <c r="C2400" s="1">
        <f>car_price_prediction_[[#This Row],[Year2]]</f>
        <v>2006</v>
      </c>
      <c r="D2400">
        <v>2006</v>
      </c>
      <c r="E2400">
        <f>car_price_prediction_[[#This Row],[Engine Size]]/10</f>
        <v>4.9000000000000004</v>
      </c>
      <c r="F2400">
        <v>49</v>
      </c>
      <c r="G2400" s="1" t="s">
        <v>29</v>
      </c>
      <c r="H2400" s="1" t="s">
        <v>12</v>
      </c>
      <c r="I2400" s="12">
        <f>car_price_prediction_[[#This Row],[Mileage]]/1000</f>
        <v>179.48</v>
      </c>
      <c r="J2400" s="5">
        <v>179480</v>
      </c>
      <c r="K2400" s="1" t="s">
        <v>17</v>
      </c>
      <c r="L2400" s="5">
        <f>car_price_prediction_[[#This Row],[Price]]/100</f>
        <v>89818.91</v>
      </c>
      <c r="M2400">
        <v>8981891</v>
      </c>
      <c r="N2400" s="1" t="s">
        <v>53</v>
      </c>
      <c r="O2400" s="1">
        <f>IF(IFERROR(VLOOKUP(car_price_prediction_[[#This Row],[Car ID]],A2401:A4900,1,FALSE),0),1,0)</f>
        <v>0</v>
      </c>
    </row>
    <row r="2401" spans="1:15" x14ac:dyDescent="0.25">
      <c r="A2401">
        <v>2400</v>
      </c>
      <c r="B2401" s="1" t="s">
        <v>30</v>
      </c>
      <c r="C2401" s="1">
        <f>car_price_prediction_[[#This Row],[Year2]]</f>
        <v>2013</v>
      </c>
      <c r="D2401">
        <v>2013</v>
      </c>
      <c r="E2401">
        <f>car_price_prediction_[[#This Row],[Engine Size]]/10</f>
        <v>5.3</v>
      </c>
      <c r="F2401">
        <v>53</v>
      </c>
      <c r="G2401" s="1" t="s">
        <v>11</v>
      </c>
      <c r="H2401" s="1" t="s">
        <v>22</v>
      </c>
      <c r="I2401" s="12">
        <f>car_price_prediction_[[#This Row],[Mileage]]/1000</f>
        <v>88.771000000000001</v>
      </c>
      <c r="J2401" s="5">
        <v>88771</v>
      </c>
      <c r="K2401" s="1" t="s">
        <v>25</v>
      </c>
      <c r="L2401" s="5">
        <f>car_price_prediction_[[#This Row],[Price]]/100</f>
        <v>81484.070000000007</v>
      </c>
      <c r="M2401">
        <v>8148407</v>
      </c>
      <c r="N2401" s="1" t="s">
        <v>42</v>
      </c>
      <c r="O2401" s="1">
        <f>IF(IFERROR(VLOOKUP(car_price_prediction_[[#This Row],[Car ID]],A2402:A4901,1,FALSE),0),1,0)</f>
        <v>0</v>
      </c>
    </row>
    <row r="2402" spans="1:15" x14ac:dyDescent="0.25">
      <c r="A2402">
        <v>2401</v>
      </c>
      <c r="B2402" s="1" t="s">
        <v>15</v>
      </c>
      <c r="C2402" s="1">
        <f>car_price_prediction_[[#This Row],[Year2]]</f>
        <v>2023</v>
      </c>
      <c r="D2402">
        <v>2023</v>
      </c>
      <c r="E2402">
        <f>car_price_prediction_[[#This Row],[Engine Size]]/10</f>
        <v>5.2</v>
      </c>
      <c r="F2402">
        <v>52</v>
      </c>
      <c r="G2402" s="1" t="s">
        <v>16</v>
      </c>
      <c r="H2402" s="1" t="s">
        <v>22</v>
      </c>
      <c r="I2402" s="12">
        <f>car_price_prediction_[[#This Row],[Mileage]]/1000</f>
        <v>126.22799999999999</v>
      </c>
      <c r="J2402" s="5">
        <v>126228</v>
      </c>
      <c r="K2402" s="1" t="s">
        <v>25</v>
      </c>
      <c r="L2402" s="5">
        <f>car_price_prediction_[[#This Row],[Price]]/100</f>
        <v>65488.480000000003</v>
      </c>
      <c r="M2402">
        <v>6548848</v>
      </c>
      <c r="N2402" s="1" t="s">
        <v>35</v>
      </c>
      <c r="O2402" s="1">
        <f>IF(IFERROR(VLOOKUP(car_price_prediction_[[#This Row],[Car ID]],A2403:A4902,1,FALSE),0),1,0)</f>
        <v>0</v>
      </c>
    </row>
    <row r="2403" spans="1:15" x14ac:dyDescent="0.25">
      <c r="A2403">
        <v>2402</v>
      </c>
      <c r="B2403" s="1" t="s">
        <v>36</v>
      </c>
      <c r="C2403" s="1">
        <f>car_price_prediction_[[#This Row],[Year2]]</f>
        <v>2022</v>
      </c>
      <c r="D2403">
        <v>2022</v>
      </c>
      <c r="E2403">
        <f>car_price_prediction_[[#This Row],[Engine Size]]/10</f>
        <v>2.8</v>
      </c>
      <c r="F2403">
        <v>28</v>
      </c>
      <c r="G2403" s="1" t="s">
        <v>29</v>
      </c>
      <c r="H2403" s="1" t="s">
        <v>22</v>
      </c>
      <c r="I2403" s="12">
        <f>car_price_prediction_[[#This Row],[Mileage]]/1000</f>
        <v>91.665000000000006</v>
      </c>
      <c r="J2403" s="5">
        <v>91665</v>
      </c>
      <c r="K2403" s="1" t="s">
        <v>13</v>
      </c>
      <c r="L2403" s="5">
        <f>car_price_prediction_[[#This Row],[Price]]/100</f>
        <v>8911.3700000000008</v>
      </c>
      <c r="M2403">
        <v>891137</v>
      </c>
      <c r="N2403" s="1" t="s">
        <v>40</v>
      </c>
      <c r="O2403" s="1">
        <f>IF(IFERROR(VLOOKUP(car_price_prediction_[[#This Row],[Car ID]],A2404:A4903,1,FALSE),0),1,0)</f>
        <v>0</v>
      </c>
    </row>
    <row r="2404" spans="1:15" x14ac:dyDescent="0.25">
      <c r="A2404">
        <v>2403</v>
      </c>
      <c r="B2404" s="1" t="s">
        <v>10</v>
      </c>
      <c r="C2404" s="1">
        <f>car_price_prediction_[[#This Row],[Year2]]</f>
        <v>2002</v>
      </c>
      <c r="D2404">
        <v>2002</v>
      </c>
      <c r="E2404">
        <f>car_price_prediction_[[#This Row],[Engine Size]]/10</f>
        <v>4.4000000000000004</v>
      </c>
      <c r="F2404">
        <v>44</v>
      </c>
      <c r="G2404" s="1" t="s">
        <v>21</v>
      </c>
      <c r="H2404" s="1" t="s">
        <v>12</v>
      </c>
      <c r="I2404" s="12">
        <f>car_price_prediction_[[#This Row],[Mileage]]/1000</f>
        <v>272.678</v>
      </c>
      <c r="J2404" s="5">
        <v>272678</v>
      </c>
      <c r="K2404" s="1" t="s">
        <v>13</v>
      </c>
      <c r="L2404" s="5">
        <f>car_price_prediction_[[#This Row],[Price]]/100</f>
        <v>69454.52</v>
      </c>
      <c r="M2404">
        <v>6945452</v>
      </c>
      <c r="N2404" s="1" t="s">
        <v>14</v>
      </c>
      <c r="O2404" s="1">
        <f>IF(IFERROR(VLOOKUP(car_price_prediction_[[#This Row],[Car ID]],A2405:A4904,1,FALSE),0),1,0)</f>
        <v>0</v>
      </c>
    </row>
    <row r="2405" spans="1:15" x14ac:dyDescent="0.25">
      <c r="A2405">
        <v>2404</v>
      </c>
      <c r="B2405" s="1" t="s">
        <v>30</v>
      </c>
      <c r="C2405" s="1">
        <f>car_price_prediction_[[#This Row],[Year2]]</f>
        <v>2017</v>
      </c>
      <c r="D2405">
        <v>2017</v>
      </c>
      <c r="E2405">
        <f>car_price_prediction_[[#This Row],[Engine Size]]/10</f>
        <v>2.6</v>
      </c>
      <c r="F2405">
        <v>26</v>
      </c>
      <c r="G2405" s="1" t="s">
        <v>29</v>
      </c>
      <c r="H2405" s="1" t="s">
        <v>22</v>
      </c>
      <c r="I2405" s="12">
        <f>car_price_prediction_[[#This Row],[Mileage]]/1000</f>
        <v>279.33300000000003</v>
      </c>
      <c r="J2405" s="5">
        <v>279333</v>
      </c>
      <c r="K2405" s="1" t="s">
        <v>17</v>
      </c>
      <c r="L2405" s="5">
        <f>car_price_prediction_[[#This Row],[Price]]/100</f>
        <v>82791.22</v>
      </c>
      <c r="M2405">
        <v>8279122</v>
      </c>
      <c r="N2405" s="1" t="s">
        <v>42</v>
      </c>
      <c r="O2405" s="1">
        <f>IF(IFERROR(VLOOKUP(car_price_prediction_[[#This Row],[Car ID]],A2406:A4905,1,FALSE),0),1,0)</f>
        <v>0</v>
      </c>
    </row>
    <row r="2406" spans="1:15" x14ac:dyDescent="0.25">
      <c r="A2406">
        <v>2405</v>
      </c>
      <c r="B2406" s="1" t="s">
        <v>15</v>
      </c>
      <c r="C2406" s="1">
        <f>car_price_prediction_[[#This Row],[Year2]]</f>
        <v>2015</v>
      </c>
      <c r="D2406">
        <v>2015</v>
      </c>
      <c r="E2406">
        <f>car_price_prediction_[[#This Row],[Engine Size]]/10</f>
        <v>1.3</v>
      </c>
      <c r="F2406">
        <v>13</v>
      </c>
      <c r="G2406" s="1" t="s">
        <v>29</v>
      </c>
      <c r="H2406" s="1" t="s">
        <v>22</v>
      </c>
      <c r="I2406" s="12">
        <f>car_price_prediction_[[#This Row],[Mileage]]/1000</f>
        <v>86.066999999999993</v>
      </c>
      <c r="J2406" s="5">
        <v>86067</v>
      </c>
      <c r="K2406" s="1" t="s">
        <v>17</v>
      </c>
      <c r="L2406" s="5">
        <f>car_price_prediction_[[#This Row],[Price]]/100</f>
        <v>58558.94</v>
      </c>
      <c r="M2406">
        <v>5855894</v>
      </c>
      <c r="N2406" s="1" t="s">
        <v>18</v>
      </c>
      <c r="O2406" s="1">
        <f>IF(IFERROR(VLOOKUP(car_price_prediction_[[#This Row],[Car ID]],A2407:A4906,1,FALSE),0),1,0)</f>
        <v>0</v>
      </c>
    </row>
    <row r="2407" spans="1:15" x14ac:dyDescent="0.25">
      <c r="A2407">
        <v>2406</v>
      </c>
      <c r="B2407" s="1" t="s">
        <v>36</v>
      </c>
      <c r="C2407" s="1">
        <f>car_price_prediction_[[#This Row],[Year2]]</f>
        <v>2022</v>
      </c>
      <c r="D2407">
        <v>2022</v>
      </c>
      <c r="E2407">
        <f>car_price_prediction_[[#This Row],[Engine Size]]/10</f>
        <v>4.5</v>
      </c>
      <c r="F2407">
        <v>45</v>
      </c>
      <c r="G2407" s="1" t="s">
        <v>11</v>
      </c>
      <c r="H2407" s="1" t="s">
        <v>12</v>
      </c>
      <c r="I2407" s="12">
        <f>car_price_prediction_[[#This Row],[Mileage]]/1000</f>
        <v>273.11099999999999</v>
      </c>
      <c r="J2407" s="5">
        <v>273111</v>
      </c>
      <c r="K2407" s="1" t="s">
        <v>13</v>
      </c>
      <c r="L2407" s="5">
        <f>car_price_prediction_[[#This Row],[Price]]/100</f>
        <v>54895.73</v>
      </c>
      <c r="M2407">
        <v>5489573</v>
      </c>
      <c r="N2407" s="1" t="s">
        <v>40</v>
      </c>
      <c r="O2407" s="1">
        <f>IF(IFERROR(VLOOKUP(car_price_prediction_[[#This Row],[Car ID]],A2408:A4907,1,FALSE),0),1,0)</f>
        <v>0</v>
      </c>
    </row>
    <row r="2408" spans="1:15" x14ac:dyDescent="0.25">
      <c r="A2408">
        <v>2407</v>
      </c>
      <c r="B2408" s="1" t="s">
        <v>36</v>
      </c>
      <c r="C2408" s="1">
        <f>car_price_prediction_[[#This Row],[Year2]]</f>
        <v>2018</v>
      </c>
      <c r="D2408">
        <v>2018</v>
      </c>
      <c r="E2408">
        <f>car_price_prediction_[[#This Row],[Engine Size]]/10</f>
        <v>1</v>
      </c>
      <c r="F2408">
        <v>10</v>
      </c>
      <c r="G2408" s="1" t="s">
        <v>29</v>
      </c>
      <c r="H2408" s="1" t="s">
        <v>12</v>
      </c>
      <c r="I2408" s="12">
        <f>car_price_prediction_[[#This Row],[Mileage]]/1000</f>
        <v>213.06299999999999</v>
      </c>
      <c r="J2408" s="5">
        <v>213063</v>
      </c>
      <c r="K2408" s="1" t="s">
        <v>13</v>
      </c>
      <c r="L2408" s="5">
        <f>car_price_prediction_[[#This Row],[Price]]/100</f>
        <v>73789.240000000005</v>
      </c>
      <c r="M2408">
        <v>7378924</v>
      </c>
      <c r="N2408" s="1" t="s">
        <v>46</v>
      </c>
      <c r="O2408" s="1">
        <f>IF(IFERROR(VLOOKUP(car_price_prediction_[[#This Row],[Car ID]],A2409:A4908,1,FALSE),0),1,0)</f>
        <v>0</v>
      </c>
    </row>
    <row r="2409" spans="1:15" x14ac:dyDescent="0.25">
      <c r="A2409">
        <v>2408</v>
      </c>
      <c r="B2409" s="1" t="s">
        <v>30</v>
      </c>
      <c r="C2409" s="1">
        <f>car_price_prediction_[[#This Row],[Year2]]</f>
        <v>2018</v>
      </c>
      <c r="D2409">
        <v>2018</v>
      </c>
      <c r="E2409">
        <f>car_price_prediction_[[#This Row],[Engine Size]]/10</f>
        <v>3</v>
      </c>
      <c r="F2409">
        <v>30</v>
      </c>
      <c r="G2409" s="1" t="s">
        <v>29</v>
      </c>
      <c r="H2409" s="1" t="s">
        <v>22</v>
      </c>
      <c r="I2409" s="12">
        <f>car_price_prediction_[[#This Row],[Mileage]]/1000</f>
        <v>270.80399999999997</v>
      </c>
      <c r="J2409" s="5">
        <v>270804</v>
      </c>
      <c r="K2409" s="1" t="s">
        <v>17</v>
      </c>
      <c r="L2409" s="5">
        <f>car_price_prediction_[[#This Row],[Price]]/100</f>
        <v>6870.48</v>
      </c>
      <c r="M2409">
        <v>687048</v>
      </c>
      <c r="N2409" s="1" t="s">
        <v>48</v>
      </c>
      <c r="O2409" s="1">
        <f>IF(IFERROR(VLOOKUP(car_price_prediction_[[#This Row],[Car ID]],A2410:A4909,1,FALSE),0),1,0)</f>
        <v>0</v>
      </c>
    </row>
    <row r="2410" spans="1:15" x14ac:dyDescent="0.25">
      <c r="A2410">
        <v>2409</v>
      </c>
      <c r="B2410" s="1" t="s">
        <v>10</v>
      </c>
      <c r="C2410" s="1">
        <f>car_price_prediction_[[#This Row],[Year2]]</f>
        <v>2017</v>
      </c>
      <c r="D2410">
        <v>2017</v>
      </c>
      <c r="E2410">
        <f>car_price_prediction_[[#This Row],[Engine Size]]/10</f>
        <v>2.6</v>
      </c>
      <c r="F2410">
        <v>26</v>
      </c>
      <c r="G2410" s="1" t="s">
        <v>21</v>
      </c>
      <c r="H2410" s="1" t="s">
        <v>22</v>
      </c>
      <c r="I2410" s="12">
        <f>car_price_prediction_[[#This Row],[Mileage]]/1000</f>
        <v>129.90899999999999</v>
      </c>
      <c r="J2410" s="5">
        <v>129909</v>
      </c>
      <c r="K2410" s="1" t="s">
        <v>13</v>
      </c>
      <c r="L2410" s="5">
        <f>car_price_prediction_[[#This Row],[Price]]/100</f>
        <v>70585.87</v>
      </c>
      <c r="M2410">
        <v>7058587</v>
      </c>
      <c r="N2410" s="1" t="s">
        <v>33</v>
      </c>
      <c r="O2410" s="1">
        <f>IF(IFERROR(VLOOKUP(car_price_prediction_[[#This Row],[Car ID]],A2411:A4910,1,FALSE),0),1,0)</f>
        <v>0</v>
      </c>
    </row>
    <row r="2411" spans="1:15" x14ac:dyDescent="0.25">
      <c r="A2411">
        <v>2410</v>
      </c>
      <c r="B2411" s="1" t="s">
        <v>19</v>
      </c>
      <c r="C2411" s="1">
        <f>car_price_prediction_[[#This Row],[Year2]]</f>
        <v>2019</v>
      </c>
      <c r="D2411">
        <v>2019</v>
      </c>
      <c r="E2411">
        <f>car_price_prediction_[[#This Row],[Engine Size]]/10</f>
        <v>4.5</v>
      </c>
      <c r="F2411">
        <v>45</v>
      </c>
      <c r="G2411" s="1" t="s">
        <v>29</v>
      </c>
      <c r="H2411" s="1" t="s">
        <v>22</v>
      </c>
      <c r="I2411" s="12">
        <f>car_price_prediction_[[#This Row],[Mileage]]/1000</f>
        <v>140.68799999999999</v>
      </c>
      <c r="J2411" s="5">
        <v>140688</v>
      </c>
      <c r="K2411" s="1" t="s">
        <v>17</v>
      </c>
      <c r="L2411" s="5">
        <f>car_price_prediction_[[#This Row],[Price]]/100</f>
        <v>93779.23</v>
      </c>
      <c r="M2411">
        <v>9377923</v>
      </c>
      <c r="N2411" s="1" t="s">
        <v>20</v>
      </c>
      <c r="O2411" s="1">
        <f>IF(IFERROR(VLOOKUP(car_price_prediction_[[#This Row],[Car ID]],A2412:A4911,1,FALSE),0),1,0)</f>
        <v>0</v>
      </c>
    </row>
    <row r="2412" spans="1:15" x14ac:dyDescent="0.25">
      <c r="A2412">
        <v>2411</v>
      </c>
      <c r="B2412" s="1" t="s">
        <v>19</v>
      </c>
      <c r="C2412" s="1">
        <f>car_price_prediction_[[#This Row],[Year2]]</f>
        <v>2015</v>
      </c>
      <c r="D2412">
        <v>2015</v>
      </c>
      <c r="E2412">
        <f>car_price_prediction_[[#This Row],[Engine Size]]/10</f>
        <v>4.8</v>
      </c>
      <c r="F2412">
        <v>48</v>
      </c>
      <c r="G2412" s="1" t="s">
        <v>21</v>
      </c>
      <c r="H2412" s="1" t="s">
        <v>12</v>
      </c>
      <c r="I2412" s="12">
        <f>car_price_prediction_[[#This Row],[Mileage]]/1000</f>
        <v>75.975999999999999</v>
      </c>
      <c r="J2412" s="5">
        <v>75976</v>
      </c>
      <c r="K2412" s="1" t="s">
        <v>25</v>
      </c>
      <c r="L2412" s="5">
        <f>car_price_prediction_[[#This Row],[Price]]/100</f>
        <v>7282.45</v>
      </c>
      <c r="M2412">
        <v>728245</v>
      </c>
      <c r="N2412" s="1" t="s">
        <v>20</v>
      </c>
      <c r="O2412" s="1">
        <f>IF(IFERROR(VLOOKUP(car_price_prediction_[[#This Row],[Car ID]],A2413:A4912,1,FALSE),0),1,0)</f>
        <v>0</v>
      </c>
    </row>
    <row r="2413" spans="1:15" x14ac:dyDescent="0.25">
      <c r="A2413">
        <v>2412</v>
      </c>
      <c r="B2413" s="1" t="s">
        <v>36</v>
      </c>
      <c r="C2413" s="1">
        <f>car_price_prediction_[[#This Row],[Year2]]</f>
        <v>2007</v>
      </c>
      <c r="D2413">
        <v>2007</v>
      </c>
      <c r="E2413">
        <f>car_price_prediction_[[#This Row],[Engine Size]]/10</f>
        <v>2.5</v>
      </c>
      <c r="F2413">
        <v>25</v>
      </c>
      <c r="G2413" s="1" t="s">
        <v>29</v>
      </c>
      <c r="H2413" s="1" t="s">
        <v>12</v>
      </c>
      <c r="I2413" s="12">
        <f>car_price_prediction_[[#This Row],[Mileage]]/1000</f>
        <v>233.208</v>
      </c>
      <c r="J2413" s="5">
        <v>233208</v>
      </c>
      <c r="K2413" s="1" t="s">
        <v>25</v>
      </c>
      <c r="L2413" s="5">
        <f>car_price_prediction_[[#This Row],[Price]]/100</f>
        <v>849.54</v>
      </c>
      <c r="M2413">
        <v>84954</v>
      </c>
      <c r="N2413" s="1" t="s">
        <v>40</v>
      </c>
      <c r="O2413" s="1">
        <f>IF(IFERROR(VLOOKUP(car_price_prediction_[[#This Row],[Car ID]],A2414:A4913,1,FALSE),0),1,0)</f>
        <v>0</v>
      </c>
    </row>
    <row r="2414" spans="1:15" x14ac:dyDescent="0.25">
      <c r="A2414">
        <v>2413</v>
      </c>
      <c r="B2414" s="1" t="s">
        <v>19</v>
      </c>
      <c r="C2414" s="1">
        <f>car_price_prediction_[[#This Row],[Year2]]</f>
        <v>2000</v>
      </c>
      <c r="D2414">
        <v>2000</v>
      </c>
      <c r="E2414">
        <f>car_price_prediction_[[#This Row],[Engine Size]]/10</f>
        <v>5.0999999999999996</v>
      </c>
      <c r="F2414">
        <v>51</v>
      </c>
      <c r="G2414" s="1" t="s">
        <v>29</v>
      </c>
      <c r="H2414" s="1" t="s">
        <v>22</v>
      </c>
      <c r="I2414" s="12">
        <f>car_price_prediction_[[#This Row],[Mileage]]/1000</f>
        <v>179.81</v>
      </c>
      <c r="J2414" s="5">
        <v>179810</v>
      </c>
      <c r="K2414" s="1" t="s">
        <v>13</v>
      </c>
      <c r="L2414" s="5">
        <f>car_price_prediction_[[#This Row],[Price]]/100</f>
        <v>40899.14</v>
      </c>
      <c r="M2414">
        <v>4089914</v>
      </c>
      <c r="N2414" s="1" t="s">
        <v>38</v>
      </c>
      <c r="O2414" s="1">
        <f>IF(IFERROR(VLOOKUP(car_price_prediction_[[#This Row],[Car ID]],A2415:A4914,1,FALSE),0),1,0)</f>
        <v>0</v>
      </c>
    </row>
    <row r="2415" spans="1:15" x14ac:dyDescent="0.25">
      <c r="A2415">
        <v>2414</v>
      </c>
      <c r="B2415" s="1" t="s">
        <v>43</v>
      </c>
      <c r="C2415" s="1">
        <f>car_price_prediction_[[#This Row],[Year2]]</f>
        <v>2016</v>
      </c>
      <c r="D2415">
        <v>2016</v>
      </c>
      <c r="E2415">
        <f>car_price_prediction_[[#This Row],[Engine Size]]/10</f>
        <v>2.5</v>
      </c>
      <c r="F2415">
        <v>25</v>
      </c>
      <c r="G2415" s="1" t="s">
        <v>16</v>
      </c>
      <c r="H2415" s="1" t="s">
        <v>12</v>
      </c>
      <c r="I2415" s="12">
        <f>car_price_prediction_[[#This Row],[Mileage]]/1000</f>
        <v>275.25099999999998</v>
      </c>
      <c r="J2415" s="5">
        <v>275251</v>
      </c>
      <c r="K2415" s="1" t="s">
        <v>25</v>
      </c>
      <c r="L2415" s="5">
        <f>car_price_prediction_[[#This Row],[Price]]/100</f>
        <v>81910.22</v>
      </c>
      <c r="M2415">
        <v>8191022</v>
      </c>
      <c r="N2415" s="1" t="s">
        <v>47</v>
      </c>
      <c r="O2415" s="1">
        <f>IF(IFERROR(VLOOKUP(car_price_prediction_[[#This Row],[Car ID]],A2416:A4915,1,FALSE),0),1,0)</f>
        <v>0</v>
      </c>
    </row>
    <row r="2416" spans="1:15" x14ac:dyDescent="0.25">
      <c r="A2416">
        <v>2415</v>
      </c>
      <c r="B2416" s="1" t="s">
        <v>36</v>
      </c>
      <c r="C2416" s="1">
        <f>car_price_prediction_[[#This Row],[Year2]]</f>
        <v>2011</v>
      </c>
      <c r="D2416">
        <v>2011</v>
      </c>
      <c r="E2416">
        <f>car_price_prediction_[[#This Row],[Engine Size]]/10</f>
        <v>3.2</v>
      </c>
      <c r="F2416">
        <v>32</v>
      </c>
      <c r="G2416" s="1" t="s">
        <v>29</v>
      </c>
      <c r="H2416" s="1" t="s">
        <v>22</v>
      </c>
      <c r="I2416" s="12">
        <f>car_price_prediction_[[#This Row],[Mileage]]/1000</f>
        <v>192.476</v>
      </c>
      <c r="J2416" s="5">
        <v>192476</v>
      </c>
      <c r="K2416" s="1" t="s">
        <v>25</v>
      </c>
      <c r="L2416" s="5">
        <f>car_price_prediction_[[#This Row],[Price]]/100</f>
        <v>96067.81</v>
      </c>
      <c r="M2416">
        <v>9606781</v>
      </c>
      <c r="N2416" s="1" t="s">
        <v>41</v>
      </c>
      <c r="O2416" s="1">
        <f>IF(IFERROR(VLOOKUP(car_price_prediction_[[#This Row],[Car ID]],A2417:A4916,1,FALSE),0),1,0)</f>
        <v>0</v>
      </c>
    </row>
    <row r="2417" spans="1:15" x14ac:dyDescent="0.25">
      <c r="A2417">
        <v>2416</v>
      </c>
      <c r="B2417" s="1" t="s">
        <v>36</v>
      </c>
      <c r="C2417" s="1">
        <f>car_price_prediction_[[#This Row],[Year2]]</f>
        <v>2020</v>
      </c>
      <c r="D2417">
        <v>2020</v>
      </c>
      <c r="E2417">
        <f>car_price_prediction_[[#This Row],[Engine Size]]/10</f>
        <v>4.5999999999999996</v>
      </c>
      <c r="F2417">
        <v>46</v>
      </c>
      <c r="G2417" s="1" t="s">
        <v>21</v>
      </c>
      <c r="H2417" s="1" t="s">
        <v>22</v>
      </c>
      <c r="I2417" s="12">
        <f>car_price_prediction_[[#This Row],[Mileage]]/1000</f>
        <v>94.182000000000002</v>
      </c>
      <c r="J2417" s="5">
        <v>94182</v>
      </c>
      <c r="K2417" s="1" t="s">
        <v>25</v>
      </c>
      <c r="L2417" s="5">
        <f>car_price_prediction_[[#This Row],[Price]]/100</f>
        <v>40165.519999999997</v>
      </c>
      <c r="M2417">
        <v>4016552</v>
      </c>
      <c r="N2417" s="1" t="s">
        <v>40</v>
      </c>
      <c r="O2417" s="1">
        <f>IF(IFERROR(VLOOKUP(car_price_prediction_[[#This Row],[Car ID]],A2418:A4917,1,FALSE),0),1,0)</f>
        <v>0</v>
      </c>
    </row>
    <row r="2418" spans="1:15" x14ac:dyDescent="0.25">
      <c r="A2418">
        <v>2417</v>
      </c>
      <c r="B2418" s="1" t="s">
        <v>15</v>
      </c>
      <c r="C2418" s="1">
        <f>car_price_prediction_[[#This Row],[Year2]]</f>
        <v>2010</v>
      </c>
      <c r="D2418">
        <v>2010</v>
      </c>
      <c r="E2418">
        <f>car_price_prediction_[[#This Row],[Engine Size]]/10</f>
        <v>4.5</v>
      </c>
      <c r="F2418">
        <v>45</v>
      </c>
      <c r="G2418" s="1" t="s">
        <v>21</v>
      </c>
      <c r="H2418" s="1" t="s">
        <v>12</v>
      </c>
      <c r="I2418" s="12">
        <f>car_price_prediction_[[#This Row],[Mileage]]/1000</f>
        <v>243.15299999999999</v>
      </c>
      <c r="J2418" s="5">
        <v>243153</v>
      </c>
      <c r="K2418" s="1" t="s">
        <v>25</v>
      </c>
      <c r="L2418" s="5">
        <f>car_price_prediction_[[#This Row],[Price]]/100</f>
        <v>84913.44</v>
      </c>
      <c r="M2418">
        <v>8491344</v>
      </c>
      <c r="N2418" s="1" t="s">
        <v>18</v>
      </c>
      <c r="O2418" s="1">
        <f>IF(IFERROR(VLOOKUP(car_price_prediction_[[#This Row],[Car ID]],A2419:A4918,1,FALSE),0),1,0)</f>
        <v>0</v>
      </c>
    </row>
    <row r="2419" spans="1:15" x14ac:dyDescent="0.25">
      <c r="A2419">
        <v>2418</v>
      </c>
      <c r="B2419" s="1" t="s">
        <v>19</v>
      </c>
      <c r="C2419" s="1">
        <f>car_price_prediction_[[#This Row],[Year2]]</f>
        <v>2004</v>
      </c>
      <c r="D2419">
        <v>2004</v>
      </c>
      <c r="E2419">
        <f>car_price_prediction_[[#This Row],[Engine Size]]/10</f>
        <v>5.9</v>
      </c>
      <c r="F2419">
        <v>59</v>
      </c>
      <c r="G2419" s="1" t="s">
        <v>11</v>
      </c>
      <c r="H2419" s="1" t="s">
        <v>22</v>
      </c>
      <c r="I2419" s="12">
        <f>car_price_prediction_[[#This Row],[Mileage]]/1000</f>
        <v>278.09800000000001</v>
      </c>
      <c r="J2419" s="5">
        <v>278098</v>
      </c>
      <c r="K2419" s="1" t="s">
        <v>17</v>
      </c>
      <c r="L2419" s="5">
        <f>car_price_prediction_[[#This Row],[Price]]/100</f>
        <v>87061.94</v>
      </c>
      <c r="M2419">
        <v>8706194</v>
      </c>
      <c r="N2419" s="1" t="s">
        <v>28</v>
      </c>
      <c r="O2419" s="1">
        <f>IF(IFERROR(VLOOKUP(car_price_prediction_[[#This Row],[Car ID]],A2420:A4919,1,FALSE),0),1,0)</f>
        <v>0</v>
      </c>
    </row>
    <row r="2420" spans="1:15" x14ac:dyDescent="0.25">
      <c r="A2420">
        <v>2419</v>
      </c>
      <c r="B2420" s="1" t="s">
        <v>10</v>
      </c>
      <c r="C2420" s="1">
        <f>car_price_prediction_[[#This Row],[Year2]]</f>
        <v>2011</v>
      </c>
      <c r="D2420">
        <v>2011</v>
      </c>
      <c r="E2420">
        <f>car_price_prediction_[[#This Row],[Engine Size]]/10</f>
        <v>2.1</v>
      </c>
      <c r="F2420">
        <v>21</v>
      </c>
      <c r="G2420" s="1" t="s">
        <v>11</v>
      </c>
      <c r="H2420" s="1" t="s">
        <v>12</v>
      </c>
      <c r="I2420" s="12">
        <f>car_price_prediction_[[#This Row],[Mileage]]/1000</f>
        <v>279.08699999999999</v>
      </c>
      <c r="J2420" s="5">
        <v>279087</v>
      </c>
      <c r="K2420" s="1" t="s">
        <v>17</v>
      </c>
      <c r="L2420" s="5">
        <f>car_price_prediction_[[#This Row],[Price]]/100</f>
        <v>16712.21</v>
      </c>
      <c r="M2420">
        <v>1671221</v>
      </c>
      <c r="N2420" s="1" t="s">
        <v>14</v>
      </c>
      <c r="O2420" s="1">
        <f>IF(IFERROR(VLOOKUP(car_price_prediction_[[#This Row],[Car ID]],A2421:A4920,1,FALSE),0),1,0)</f>
        <v>0</v>
      </c>
    </row>
    <row r="2421" spans="1:15" x14ac:dyDescent="0.25">
      <c r="A2421">
        <v>2420</v>
      </c>
      <c r="B2421" s="1" t="s">
        <v>36</v>
      </c>
      <c r="C2421" s="1">
        <f>car_price_prediction_[[#This Row],[Year2]]</f>
        <v>2016</v>
      </c>
      <c r="D2421">
        <v>2016</v>
      </c>
      <c r="E2421">
        <f>car_price_prediction_[[#This Row],[Engine Size]]/10</f>
        <v>4.3</v>
      </c>
      <c r="F2421">
        <v>43</v>
      </c>
      <c r="G2421" s="1" t="s">
        <v>16</v>
      </c>
      <c r="H2421" s="1" t="s">
        <v>12</v>
      </c>
      <c r="I2421" s="12">
        <f>car_price_prediction_[[#This Row],[Mileage]]/1000</f>
        <v>40.725000000000001</v>
      </c>
      <c r="J2421" s="5">
        <v>40725</v>
      </c>
      <c r="K2421" s="1" t="s">
        <v>13</v>
      </c>
      <c r="L2421" s="5">
        <f>car_price_prediction_[[#This Row],[Price]]/100</f>
        <v>8534.99</v>
      </c>
      <c r="M2421">
        <v>853499</v>
      </c>
      <c r="N2421" s="1" t="s">
        <v>40</v>
      </c>
      <c r="O2421" s="1">
        <f>IF(IFERROR(VLOOKUP(car_price_prediction_[[#This Row],[Car ID]],A2422:A4921,1,FALSE),0),1,0)</f>
        <v>0</v>
      </c>
    </row>
    <row r="2422" spans="1:15" x14ac:dyDescent="0.25">
      <c r="A2422">
        <v>2421</v>
      </c>
      <c r="B2422" s="1" t="s">
        <v>10</v>
      </c>
      <c r="C2422" s="1">
        <f>car_price_prediction_[[#This Row],[Year2]]</f>
        <v>2005</v>
      </c>
      <c r="D2422">
        <v>2005</v>
      </c>
      <c r="E2422">
        <f>car_price_prediction_[[#This Row],[Engine Size]]/10</f>
        <v>4</v>
      </c>
      <c r="F2422">
        <v>40</v>
      </c>
      <c r="G2422" s="1" t="s">
        <v>21</v>
      </c>
      <c r="H2422" s="1" t="s">
        <v>22</v>
      </c>
      <c r="I2422" s="12">
        <f>car_price_prediction_[[#This Row],[Mileage]]/1000</f>
        <v>10.11</v>
      </c>
      <c r="J2422" s="5">
        <v>10110</v>
      </c>
      <c r="K2422" s="1" t="s">
        <v>25</v>
      </c>
      <c r="L2422" s="5">
        <f>car_price_prediction_[[#This Row],[Price]]/100</f>
        <v>35803.74</v>
      </c>
      <c r="M2422">
        <v>3580374</v>
      </c>
      <c r="N2422" s="1" t="s">
        <v>14</v>
      </c>
      <c r="O2422" s="1">
        <f>IF(IFERROR(VLOOKUP(car_price_prediction_[[#This Row],[Car ID]],A2423:A4922,1,FALSE),0),1,0)</f>
        <v>0</v>
      </c>
    </row>
    <row r="2423" spans="1:15" x14ac:dyDescent="0.25">
      <c r="A2423">
        <v>2422</v>
      </c>
      <c r="B2423" s="1" t="s">
        <v>43</v>
      </c>
      <c r="C2423" s="1">
        <f>car_price_prediction_[[#This Row],[Year2]]</f>
        <v>2000</v>
      </c>
      <c r="D2423">
        <v>2000</v>
      </c>
      <c r="E2423">
        <f>car_price_prediction_[[#This Row],[Engine Size]]/10</f>
        <v>5.6</v>
      </c>
      <c r="F2423">
        <v>56</v>
      </c>
      <c r="G2423" s="1" t="s">
        <v>21</v>
      </c>
      <c r="H2423" s="1" t="s">
        <v>12</v>
      </c>
      <c r="I2423" s="12">
        <f>car_price_prediction_[[#This Row],[Mileage]]/1000</f>
        <v>278.60599999999999</v>
      </c>
      <c r="J2423" s="5">
        <v>278606</v>
      </c>
      <c r="K2423" s="1" t="s">
        <v>25</v>
      </c>
      <c r="L2423" s="5">
        <f>car_price_prediction_[[#This Row],[Price]]/100</f>
        <v>61357.58</v>
      </c>
      <c r="M2423">
        <v>6135758</v>
      </c>
      <c r="N2423" s="1" t="s">
        <v>47</v>
      </c>
      <c r="O2423" s="1">
        <f>IF(IFERROR(VLOOKUP(car_price_prediction_[[#This Row],[Car ID]],A2424:A4923,1,FALSE),0),1,0)</f>
        <v>0</v>
      </c>
    </row>
    <row r="2424" spans="1:15" x14ac:dyDescent="0.25">
      <c r="A2424">
        <v>2423</v>
      </c>
      <c r="B2424" s="1" t="s">
        <v>15</v>
      </c>
      <c r="C2424" s="1">
        <f>car_price_prediction_[[#This Row],[Year2]]</f>
        <v>2004</v>
      </c>
      <c r="D2424">
        <v>2004</v>
      </c>
      <c r="E2424">
        <f>car_price_prediction_[[#This Row],[Engine Size]]/10</f>
        <v>1.8</v>
      </c>
      <c r="F2424">
        <v>18</v>
      </c>
      <c r="G2424" s="1" t="s">
        <v>21</v>
      </c>
      <c r="H2424" s="1" t="s">
        <v>22</v>
      </c>
      <c r="I2424" s="12">
        <f>car_price_prediction_[[#This Row],[Mileage]]/1000</f>
        <v>185.15299999999999</v>
      </c>
      <c r="J2424" s="5">
        <v>185153</v>
      </c>
      <c r="K2424" s="1" t="s">
        <v>25</v>
      </c>
      <c r="L2424" s="5">
        <f>car_price_prediction_[[#This Row],[Price]]/100</f>
        <v>5620.14</v>
      </c>
      <c r="M2424">
        <v>562014</v>
      </c>
      <c r="N2424" s="1" t="s">
        <v>39</v>
      </c>
      <c r="O2424" s="1">
        <f>IF(IFERROR(VLOOKUP(car_price_prediction_[[#This Row],[Car ID]],A2425:A4924,1,FALSE),0),1,0)</f>
        <v>0</v>
      </c>
    </row>
    <row r="2425" spans="1:15" x14ac:dyDescent="0.25">
      <c r="A2425">
        <v>2424</v>
      </c>
      <c r="B2425" s="1" t="s">
        <v>30</v>
      </c>
      <c r="C2425" s="1">
        <f>car_price_prediction_[[#This Row],[Year2]]</f>
        <v>2013</v>
      </c>
      <c r="D2425">
        <v>2013</v>
      </c>
      <c r="E2425">
        <f>car_price_prediction_[[#This Row],[Engine Size]]/10</f>
        <v>4.8</v>
      </c>
      <c r="F2425">
        <v>48</v>
      </c>
      <c r="G2425" s="1" t="s">
        <v>16</v>
      </c>
      <c r="H2425" s="1" t="s">
        <v>12</v>
      </c>
      <c r="I2425" s="12">
        <f>car_price_prediction_[[#This Row],[Mileage]]/1000</f>
        <v>66.566999999999993</v>
      </c>
      <c r="J2425" s="5">
        <v>66567</v>
      </c>
      <c r="K2425" s="1" t="s">
        <v>13</v>
      </c>
      <c r="L2425" s="5">
        <f>car_price_prediction_[[#This Row],[Price]]/100</f>
        <v>67990.12</v>
      </c>
      <c r="M2425">
        <v>6799012</v>
      </c>
      <c r="N2425" s="1" t="s">
        <v>42</v>
      </c>
      <c r="O2425" s="1">
        <f>IF(IFERROR(VLOOKUP(car_price_prediction_[[#This Row],[Car ID]],A2426:A4925,1,FALSE),0),1,0)</f>
        <v>0</v>
      </c>
    </row>
    <row r="2426" spans="1:15" x14ac:dyDescent="0.25">
      <c r="A2426">
        <v>2425</v>
      </c>
      <c r="B2426" s="1" t="s">
        <v>10</v>
      </c>
      <c r="C2426" s="1">
        <f>car_price_prediction_[[#This Row],[Year2]]</f>
        <v>2004</v>
      </c>
      <c r="D2426">
        <v>2004</v>
      </c>
      <c r="E2426">
        <f>car_price_prediction_[[#This Row],[Engine Size]]/10</f>
        <v>3.8</v>
      </c>
      <c r="F2426">
        <v>38</v>
      </c>
      <c r="G2426" s="1" t="s">
        <v>21</v>
      </c>
      <c r="H2426" s="1" t="s">
        <v>22</v>
      </c>
      <c r="I2426" s="12">
        <f>car_price_prediction_[[#This Row],[Mileage]]/1000</f>
        <v>182.29599999999999</v>
      </c>
      <c r="J2426" s="5">
        <v>182296</v>
      </c>
      <c r="K2426" s="1" t="s">
        <v>17</v>
      </c>
      <c r="L2426" s="5">
        <f>car_price_prediction_[[#This Row],[Price]]/100</f>
        <v>75344.14</v>
      </c>
      <c r="M2426">
        <v>7534414</v>
      </c>
      <c r="N2426" s="1" t="s">
        <v>33</v>
      </c>
      <c r="O2426" s="1">
        <f>IF(IFERROR(VLOOKUP(car_price_prediction_[[#This Row],[Car ID]],A2427:A4926,1,FALSE),0),1,0)</f>
        <v>0</v>
      </c>
    </row>
    <row r="2427" spans="1:15" x14ac:dyDescent="0.25">
      <c r="A2427">
        <v>2426</v>
      </c>
      <c r="B2427" s="1" t="s">
        <v>36</v>
      </c>
      <c r="C2427" s="1">
        <f>car_price_prediction_[[#This Row],[Year2]]</f>
        <v>2021</v>
      </c>
      <c r="D2427">
        <v>2021</v>
      </c>
      <c r="E2427">
        <f>car_price_prediction_[[#This Row],[Engine Size]]/10</f>
        <v>2.4</v>
      </c>
      <c r="F2427">
        <v>24</v>
      </c>
      <c r="G2427" s="1" t="s">
        <v>11</v>
      </c>
      <c r="H2427" s="1" t="s">
        <v>22</v>
      </c>
      <c r="I2427" s="12">
        <f>car_price_prediction_[[#This Row],[Mileage]]/1000</f>
        <v>113.39400000000001</v>
      </c>
      <c r="J2427" s="5">
        <v>113394</v>
      </c>
      <c r="K2427" s="1" t="s">
        <v>25</v>
      </c>
      <c r="L2427" s="5">
        <f>car_price_prediction_[[#This Row],[Price]]/100</f>
        <v>4688.37</v>
      </c>
      <c r="M2427">
        <v>468837</v>
      </c>
      <c r="N2427" s="1" t="s">
        <v>41</v>
      </c>
      <c r="O2427" s="1">
        <f>IF(IFERROR(VLOOKUP(car_price_prediction_[[#This Row],[Car ID]],A2428:A4927,1,FALSE),0),1,0)</f>
        <v>0</v>
      </c>
    </row>
    <row r="2428" spans="1:15" x14ac:dyDescent="0.25">
      <c r="A2428">
        <v>2427</v>
      </c>
      <c r="B2428" s="1" t="s">
        <v>43</v>
      </c>
      <c r="C2428" s="1">
        <f>car_price_prediction_[[#This Row],[Year2]]</f>
        <v>2023</v>
      </c>
      <c r="D2428">
        <v>2023</v>
      </c>
      <c r="E2428">
        <f>car_price_prediction_[[#This Row],[Engine Size]]/10</f>
        <v>3.4</v>
      </c>
      <c r="F2428">
        <v>34</v>
      </c>
      <c r="G2428" s="1" t="s">
        <v>16</v>
      </c>
      <c r="H2428" s="1" t="s">
        <v>22</v>
      </c>
      <c r="I2428" s="12">
        <f>car_price_prediction_[[#This Row],[Mileage]]/1000</f>
        <v>148.94</v>
      </c>
      <c r="J2428" s="5">
        <v>148940</v>
      </c>
      <c r="K2428" s="1" t="s">
        <v>17</v>
      </c>
      <c r="L2428" s="5">
        <f>car_price_prediction_[[#This Row],[Price]]/100</f>
        <v>89389.53</v>
      </c>
      <c r="M2428">
        <v>8938953</v>
      </c>
      <c r="N2428" s="1" t="s">
        <v>52</v>
      </c>
      <c r="O2428" s="1">
        <f>IF(IFERROR(VLOOKUP(car_price_prediction_[[#This Row],[Car ID]],A2429:A4928,1,FALSE),0),1,0)</f>
        <v>0</v>
      </c>
    </row>
    <row r="2429" spans="1:15" x14ac:dyDescent="0.25">
      <c r="A2429">
        <v>2428</v>
      </c>
      <c r="B2429" s="1" t="s">
        <v>24</v>
      </c>
      <c r="C2429" s="1">
        <f>car_price_prediction_[[#This Row],[Year2]]</f>
        <v>2000</v>
      </c>
      <c r="D2429">
        <v>2000</v>
      </c>
      <c r="E2429">
        <f>car_price_prediction_[[#This Row],[Engine Size]]/10</f>
        <v>2.7</v>
      </c>
      <c r="F2429">
        <v>27</v>
      </c>
      <c r="G2429" s="1" t="s">
        <v>11</v>
      </c>
      <c r="H2429" s="1" t="s">
        <v>12</v>
      </c>
      <c r="I2429" s="12">
        <f>car_price_prediction_[[#This Row],[Mileage]]/1000</f>
        <v>22.222000000000001</v>
      </c>
      <c r="J2429" s="5">
        <v>22222</v>
      </c>
      <c r="K2429" s="1" t="s">
        <v>13</v>
      </c>
      <c r="L2429" s="5">
        <f>car_price_prediction_[[#This Row],[Price]]/100</f>
        <v>81902.350000000006</v>
      </c>
      <c r="M2429">
        <v>8190235</v>
      </c>
      <c r="N2429" s="1" t="s">
        <v>32</v>
      </c>
      <c r="O2429" s="1">
        <f>IF(IFERROR(VLOOKUP(car_price_prediction_[[#This Row],[Car ID]],A2430:A4929,1,FALSE),0),1,0)</f>
        <v>0</v>
      </c>
    </row>
    <row r="2430" spans="1:15" x14ac:dyDescent="0.25">
      <c r="A2430">
        <v>2429</v>
      </c>
      <c r="B2430" s="1" t="s">
        <v>43</v>
      </c>
      <c r="C2430" s="1">
        <f>car_price_prediction_[[#This Row],[Year2]]</f>
        <v>2017</v>
      </c>
      <c r="D2430">
        <v>2017</v>
      </c>
      <c r="E2430">
        <f>car_price_prediction_[[#This Row],[Engine Size]]/10</f>
        <v>3.9</v>
      </c>
      <c r="F2430">
        <v>39</v>
      </c>
      <c r="G2430" s="1" t="s">
        <v>11</v>
      </c>
      <c r="H2430" s="1" t="s">
        <v>22</v>
      </c>
      <c r="I2430" s="12">
        <f>car_price_prediction_[[#This Row],[Mileage]]/1000</f>
        <v>79.793999999999997</v>
      </c>
      <c r="J2430" s="5">
        <v>79794</v>
      </c>
      <c r="K2430" s="1" t="s">
        <v>17</v>
      </c>
      <c r="L2430" s="5">
        <f>car_price_prediction_[[#This Row],[Price]]/100</f>
        <v>7961.5</v>
      </c>
      <c r="M2430">
        <v>796150</v>
      </c>
      <c r="N2430" s="1" t="s">
        <v>47</v>
      </c>
      <c r="O2430" s="1">
        <f>IF(IFERROR(VLOOKUP(car_price_prediction_[[#This Row],[Car ID]],A2431:A4930,1,FALSE),0),1,0)</f>
        <v>0</v>
      </c>
    </row>
    <row r="2431" spans="1:15" x14ac:dyDescent="0.25">
      <c r="A2431">
        <v>2430</v>
      </c>
      <c r="B2431" s="1" t="s">
        <v>43</v>
      </c>
      <c r="C2431" s="1">
        <f>car_price_prediction_[[#This Row],[Year2]]</f>
        <v>2015</v>
      </c>
      <c r="D2431">
        <v>2015</v>
      </c>
      <c r="E2431">
        <f>car_price_prediction_[[#This Row],[Engine Size]]/10</f>
        <v>5.4</v>
      </c>
      <c r="F2431">
        <v>54</v>
      </c>
      <c r="G2431" s="1" t="s">
        <v>16</v>
      </c>
      <c r="H2431" s="1" t="s">
        <v>12</v>
      </c>
      <c r="I2431" s="12">
        <f>car_price_prediction_[[#This Row],[Mileage]]/1000</f>
        <v>63.923999999999999</v>
      </c>
      <c r="J2431" s="5">
        <v>63924</v>
      </c>
      <c r="K2431" s="1" t="s">
        <v>25</v>
      </c>
      <c r="L2431" s="5">
        <f>car_price_prediction_[[#This Row],[Price]]/100</f>
        <v>48533.45</v>
      </c>
      <c r="M2431">
        <v>4853345</v>
      </c>
      <c r="N2431" s="1" t="s">
        <v>47</v>
      </c>
      <c r="O2431" s="1">
        <f>IF(IFERROR(VLOOKUP(car_price_prediction_[[#This Row],[Car ID]],A2432:A4931,1,FALSE),0),1,0)</f>
        <v>0</v>
      </c>
    </row>
    <row r="2432" spans="1:15" x14ac:dyDescent="0.25">
      <c r="A2432">
        <v>2431</v>
      </c>
      <c r="B2432" s="1" t="s">
        <v>15</v>
      </c>
      <c r="C2432" s="1">
        <f>car_price_prediction_[[#This Row],[Year2]]</f>
        <v>2008</v>
      </c>
      <c r="D2432">
        <v>2008</v>
      </c>
      <c r="E2432">
        <f>car_price_prediction_[[#This Row],[Engine Size]]/10</f>
        <v>3.8</v>
      </c>
      <c r="F2432">
        <v>38</v>
      </c>
      <c r="G2432" s="1" t="s">
        <v>29</v>
      </c>
      <c r="H2432" s="1" t="s">
        <v>12</v>
      </c>
      <c r="I2432" s="12">
        <f>car_price_prediction_[[#This Row],[Mileage]]/1000</f>
        <v>99.853999999999999</v>
      </c>
      <c r="J2432" s="5">
        <v>99854</v>
      </c>
      <c r="K2432" s="1" t="s">
        <v>17</v>
      </c>
      <c r="L2432" s="5">
        <f>car_price_prediction_[[#This Row],[Price]]/100</f>
        <v>8569.42</v>
      </c>
      <c r="M2432">
        <v>856942</v>
      </c>
      <c r="N2432" s="1" t="s">
        <v>51</v>
      </c>
      <c r="O2432" s="1">
        <f>IF(IFERROR(VLOOKUP(car_price_prediction_[[#This Row],[Car ID]],A2433:A4932,1,FALSE),0),1,0)</f>
        <v>0</v>
      </c>
    </row>
    <row r="2433" spans="1:15" x14ac:dyDescent="0.25">
      <c r="A2433">
        <v>2432</v>
      </c>
      <c r="B2433" s="1" t="s">
        <v>30</v>
      </c>
      <c r="C2433" s="1">
        <f>car_price_prediction_[[#This Row],[Year2]]</f>
        <v>2018</v>
      </c>
      <c r="D2433">
        <v>2018</v>
      </c>
      <c r="E2433">
        <f>car_price_prediction_[[#This Row],[Engine Size]]/10</f>
        <v>4.2</v>
      </c>
      <c r="F2433">
        <v>42</v>
      </c>
      <c r="G2433" s="1" t="s">
        <v>29</v>
      </c>
      <c r="H2433" s="1" t="s">
        <v>12</v>
      </c>
      <c r="I2433" s="12">
        <f>car_price_prediction_[[#This Row],[Mileage]]/1000</f>
        <v>260.03800000000001</v>
      </c>
      <c r="J2433" s="5">
        <v>260038</v>
      </c>
      <c r="K2433" s="1" t="s">
        <v>17</v>
      </c>
      <c r="L2433" s="5">
        <f>car_price_prediction_[[#This Row],[Price]]/100</f>
        <v>51764.36</v>
      </c>
      <c r="M2433">
        <v>5176436</v>
      </c>
      <c r="N2433" s="1" t="s">
        <v>31</v>
      </c>
      <c r="O2433" s="1">
        <f>IF(IFERROR(VLOOKUP(car_price_prediction_[[#This Row],[Car ID]],A2434:A4933,1,FALSE),0),1,0)</f>
        <v>0</v>
      </c>
    </row>
    <row r="2434" spans="1:15" x14ac:dyDescent="0.25">
      <c r="A2434">
        <v>2433</v>
      </c>
      <c r="B2434" s="1" t="s">
        <v>24</v>
      </c>
      <c r="C2434" s="1">
        <f>car_price_prediction_[[#This Row],[Year2]]</f>
        <v>2021</v>
      </c>
      <c r="D2434">
        <v>2021</v>
      </c>
      <c r="E2434">
        <f>car_price_prediction_[[#This Row],[Engine Size]]/10</f>
        <v>3.6</v>
      </c>
      <c r="F2434">
        <v>36</v>
      </c>
      <c r="G2434" s="1" t="s">
        <v>11</v>
      </c>
      <c r="H2434" s="1" t="s">
        <v>12</v>
      </c>
      <c r="I2434" s="12">
        <f>car_price_prediction_[[#This Row],[Mileage]]/1000</f>
        <v>243.815</v>
      </c>
      <c r="J2434" s="5">
        <v>243815</v>
      </c>
      <c r="K2434" s="1" t="s">
        <v>13</v>
      </c>
      <c r="L2434" s="5">
        <f>car_price_prediction_[[#This Row],[Price]]/100</f>
        <v>90352.33</v>
      </c>
      <c r="M2434">
        <v>9035233</v>
      </c>
      <c r="N2434" s="1" t="s">
        <v>26</v>
      </c>
      <c r="O2434" s="1">
        <f>IF(IFERROR(VLOOKUP(car_price_prediction_[[#This Row],[Car ID]],A2435:A4934,1,FALSE),0),1,0)</f>
        <v>0</v>
      </c>
    </row>
    <row r="2435" spans="1:15" x14ac:dyDescent="0.25">
      <c r="A2435">
        <v>2434</v>
      </c>
      <c r="B2435" s="1" t="s">
        <v>19</v>
      </c>
      <c r="C2435" s="1">
        <f>car_price_prediction_[[#This Row],[Year2]]</f>
        <v>2004</v>
      </c>
      <c r="D2435">
        <v>2004</v>
      </c>
      <c r="E2435">
        <f>car_price_prediction_[[#This Row],[Engine Size]]/10</f>
        <v>1.3</v>
      </c>
      <c r="F2435">
        <v>13</v>
      </c>
      <c r="G2435" s="1" t="s">
        <v>29</v>
      </c>
      <c r="H2435" s="1" t="s">
        <v>12</v>
      </c>
      <c r="I2435" s="12">
        <f>car_price_prediction_[[#This Row],[Mileage]]/1000</f>
        <v>233.12700000000001</v>
      </c>
      <c r="J2435" s="5">
        <v>233127</v>
      </c>
      <c r="K2435" s="1" t="s">
        <v>13</v>
      </c>
      <c r="L2435" s="5">
        <f>car_price_prediction_[[#This Row],[Price]]/100</f>
        <v>23092.76</v>
      </c>
      <c r="M2435">
        <v>2309276</v>
      </c>
      <c r="N2435" s="1" t="s">
        <v>38</v>
      </c>
      <c r="O2435" s="1">
        <f>IF(IFERROR(VLOOKUP(car_price_prediction_[[#This Row],[Car ID]],A2436:A4935,1,FALSE),0),1,0)</f>
        <v>0</v>
      </c>
    </row>
    <row r="2436" spans="1:15" x14ac:dyDescent="0.25">
      <c r="A2436">
        <v>2435</v>
      </c>
      <c r="B2436" s="1" t="s">
        <v>19</v>
      </c>
      <c r="C2436" s="1">
        <f>car_price_prediction_[[#This Row],[Year2]]</f>
        <v>2001</v>
      </c>
      <c r="D2436">
        <v>2001</v>
      </c>
      <c r="E2436">
        <f>car_price_prediction_[[#This Row],[Engine Size]]/10</f>
        <v>2.2000000000000002</v>
      </c>
      <c r="F2436">
        <v>22</v>
      </c>
      <c r="G2436" s="1" t="s">
        <v>21</v>
      </c>
      <c r="H2436" s="1" t="s">
        <v>22</v>
      </c>
      <c r="I2436" s="12">
        <f>car_price_prediction_[[#This Row],[Mileage]]/1000</f>
        <v>141.29499999999999</v>
      </c>
      <c r="J2436" s="5">
        <v>141295</v>
      </c>
      <c r="K2436" s="1" t="s">
        <v>13</v>
      </c>
      <c r="L2436" s="5">
        <f>car_price_prediction_[[#This Row],[Price]]/100</f>
        <v>98346.28</v>
      </c>
      <c r="M2436">
        <v>9834628</v>
      </c>
      <c r="N2436" s="1" t="s">
        <v>27</v>
      </c>
      <c r="O2436" s="1">
        <f>IF(IFERROR(VLOOKUP(car_price_prediction_[[#This Row],[Car ID]],A2437:A4936,1,FALSE),0),1,0)</f>
        <v>0</v>
      </c>
    </row>
    <row r="2437" spans="1:15" x14ac:dyDescent="0.25">
      <c r="A2437">
        <v>2436</v>
      </c>
      <c r="B2437" s="1" t="s">
        <v>10</v>
      </c>
      <c r="C2437" s="1">
        <f>car_price_prediction_[[#This Row],[Year2]]</f>
        <v>2014</v>
      </c>
      <c r="D2437">
        <v>2014</v>
      </c>
      <c r="E2437">
        <f>car_price_prediction_[[#This Row],[Engine Size]]/10</f>
        <v>3.5</v>
      </c>
      <c r="F2437">
        <v>35</v>
      </c>
      <c r="G2437" s="1" t="s">
        <v>16</v>
      </c>
      <c r="H2437" s="1" t="s">
        <v>12</v>
      </c>
      <c r="I2437" s="12">
        <f>car_price_prediction_[[#This Row],[Mileage]]/1000</f>
        <v>179.238</v>
      </c>
      <c r="J2437" s="5">
        <v>179238</v>
      </c>
      <c r="K2437" s="1" t="s">
        <v>13</v>
      </c>
      <c r="L2437" s="5">
        <f>car_price_prediction_[[#This Row],[Price]]/100</f>
        <v>81730.61</v>
      </c>
      <c r="M2437">
        <v>8173061</v>
      </c>
      <c r="N2437" s="1" t="s">
        <v>23</v>
      </c>
      <c r="O2437" s="1">
        <f>IF(IFERROR(VLOOKUP(car_price_prediction_[[#This Row],[Car ID]],A2438:A4937,1,FALSE),0),1,0)</f>
        <v>0</v>
      </c>
    </row>
    <row r="2438" spans="1:15" x14ac:dyDescent="0.25">
      <c r="A2438">
        <v>2437</v>
      </c>
      <c r="B2438" s="1" t="s">
        <v>43</v>
      </c>
      <c r="C2438" s="1">
        <f>car_price_prediction_[[#This Row],[Year2]]</f>
        <v>2006</v>
      </c>
      <c r="D2438">
        <v>2006</v>
      </c>
      <c r="E2438">
        <f>car_price_prediction_[[#This Row],[Engine Size]]/10</f>
        <v>2.6</v>
      </c>
      <c r="F2438">
        <v>26</v>
      </c>
      <c r="G2438" s="1" t="s">
        <v>11</v>
      </c>
      <c r="H2438" s="1" t="s">
        <v>22</v>
      </c>
      <c r="I2438" s="12">
        <f>car_price_prediction_[[#This Row],[Mileage]]/1000</f>
        <v>39.369</v>
      </c>
      <c r="J2438" s="5">
        <v>39369</v>
      </c>
      <c r="K2438" s="1" t="s">
        <v>17</v>
      </c>
      <c r="L2438" s="5">
        <f>car_price_prediction_[[#This Row],[Price]]/100</f>
        <v>72433.83</v>
      </c>
      <c r="M2438">
        <v>7243383</v>
      </c>
      <c r="N2438" s="1" t="s">
        <v>44</v>
      </c>
      <c r="O2438" s="1">
        <f>IF(IFERROR(VLOOKUP(car_price_prediction_[[#This Row],[Car ID]],A2439:A4938,1,FALSE),0),1,0)</f>
        <v>0</v>
      </c>
    </row>
    <row r="2439" spans="1:15" x14ac:dyDescent="0.25">
      <c r="A2439">
        <v>2438</v>
      </c>
      <c r="B2439" s="1" t="s">
        <v>15</v>
      </c>
      <c r="C2439" s="1">
        <f>car_price_prediction_[[#This Row],[Year2]]</f>
        <v>2003</v>
      </c>
      <c r="D2439">
        <v>2003</v>
      </c>
      <c r="E2439">
        <f>car_price_prediction_[[#This Row],[Engine Size]]/10</f>
        <v>1.9</v>
      </c>
      <c r="F2439">
        <v>19</v>
      </c>
      <c r="G2439" s="1" t="s">
        <v>21</v>
      </c>
      <c r="H2439" s="1" t="s">
        <v>22</v>
      </c>
      <c r="I2439" s="12">
        <f>car_price_prediction_[[#This Row],[Mileage]]/1000</f>
        <v>274.80500000000001</v>
      </c>
      <c r="J2439" s="5">
        <v>274805</v>
      </c>
      <c r="K2439" s="1" t="s">
        <v>17</v>
      </c>
      <c r="L2439" s="5">
        <f>car_price_prediction_[[#This Row],[Price]]/100</f>
        <v>6933.02</v>
      </c>
      <c r="M2439">
        <v>693302</v>
      </c>
      <c r="N2439" s="1" t="s">
        <v>51</v>
      </c>
      <c r="O2439" s="1">
        <f>IF(IFERROR(VLOOKUP(car_price_prediction_[[#This Row],[Car ID]],A2440:A4939,1,FALSE),0),1,0)</f>
        <v>0</v>
      </c>
    </row>
    <row r="2440" spans="1:15" x14ac:dyDescent="0.25">
      <c r="A2440">
        <v>2439</v>
      </c>
      <c r="B2440" s="1" t="s">
        <v>15</v>
      </c>
      <c r="C2440" s="1">
        <f>car_price_prediction_[[#This Row],[Year2]]</f>
        <v>2000</v>
      </c>
      <c r="D2440">
        <v>2000</v>
      </c>
      <c r="E2440">
        <f>car_price_prediction_[[#This Row],[Engine Size]]/10</f>
        <v>3.5</v>
      </c>
      <c r="F2440">
        <v>35</v>
      </c>
      <c r="G2440" s="1" t="s">
        <v>29</v>
      </c>
      <c r="H2440" s="1" t="s">
        <v>12</v>
      </c>
      <c r="I2440" s="12">
        <f>car_price_prediction_[[#This Row],[Mileage]]/1000</f>
        <v>146.66300000000001</v>
      </c>
      <c r="J2440" s="5">
        <v>146663</v>
      </c>
      <c r="K2440" s="1" t="s">
        <v>13</v>
      </c>
      <c r="L2440" s="5">
        <f>car_price_prediction_[[#This Row],[Price]]/100</f>
        <v>60767.46</v>
      </c>
      <c r="M2440">
        <v>6076746</v>
      </c>
      <c r="N2440" s="1" t="s">
        <v>39</v>
      </c>
      <c r="O2440" s="1">
        <f>IF(IFERROR(VLOOKUP(car_price_prediction_[[#This Row],[Car ID]],A2441:A4940,1,FALSE),0),1,0)</f>
        <v>0</v>
      </c>
    </row>
    <row r="2441" spans="1:15" x14ac:dyDescent="0.25">
      <c r="A2441">
        <v>2440</v>
      </c>
      <c r="B2441" s="1" t="s">
        <v>19</v>
      </c>
      <c r="C2441" s="1">
        <f>car_price_prediction_[[#This Row],[Year2]]</f>
        <v>2012</v>
      </c>
      <c r="D2441">
        <v>2012</v>
      </c>
      <c r="E2441">
        <f>car_price_prediction_[[#This Row],[Engine Size]]/10</f>
        <v>2.6</v>
      </c>
      <c r="F2441">
        <v>26</v>
      </c>
      <c r="G2441" s="1" t="s">
        <v>21</v>
      </c>
      <c r="H2441" s="1" t="s">
        <v>22</v>
      </c>
      <c r="I2441" s="12">
        <f>car_price_prediction_[[#This Row],[Mileage]]/1000</f>
        <v>186.30699999999999</v>
      </c>
      <c r="J2441" s="5">
        <v>186307</v>
      </c>
      <c r="K2441" s="1" t="s">
        <v>13</v>
      </c>
      <c r="L2441" s="5">
        <f>car_price_prediction_[[#This Row],[Price]]/100</f>
        <v>73463.679999999993</v>
      </c>
      <c r="M2441">
        <v>7346368</v>
      </c>
      <c r="N2441" s="1" t="s">
        <v>38</v>
      </c>
      <c r="O2441" s="1">
        <f>IF(IFERROR(VLOOKUP(car_price_prediction_[[#This Row],[Car ID]],A2442:A4941,1,FALSE),0),1,0)</f>
        <v>0</v>
      </c>
    </row>
    <row r="2442" spans="1:15" x14ac:dyDescent="0.25">
      <c r="A2442">
        <v>2441</v>
      </c>
      <c r="B2442" s="1" t="s">
        <v>10</v>
      </c>
      <c r="C2442" s="1">
        <f>car_price_prediction_[[#This Row],[Year2]]</f>
        <v>2019</v>
      </c>
      <c r="D2442">
        <v>2019</v>
      </c>
      <c r="E2442">
        <f>car_price_prediction_[[#This Row],[Engine Size]]/10</f>
        <v>2.2999999999999998</v>
      </c>
      <c r="F2442">
        <v>23</v>
      </c>
      <c r="G2442" s="1" t="s">
        <v>29</v>
      </c>
      <c r="H2442" s="1" t="s">
        <v>22</v>
      </c>
      <c r="I2442" s="12">
        <f>car_price_prediction_[[#This Row],[Mileage]]/1000</f>
        <v>270.11399999999998</v>
      </c>
      <c r="J2442" s="5">
        <v>270114</v>
      </c>
      <c r="K2442" s="1" t="s">
        <v>25</v>
      </c>
      <c r="L2442" s="5">
        <f>car_price_prediction_[[#This Row],[Price]]/100</f>
        <v>45081.03</v>
      </c>
      <c r="M2442">
        <v>4508103</v>
      </c>
      <c r="N2442" s="1" t="s">
        <v>14</v>
      </c>
      <c r="O2442" s="1">
        <f>IF(IFERROR(VLOOKUP(car_price_prediction_[[#This Row],[Car ID]],A2443:A4942,1,FALSE),0),1,0)</f>
        <v>0</v>
      </c>
    </row>
    <row r="2443" spans="1:15" x14ac:dyDescent="0.25">
      <c r="A2443">
        <v>2442</v>
      </c>
      <c r="B2443" s="1" t="s">
        <v>10</v>
      </c>
      <c r="C2443" s="1">
        <f>car_price_prediction_[[#This Row],[Year2]]</f>
        <v>2021</v>
      </c>
      <c r="D2443">
        <v>2021</v>
      </c>
      <c r="E2443">
        <f>car_price_prediction_[[#This Row],[Engine Size]]/10</f>
        <v>3.3</v>
      </c>
      <c r="F2443">
        <v>33</v>
      </c>
      <c r="G2443" s="1" t="s">
        <v>11</v>
      </c>
      <c r="H2443" s="1" t="s">
        <v>12</v>
      </c>
      <c r="I2443" s="12">
        <f>car_price_prediction_[[#This Row],[Mileage]]/1000</f>
        <v>47.921999999999997</v>
      </c>
      <c r="J2443" s="5">
        <v>47922</v>
      </c>
      <c r="K2443" s="1" t="s">
        <v>25</v>
      </c>
      <c r="L2443" s="5">
        <f>car_price_prediction_[[#This Row],[Price]]/100</f>
        <v>85302.37</v>
      </c>
      <c r="M2443">
        <v>8530237</v>
      </c>
      <c r="N2443" s="1" t="s">
        <v>23</v>
      </c>
      <c r="O2443" s="1">
        <f>IF(IFERROR(VLOOKUP(car_price_prediction_[[#This Row],[Car ID]],A2444:A4943,1,FALSE),0),1,0)</f>
        <v>0</v>
      </c>
    </row>
    <row r="2444" spans="1:15" x14ac:dyDescent="0.25">
      <c r="A2444">
        <v>2443</v>
      </c>
      <c r="B2444" s="1" t="s">
        <v>10</v>
      </c>
      <c r="C2444" s="1">
        <f>car_price_prediction_[[#This Row],[Year2]]</f>
        <v>2006</v>
      </c>
      <c r="D2444">
        <v>2006</v>
      </c>
      <c r="E2444">
        <f>car_price_prediction_[[#This Row],[Engine Size]]/10</f>
        <v>1.7</v>
      </c>
      <c r="F2444">
        <v>17</v>
      </c>
      <c r="G2444" s="1" t="s">
        <v>21</v>
      </c>
      <c r="H2444" s="1" t="s">
        <v>22</v>
      </c>
      <c r="I2444" s="12">
        <f>car_price_prediction_[[#This Row],[Mileage]]/1000</f>
        <v>292.899</v>
      </c>
      <c r="J2444" s="5">
        <v>292899</v>
      </c>
      <c r="K2444" s="1" t="s">
        <v>13</v>
      </c>
      <c r="L2444" s="5">
        <f>car_price_prediction_[[#This Row],[Price]]/100</f>
        <v>71152.87</v>
      </c>
      <c r="M2444">
        <v>7115287</v>
      </c>
      <c r="N2444" s="1" t="s">
        <v>49</v>
      </c>
      <c r="O2444" s="1">
        <f>IF(IFERROR(VLOOKUP(car_price_prediction_[[#This Row],[Car ID]],A2445:A4944,1,FALSE),0),1,0)</f>
        <v>0</v>
      </c>
    </row>
    <row r="2445" spans="1:15" x14ac:dyDescent="0.25">
      <c r="A2445">
        <v>2444</v>
      </c>
      <c r="B2445" s="1" t="s">
        <v>24</v>
      </c>
      <c r="C2445" s="1">
        <f>car_price_prediction_[[#This Row],[Year2]]</f>
        <v>2014</v>
      </c>
      <c r="D2445">
        <v>2014</v>
      </c>
      <c r="E2445">
        <f>car_price_prediction_[[#This Row],[Engine Size]]/10</f>
        <v>5.6</v>
      </c>
      <c r="F2445">
        <v>56</v>
      </c>
      <c r="G2445" s="1" t="s">
        <v>16</v>
      </c>
      <c r="H2445" s="1" t="s">
        <v>12</v>
      </c>
      <c r="I2445" s="12">
        <f>car_price_prediction_[[#This Row],[Mileage]]/1000</f>
        <v>120.926</v>
      </c>
      <c r="J2445" s="5">
        <v>120926</v>
      </c>
      <c r="K2445" s="1" t="s">
        <v>17</v>
      </c>
      <c r="L2445" s="5">
        <f>car_price_prediction_[[#This Row],[Price]]/100</f>
        <v>78269.05</v>
      </c>
      <c r="M2445">
        <v>7826905</v>
      </c>
      <c r="N2445" s="1" t="s">
        <v>32</v>
      </c>
      <c r="O2445" s="1">
        <f>IF(IFERROR(VLOOKUP(car_price_prediction_[[#This Row],[Car ID]],A2446:A4945,1,FALSE),0),1,0)</f>
        <v>0</v>
      </c>
    </row>
    <row r="2446" spans="1:15" x14ac:dyDescent="0.25">
      <c r="A2446">
        <v>2445</v>
      </c>
      <c r="B2446" s="1" t="s">
        <v>30</v>
      </c>
      <c r="C2446" s="1">
        <f>car_price_prediction_[[#This Row],[Year2]]</f>
        <v>2022</v>
      </c>
      <c r="D2446">
        <v>2022</v>
      </c>
      <c r="E2446">
        <f>car_price_prediction_[[#This Row],[Engine Size]]/10</f>
        <v>5.3</v>
      </c>
      <c r="F2446">
        <v>53</v>
      </c>
      <c r="G2446" s="1" t="s">
        <v>11</v>
      </c>
      <c r="H2446" s="1" t="s">
        <v>12</v>
      </c>
      <c r="I2446" s="12">
        <f>car_price_prediction_[[#This Row],[Mileage]]/1000</f>
        <v>19.416</v>
      </c>
      <c r="J2446" s="5">
        <v>19416</v>
      </c>
      <c r="K2446" s="1" t="s">
        <v>13</v>
      </c>
      <c r="L2446" s="5">
        <f>car_price_prediction_[[#This Row],[Price]]/100</f>
        <v>80286.31</v>
      </c>
      <c r="M2446">
        <v>8028631</v>
      </c>
      <c r="N2446" s="1" t="s">
        <v>31</v>
      </c>
      <c r="O2446" s="1">
        <f>IF(IFERROR(VLOOKUP(car_price_prediction_[[#This Row],[Car ID]],A2447:A4946,1,FALSE),0),1,0)</f>
        <v>0</v>
      </c>
    </row>
    <row r="2447" spans="1:15" x14ac:dyDescent="0.25">
      <c r="A2447">
        <v>2446</v>
      </c>
      <c r="B2447" s="1" t="s">
        <v>24</v>
      </c>
      <c r="C2447" s="1">
        <f>car_price_prediction_[[#This Row],[Year2]]</f>
        <v>2013</v>
      </c>
      <c r="D2447">
        <v>2013</v>
      </c>
      <c r="E2447">
        <f>car_price_prediction_[[#This Row],[Engine Size]]/10</f>
        <v>4.5</v>
      </c>
      <c r="F2447">
        <v>45</v>
      </c>
      <c r="G2447" s="1" t="s">
        <v>21</v>
      </c>
      <c r="H2447" s="1" t="s">
        <v>12</v>
      </c>
      <c r="I2447" s="12">
        <f>car_price_prediction_[[#This Row],[Mileage]]/1000</f>
        <v>13.672000000000001</v>
      </c>
      <c r="J2447" s="5">
        <v>13672</v>
      </c>
      <c r="K2447" s="1" t="s">
        <v>17</v>
      </c>
      <c r="L2447" s="5">
        <f>car_price_prediction_[[#This Row],[Price]]/100</f>
        <v>13746.65</v>
      </c>
      <c r="M2447">
        <v>1374665</v>
      </c>
      <c r="N2447" s="1" t="s">
        <v>32</v>
      </c>
      <c r="O2447" s="1">
        <f>IF(IFERROR(VLOOKUP(car_price_prediction_[[#This Row],[Car ID]],A2448:A4947,1,FALSE),0),1,0)</f>
        <v>0</v>
      </c>
    </row>
    <row r="2448" spans="1:15" x14ac:dyDescent="0.25">
      <c r="A2448">
        <v>2447</v>
      </c>
      <c r="B2448" s="1" t="s">
        <v>36</v>
      </c>
      <c r="C2448" s="1">
        <f>car_price_prediction_[[#This Row],[Year2]]</f>
        <v>2022</v>
      </c>
      <c r="D2448">
        <v>2022</v>
      </c>
      <c r="E2448">
        <f>car_price_prediction_[[#This Row],[Engine Size]]/10</f>
        <v>1.5</v>
      </c>
      <c r="F2448">
        <v>15</v>
      </c>
      <c r="G2448" s="1" t="s">
        <v>21</v>
      </c>
      <c r="H2448" s="1" t="s">
        <v>22</v>
      </c>
      <c r="I2448" s="12">
        <f>car_price_prediction_[[#This Row],[Mileage]]/1000</f>
        <v>128.14500000000001</v>
      </c>
      <c r="J2448" s="5">
        <v>128145</v>
      </c>
      <c r="K2448" s="1" t="s">
        <v>17</v>
      </c>
      <c r="L2448" s="5">
        <f>car_price_prediction_[[#This Row],[Price]]/100</f>
        <v>10285.870000000001</v>
      </c>
      <c r="M2448">
        <v>1028587</v>
      </c>
      <c r="N2448" s="1" t="s">
        <v>37</v>
      </c>
      <c r="O2448" s="1">
        <f>IF(IFERROR(VLOOKUP(car_price_prediction_[[#This Row],[Car ID]],A2449:A4948,1,FALSE),0),1,0)</f>
        <v>0</v>
      </c>
    </row>
    <row r="2449" spans="1:15" x14ac:dyDescent="0.25">
      <c r="A2449">
        <v>2448</v>
      </c>
      <c r="B2449" s="1" t="s">
        <v>36</v>
      </c>
      <c r="C2449" s="1">
        <f>car_price_prediction_[[#This Row],[Year2]]</f>
        <v>2018</v>
      </c>
      <c r="D2449">
        <v>2018</v>
      </c>
      <c r="E2449">
        <f>car_price_prediction_[[#This Row],[Engine Size]]/10</f>
        <v>4.9000000000000004</v>
      </c>
      <c r="F2449">
        <v>49</v>
      </c>
      <c r="G2449" s="1" t="s">
        <v>29</v>
      </c>
      <c r="H2449" s="1" t="s">
        <v>22</v>
      </c>
      <c r="I2449" s="12">
        <f>car_price_prediction_[[#This Row],[Mileage]]/1000</f>
        <v>178.06800000000001</v>
      </c>
      <c r="J2449" s="5">
        <v>178068</v>
      </c>
      <c r="K2449" s="1" t="s">
        <v>25</v>
      </c>
      <c r="L2449" s="5">
        <f>car_price_prediction_[[#This Row],[Price]]/100</f>
        <v>81093.66</v>
      </c>
      <c r="M2449">
        <v>8109366</v>
      </c>
      <c r="N2449" s="1" t="s">
        <v>40</v>
      </c>
      <c r="O2449" s="1">
        <f>IF(IFERROR(VLOOKUP(car_price_prediction_[[#This Row],[Car ID]],A2450:A4949,1,FALSE),0),1,0)</f>
        <v>0</v>
      </c>
    </row>
    <row r="2450" spans="1:15" x14ac:dyDescent="0.25">
      <c r="A2450">
        <v>2449</v>
      </c>
      <c r="B2450" s="1" t="s">
        <v>30</v>
      </c>
      <c r="C2450" s="1">
        <f>car_price_prediction_[[#This Row],[Year2]]</f>
        <v>2021</v>
      </c>
      <c r="D2450">
        <v>2021</v>
      </c>
      <c r="E2450">
        <f>car_price_prediction_[[#This Row],[Engine Size]]/10</f>
        <v>5</v>
      </c>
      <c r="F2450">
        <v>50</v>
      </c>
      <c r="G2450" s="1" t="s">
        <v>11</v>
      </c>
      <c r="H2450" s="1" t="s">
        <v>22</v>
      </c>
      <c r="I2450" s="12">
        <f>car_price_prediction_[[#This Row],[Mileage]]/1000</f>
        <v>6.4000000000000001E-2</v>
      </c>
      <c r="J2450" s="5">
        <v>64</v>
      </c>
      <c r="K2450" s="1" t="s">
        <v>13</v>
      </c>
      <c r="L2450" s="5">
        <f>car_price_prediction_[[#This Row],[Price]]/100</f>
        <v>29641.48</v>
      </c>
      <c r="M2450">
        <v>2964148</v>
      </c>
      <c r="N2450" s="1" t="s">
        <v>45</v>
      </c>
      <c r="O2450" s="1">
        <f>IF(IFERROR(VLOOKUP(car_price_prediction_[[#This Row],[Car ID]],A2451:A4950,1,FALSE),0),1,0)</f>
        <v>0</v>
      </c>
    </row>
    <row r="2451" spans="1:15" x14ac:dyDescent="0.25">
      <c r="A2451">
        <v>2450</v>
      </c>
      <c r="B2451" s="1" t="s">
        <v>19</v>
      </c>
      <c r="C2451" s="1">
        <f>car_price_prediction_[[#This Row],[Year2]]</f>
        <v>2023</v>
      </c>
      <c r="D2451">
        <v>2023</v>
      </c>
      <c r="E2451">
        <f>car_price_prediction_[[#This Row],[Engine Size]]/10</f>
        <v>4.8</v>
      </c>
      <c r="F2451">
        <v>48</v>
      </c>
      <c r="G2451" s="1" t="s">
        <v>11</v>
      </c>
      <c r="H2451" s="1" t="s">
        <v>22</v>
      </c>
      <c r="I2451" s="12">
        <f>car_price_prediction_[[#This Row],[Mileage]]/1000</f>
        <v>68.834999999999994</v>
      </c>
      <c r="J2451" s="5">
        <v>68835</v>
      </c>
      <c r="K2451" s="1" t="s">
        <v>13</v>
      </c>
      <c r="L2451" s="5">
        <f>car_price_prediction_[[#This Row],[Price]]/100</f>
        <v>60287.13</v>
      </c>
      <c r="M2451">
        <v>6028713</v>
      </c>
      <c r="N2451" s="1" t="s">
        <v>38</v>
      </c>
      <c r="O2451" s="1">
        <f>IF(IFERROR(VLOOKUP(car_price_prediction_[[#This Row],[Car ID]],A2452:A4951,1,FALSE),0),1,0)</f>
        <v>0</v>
      </c>
    </row>
    <row r="2452" spans="1:15" x14ac:dyDescent="0.25">
      <c r="A2452">
        <v>2451</v>
      </c>
      <c r="B2452" s="1" t="s">
        <v>30</v>
      </c>
      <c r="C2452" s="1">
        <f>car_price_prediction_[[#This Row],[Year2]]</f>
        <v>2019</v>
      </c>
      <c r="D2452">
        <v>2019</v>
      </c>
      <c r="E2452">
        <f>car_price_prediction_[[#This Row],[Engine Size]]/10</f>
        <v>1.6</v>
      </c>
      <c r="F2452">
        <v>16</v>
      </c>
      <c r="G2452" s="1" t="s">
        <v>11</v>
      </c>
      <c r="H2452" s="1" t="s">
        <v>12</v>
      </c>
      <c r="I2452" s="12">
        <f>car_price_prediction_[[#This Row],[Mileage]]/1000</f>
        <v>201.45699999999999</v>
      </c>
      <c r="J2452" s="5">
        <v>201457</v>
      </c>
      <c r="K2452" s="1" t="s">
        <v>17</v>
      </c>
      <c r="L2452" s="5">
        <f>car_price_prediction_[[#This Row],[Price]]/100</f>
        <v>47152.53</v>
      </c>
      <c r="M2452">
        <v>4715253</v>
      </c>
      <c r="N2452" s="1" t="s">
        <v>42</v>
      </c>
      <c r="O2452" s="1">
        <f>IF(IFERROR(VLOOKUP(car_price_prediction_[[#This Row],[Car ID]],A2453:A4952,1,FALSE),0),1,0)</f>
        <v>0</v>
      </c>
    </row>
    <row r="2453" spans="1:15" x14ac:dyDescent="0.25">
      <c r="A2453">
        <v>2452</v>
      </c>
      <c r="B2453" s="1" t="s">
        <v>15</v>
      </c>
      <c r="C2453" s="1">
        <f>car_price_prediction_[[#This Row],[Year2]]</f>
        <v>2023</v>
      </c>
      <c r="D2453">
        <v>2023</v>
      </c>
      <c r="E2453">
        <f>car_price_prediction_[[#This Row],[Engine Size]]/10</f>
        <v>4.2</v>
      </c>
      <c r="F2453">
        <v>42</v>
      </c>
      <c r="G2453" s="1" t="s">
        <v>11</v>
      </c>
      <c r="H2453" s="1" t="s">
        <v>12</v>
      </c>
      <c r="I2453" s="12">
        <f>car_price_prediction_[[#This Row],[Mileage]]/1000</f>
        <v>247.79499999999999</v>
      </c>
      <c r="J2453" s="5">
        <v>247795</v>
      </c>
      <c r="K2453" s="1" t="s">
        <v>13</v>
      </c>
      <c r="L2453" s="5">
        <f>car_price_prediction_[[#This Row],[Price]]/100</f>
        <v>7093.72</v>
      </c>
      <c r="M2453">
        <v>709372</v>
      </c>
      <c r="N2453" s="1" t="s">
        <v>35</v>
      </c>
      <c r="O2453" s="1">
        <f>IF(IFERROR(VLOOKUP(car_price_prediction_[[#This Row],[Car ID]],A2454:A4953,1,FALSE),0),1,0)</f>
        <v>0</v>
      </c>
    </row>
    <row r="2454" spans="1:15" x14ac:dyDescent="0.25">
      <c r="A2454">
        <v>2453</v>
      </c>
      <c r="B2454" s="1" t="s">
        <v>36</v>
      </c>
      <c r="C2454" s="1">
        <f>car_price_prediction_[[#This Row],[Year2]]</f>
        <v>2017</v>
      </c>
      <c r="D2454">
        <v>2017</v>
      </c>
      <c r="E2454">
        <f>car_price_prediction_[[#This Row],[Engine Size]]/10</f>
        <v>5.2</v>
      </c>
      <c r="F2454">
        <v>52</v>
      </c>
      <c r="G2454" s="1" t="s">
        <v>29</v>
      </c>
      <c r="H2454" s="1" t="s">
        <v>22</v>
      </c>
      <c r="I2454" s="12">
        <f>car_price_prediction_[[#This Row],[Mileage]]/1000</f>
        <v>116.916</v>
      </c>
      <c r="J2454" s="5">
        <v>116916</v>
      </c>
      <c r="K2454" s="1" t="s">
        <v>25</v>
      </c>
      <c r="L2454" s="5">
        <f>car_price_prediction_[[#This Row],[Price]]/100</f>
        <v>8826.7199999999993</v>
      </c>
      <c r="M2454">
        <v>882672</v>
      </c>
      <c r="N2454" s="1" t="s">
        <v>40</v>
      </c>
      <c r="O2454" s="1">
        <f>IF(IFERROR(VLOOKUP(car_price_prediction_[[#This Row],[Car ID]],A2455:A4954,1,FALSE),0),1,0)</f>
        <v>0</v>
      </c>
    </row>
    <row r="2455" spans="1:15" x14ac:dyDescent="0.25">
      <c r="A2455">
        <v>2454</v>
      </c>
      <c r="B2455" s="1" t="s">
        <v>43</v>
      </c>
      <c r="C2455" s="1">
        <f>car_price_prediction_[[#This Row],[Year2]]</f>
        <v>2009</v>
      </c>
      <c r="D2455">
        <v>2009</v>
      </c>
      <c r="E2455">
        <f>car_price_prediction_[[#This Row],[Engine Size]]/10</f>
        <v>3.9</v>
      </c>
      <c r="F2455">
        <v>39</v>
      </c>
      <c r="G2455" s="1" t="s">
        <v>16</v>
      </c>
      <c r="H2455" s="1" t="s">
        <v>12</v>
      </c>
      <c r="I2455" s="12">
        <f>car_price_prediction_[[#This Row],[Mileage]]/1000</f>
        <v>195.346</v>
      </c>
      <c r="J2455" s="5">
        <v>195346</v>
      </c>
      <c r="K2455" s="1" t="s">
        <v>25</v>
      </c>
      <c r="L2455" s="5">
        <f>car_price_prediction_[[#This Row],[Price]]/100</f>
        <v>8357.69</v>
      </c>
      <c r="M2455">
        <v>835769</v>
      </c>
      <c r="N2455" s="1" t="s">
        <v>47</v>
      </c>
      <c r="O2455" s="1">
        <f>IF(IFERROR(VLOOKUP(car_price_prediction_[[#This Row],[Car ID]],A2456:A4955,1,FALSE),0),1,0)</f>
        <v>0</v>
      </c>
    </row>
    <row r="2456" spans="1:15" x14ac:dyDescent="0.25">
      <c r="A2456">
        <v>2455</v>
      </c>
      <c r="B2456" s="1" t="s">
        <v>43</v>
      </c>
      <c r="C2456" s="1">
        <f>car_price_prediction_[[#This Row],[Year2]]</f>
        <v>2008</v>
      </c>
      <c r="D2456">
        <v>2008</v>
      </c>
      <c r="E2456">
        <f>car_price_prediction_[[#This Row],[Engine Size]]/10</f>
        <v>4.2</v>
      </c>
      <c r="F2456">
        <v>42</v>
      </c>
      <c r="G2456" s="1" t="s">
        <v>11</v>
      </c>
      <c r="H2456" s="1" t="s">
        <v>22</v>
      </c>
      <c r="I2456" s="12">
        <f>car_price_prediction_[[#This Row],[Mileage]]/1000</f>
        <v>273.01</v>
      </c>
      <c r="J2456" s="5">
        <v>273010</v>
      </c>
      <c r="K2456" s="1" t="s">
        <v>13</v>
      </c>
      <c r="L2456" s="5">
        <f>car_price_prediction_[[#This Row],[Price]]/100</f>
        <v>62729.37</v>
      </c>
      <c r="M2456">
        <v>6272937</v>
      </c>
      <c r="N2456" s="1" t="s">
        <v>50</v>
      </c>
      <c r="O2456" s="1">
        <f>IF(IFERROR(VLOOKUP(car_price_prediction_[[#This Row],[Car ID]],A2457:A4956,1,FALSE),0),1,0)</f>
        <v>0</v>
      </c>
    </row>
    <row r="2457" spans="1:15" x14ac:dyDescent="0.25">
      <c r="A2457">
        <v>2456</v>
      </c>
      <c r="B2457" s="1" t="s">
        <v>19</v>
      </c>
      <c r="C2457" s="1">
        <f>car_price_prediction_[[#This Row],[Year2]]</f>
        <v>2007</v>
      </c>
      <c r="D2457">
        <v>2007</v>
      </c>
      <c r="E2457">
        <f>car_price_prediction_[[#This Row],[Engine Size]]/10</f>
        <v>3.3</v>
      </c>
      <c r="F2457">
        <v>33</v>
      </c>
      <c r="G2457" s="1" t="s">
        <v>29</v>
      </c>
      <c r="H2457" s="1" t="s">
        <v>12</v>
      </c>
      <c r="I2457" s="12">
        <f>car_price_prediction_[[#This Row],[Mileage]]/1000</f>
        <v>3.8889999999999998</v>
      </c>
      <c r="J2457" s="5">
        <v>3889</v>
      </c>
      <c r="K2457" s="1" t="s">
        <v>13</v>
      </c>
      <c r="L2457" s="5">
        <f>car_price_prediction_[[#This Row],[Price]]/100</f>
        <v>54765.09</v>
      </c>
      <c r="M2457">
        <v>5476509</v>
      </c>
      <c r="N2457" s="1" t="s">
        <v>27</v>
      </c>
      <c r="O2457" s="1">
        <f>IF(IFERROR(VLOOKUP(car_price_prediction_[[#This Row],[Car ID]],A2458:A4957,1,FALSE),0),1,0)</f>
        <v>0</v>
      </c>
    </row>
    <row r="2458" spans="1:15" x14ac:dyDescent="0.25">
      <c r="A2458">
        <v>2457</v>
      </c>
      <c r="B2458" s="1" t="s">
        <v>15</v>
      </c>
      <c r="C2458" s="1">
        <f>car_price_prediction_[[#This Row],[Year2]]</f>
        <v>2009</v>
      </c>
      <c r="D2458">
        <v>2009</v>
      </c>
      <c r="E2458">
        <f>car_price_prediction_[[#This Row],[Engine Size]]/10</f>
        <v>3.6</v>
      </c>
      <c r="F2458">
        <v>36</v>
      </c>
      <c r="G2458" s="1" t="s">
        <v>16</v>
      </c>
      <c r="H2458" s="1" t="s">
        <v>12</v>
      </c>
      <c r="I2458" s="12">
        <f>car_price_prediction_[[#This Row],[Mileage]]/1000</f>
        <v>118.194</v>
      </c>
      <c r="J2458" s="5">
        <v>118194</v>
      </c>
      <c r="K2458" s="1" t="s">
        <v>25</v>
      </c>
      <c r="L2458" s="5">
        <f>car_price_prediction_[[#This Row],[Price]]/100</f>
        <v>94713.45</v>
      </c>
      <c r="M2458">
        <v>9471345</v>
      </c>
      <c r="N2458" s="1" t="s">
        <v>18</v>
      </c>
      <c r="O2458" s="1">
        <f>IF(IFERROR(VLOOKUP(car_price_prediction_[[#This Row],[Car ID]],A2459:A4958,1,FALSE),0),1,0)</f>
        <v>0</v>
      </c>
    </row>
    <row r="2459" spans="1:15" x14ac:dyDescent="0.25">
      <c r="A2459">
        <v>2458</v>
      </c>
      <c r="B2459" s="1" t="s">
        <v>24</v>
      </c>
      <c r="C2459" s="1">
        <f>car_price_prediction_[[#This Row],[Year2]]</f>
        <v>2016</v>
      </c>
      <c r="D2459">
        <v>2016</v>
      </c>
      <c r="E2459">
        <f>car_price_prediction_[[#This Row],[Engine Size]]/10</f>
        <v>1.2</v>
      </c>
      <c r="F2459">
        <v>12</v>
      </c>
      <c r="G2459" s="1" t="s">
        <v>16</v>
      </c>
      <c r="H2459" s="1" t="s">
        <v>12</v>
      </c>
      <c r="I2459" s="12">
        <f>car_price_prediction_[[#This Row],[Mileage]]/1000</f>
        <v>124.714</v>
      </c>
      <c r="J2459" s="5">
        <v>124714</v>
      </c>
      <c r="K2459" s="1" t="s">
        <v>13</v>
      </c>
      <c r="L2459" s="5">
        <f>car_price_prediction_[[#This Row],[Price]]/100</f>
        <v>21445.93</v>
      </c>
      <c r="M2459">
        <v>2144593</v>
      </c>
      <c r="N2459" s="1" t="s">
        <v>32</v>
      </c>
      <c r="O2459" s="1">
        <f>IF(IFERROR(VLOOKUP(car_price_prediction_[[#This Row],[Car ID]],A2460:A4959,1,FALSE),0),1,0)</f>
        <v>0</v>
      </c>
    </row>
    <row r="2460" spans="1:15" x14ac:dyDescent="0.25">
      <c r="A2460">
        <v>2459</v>
      </c>
      <c r="B2460" s="1" t="s">
        <v>15</v>
      </c>
      <c r="C2460" s="1">
        <f>car_price_prediction_[[#This Row],[Year2]]</f>
        <v>2001</v>
      </c>
      <c r="D2460">
        <v>2001</v>
      </c>
      <c r="E2460">
        <f>car_price_prediction_[[#This Row],[Engine Size]]/10</f>
        <v>4.2</v>
      </c>
      <c r="F2460">
        <v>42</v>
      </c>
      <c r="G2460" s="1" t="s">
        <v>29</v>
      </c>
      <c r="H2460" s="1" t="s">
        <v>12</v>
      </c>
      <c r="I2460" s="12">
        <f>car_price_prediction_[[#This Row],[Mileage]]/1000</f>
        <v>31.335000000000001</v>
      </c>
      <c r="J2460" s="5">
        <v>31335</v>
      </c>
      <c r="K2460" s="1" t="s">
        <v>17</v>
      </c>
      <c r="L2460" s="5">
        <f>car_price_prediction_[[#This Row],[Price]]/100</f>
        <v>29507.23</v>
      </c>
      <c r="M2460">
        <v>2950723</v>
      </c>
      <c r="N2460" s="1" t="s">
        <v>18</v>
      </c>
      <c r="O2460" s="1">
        <f>IF(IFERROR(VLOOKUP(car_price_prediction_[[#This Row],[Car ID]],A2461:A4960,1,FALSE),0),1,0)</f>
        <v>0</v>
      </c>
    </row>
    <row r="2461" spans="1:15" x14ac:dyDescent="0.25">
      <c r="A2461">
        <v>2460</v>
      </c>
      <c r="B2461" s="1" t="s">
        <v>43</v>
      </c>
      <c r="C2461" s="1">
        <f>car_price_prediction_[[#This Row],[Year2]]</f>
        <v>2005</v>
      </c>
      <c r="D2461">
        <v>2005</v>
      </c>
      <c r="E2461">
        <f>car_price_prediction_[[#This Row],[Engine Size]]/10</f>
        <v>1.4</v>
      </c>
      <c r="F2461">
        <v>14</v>
      </c>
      <c r="G2461" s="1" t="s">
        <v>11</v>
      </c>
      <c r="H2461" s="1" t="s">
        <v>12</v>
      </c>
      <c r="I2461" s="12">
        <f>car_price_prediction_[[#This Row],[Mileage]]/1000</f>
        <v>50.546999999999997</v>
      </c>
      <c r="J2461" s="5">
        <v>50547</v>
      </c>
      <c r="K2461" s="1" t="s">
        <v>13</v>
      </c>
      <c r="L2461" s="5">
        <f>car_price_prediction_[[#This Row],[Price]]/100</f>
        <v>76890.210000000006</v>
      </c>
      <c r="M2461">
        <v>7689021</v>
      </c>
      <c r="N2461" s="1" t="s">
        <v>47</v>
      </c>
      <c r="O2461" s="1">
        <f>IF(IFERROR(VLOOKUP(car_price_prediction_[[#This Row],[Car ID]],A2462:A4961,1,FALSE),0),1,0)</f>
        <v>0</v>
      </c>
    </row>
    <row r="2462" spans="1:15" x14ac:dyDescent="0.25">
      <c r="A2462">
        <v>2461</v>
      </c>
      <c r="B2462" s="1" t="s">
        <v>43</v>
      </c>
      <c r="C2462" s="1">
        <f>car_price_prediction_[[#This Row],[Year2]]</f>
        <v>2004</v>
      </c>
      <c r="D2462">
        <v>2004</v>
      </c>
      <c r="E2462">
        <f>car_price_prediction_[[#This Row],[Engine Size]]/10</f>
        <v>3.2</v>
      </c>
      <c r="F2462">
        <v>32</v>
      </c>
      <c r="G2462" s="1" t="s">
        <v>16</v>
      </c>
      <c r="H2462" s="1" t="s">
        <v>22</v>
      </c>
      <c r="I2462" s="12">
        <f>car_price_prediction_[[#This Row],[Mileage]]/1000</f>
        <v>157.23400000000001</v>
      </c>
      <c r="J2462" s="5">
        <v>157234</v>
      </c>
      <c r="K2462" s="1" t="s">
        <v>17</v>
      </c>
      <c r="L2462" s="5">
        <f>car_price_prediction_[[#This Row],[Price]]/100</f>
        <v>78647.350000000006</v>
      </c>
      <c r="M2462">
        <v>7864735</v>
      </c>
      <c r="N2462" s="1" t="s">
        <v>50</v>
      </c>
      <c r="O2462" s="1">
        <f>IF(IFERROR(VLOOKUP(car_price_prediction_[[#This Row],[Car ID]],A2463:A4962,1,FALSE),0),1,0)</f>
        <v>0</v>
      </c>
    </row>
    <row r="2463" spans="1:15" x14ac:dyDescent="0.25">
      <c r="A2463">
        <v>2462</v>
      </c>
      <c r="B2463" s="1" t="s">
        <v>36</v>
      </c>
      <c r="C2463" s="1">
        <f>car_price_prediction_[[#This Row],[Year2]]</f>
        <v>2008</v>
      </c>
      <c r="D2463">
        <v>2008</v>
      </c>
      <c r="E2463">
        <f>car_price_prediction_[[#This Row],[Engine Size]]/10</f>
        <v>2.5</v>
      </c>
      <c r="F2463">
        <v>25</v>
      </c>
      <c r="G2463" s="1" t="s">
        <v>11</v>
      </c>
      <c r="H2463" s="1" t="s">
        <v>22</v>
      </c>
      <c r="I2463" s="12">
        <f>car_price_prediction_[[#This Row],[Mileage]]/1000</f>
        <v>220.52099999999999</v>
      </c>
      <c r="J2463" s="5">
        <v>220521</v>
      </c>
      <c r="K2463" s="1" t="s">
        <v>13</v>
      </c>
      <c r="L2463" s="5">
        <f>car_price_prediction_[[#This Row],[Price]]/100</f>
        <v>43465.23</v>
      </c>
      <c r="M2463">
        <v>4346523</v>
      </c>
      <c r="N2463" s="1" t="s">
        <v>41</v>
      </c>
      <c r="O2463" s="1">
        <f>IF(IFERROR(VLOOKUP(car_price_prediction_[[#This Row],[Car ID]],A2464:A4963,1,FALSE),0),1,0)</f>
        <v>0</v>
      </c>
    </row>
    <row r="2464" spans="1:15" x14ac:dyDescent="0.25">
      <c r="A2464">
        <v>2463</v>
      </c>
      <c r="B2464" s="1" t="s">
        <v>15</v>
      </c>
      <c r="C2464" s="1">
        <f>car_price_prediction_[[#This Row],[Year2]]</f>
        <v>2004</v>
      </c>
      <c r="D2464">
        <v>2004</v>
      </c>
      <c r="E2464">
        <f>car_price_prediction_[[#This Row],[Engine Size]]/10</f>
        <v>3.7</v>
      </c>
      <c r="F2464">
        <v>37</v>
      </c>
      <c r="G2464" s="1" t="s">
        <v>11</v>
      </c>
      <c r="H2464" s="1" t="s">
        <v>12</v>
      </c>
      <c r="I2464" s="12">
        <f>car_price_prediction_[[#This Row],[Mileage]]/1000</f>
        <v>155.75899999999999</v>
      </c>
      <c r="J2464" s="5">
        <v>155759</v>
      </c>
      <c r="K2464" s="1" t="s">
        <v>13</v>
      </c>
      <c r="L2464" s="5">
        <f>car_price_prediction_[[#This Row],[Price]]/100</f>
        <v>95342.95</v>
      </c>
      <c r="M2464">
        <v>9534295</v>
      </c>
      <c r="N2464" s="1" t="s">
        <v>35</v>
      </c>
      <c r="O2464" s="1">
        <f>IF(IFERROR(VLOOKUP(car_price_prediction_[[#This Row],[Car ID]],A2465:A4964,1,FALSE),0),1,0)</f>
        <v>0</v>
      </c>
    </row>
    <row r="2465" spans="1:15" x14ac:dyDescent="0.25">
      <c r="A2465">
        <v>2464</v>
      </c>
      <c r="B2465" s="1" t="s">
        <v>15</v>
      </c>
      <c r="C2465" s="1">
        <f>car_price_prediction_[[#This Row],[Year2]]</f>
        <v>2017</v>
      </c>
      <c r="D2465">
        <v>2017</v>
      </c>
      <c r="E2465">
        <f>car_price_prediction_[[#This Row],[Engine Size]]/10</f>
        <v>1.7</v>
      </c>
      <c r="F2465">
        <v>17</v>
      </c>
      <c r="G2465" s="1" t="s">
        <v>21</v>
      </c>
      <c r="H2465" s="1" t="s">
        <v>22</v>
      </c>
      <c r="I2465" s="12">
        <f>car_price_prediction_[[#This Row],[Mileage]]/1000</f>
        <v>273.13900000000001</v>
      </c>
      <c r="J2465" s="5">
        <v>273139</v>
      </c>
      <c r="K2465" s="1" t="s">
        <v>25</v>
      </c>
      <c r="L2465" s="5">
        <f>car_price_prediction_[[#This Row],[Price]]/100</f>
        <v>94134.18</v>
      </c>
      <c r="M2465">
        <v>9413418</v>
      </c>
      <c r="N2465" s="1" t="s">
        <v>51</v>
      </c>
      <c r="O2465" s="1">
        <f>IF(IFERROR(VLOOKUP(car_price_prediction_[[#This Row],[Car ID]],A2466:A4965,1,FALSE),0),1,0)</f>
        <v>0</v>
      </c>
    </row>
    <row r="2466" spans="1:15" x14ac:dyDescent="0.25">
      <c r="A2466">
        <v>2465</v>
      </c>
      <c r="B2466" s="1" t="s">
        <v>43</v>
      </c>
      <c r="C2466" s="1">
        <f>car_price_prediction_[[#This Row],[Year2]]</f>
        <v>2019</v>
      </c>
      <c r="D2466">
        <v>2019</v>
      </c>
      <c r="E2466">
        <f>car_price_prediction_[[#This Row],[Engine Size]]/10</f>
        <v>4.5</v>
      </c>
      <c r="F2466">
        <v>45</v>
      </c>
      <c r="G2466" s="1" t="s">
        <v>11</v>
      </c>
      <c r="H2466" s="1" t="s">
        <v>12</v>
      </c>
      <c r="I2466" s="12">
        <f>car_price_prediction_[[#This Row],[Mileage]]/1000</f>
        <v>2.6309999999999998</v>
      </c>
      <c r="J2466" s="5">
        <v>2631</v>
      </c>
      <c r="K2466" s="1" t="s">
        <v>17</v>
      </c>
      <c r="L2466" s="5">
        <f>car_price_prediction_[[#This Row],[Price]]/100</f>
        <v>6178.92</v>
      </c>
      <c r="M2466">
        <v>617892</v>
      </c>
      <c r="N2466" s="1" t="s">
        <v>50</v>
      </c>
      <c r="O2466" s="1">
        <f>IF(IFERROR(VLOOKUP(car_price_prediction_[[#This Row],[Car ID]],A2467:A4966,1,FALSE),0),1,0)</f>
        <v>0</v>
      </c>
    </row>
    <row r="2467" spans="1:15" x14ac:dyDescent="0.25">
      <c r="A2467">
        <v>2466</v>
      </c>
      <c r="B2467" s="1" t="s">
        <v>24</v>
      </c>
      <c r="C2467" s="1">
        <f>car_price_prediction_[[#This Row],[Year2]]</f>
        <v>2008</v>
      </c>
      <c r="D2467">
        <v>2008</v>
      </c>
      <c r="E2467">
        <f>car_price_prediction_[[#This Row],[Engine Size]]/10</f>
        <v>5</v>
      </c>
      <c r="F2467">
        <v>50</v>
      </c>
      <c r="G2467" s="1" t="s">
        <v>21</v>
      </c>
      <c r="H2467" s="1" t="s">
        <v>12</v>
      </c>
      <c r="I2467" s="12">
        <f>car_price_prediction_[[#This Row],[Mileage]]/1000</f>
        <v>137.03899999999999</v>
      </c>
      <c r="J2467" s="5">
        <v>137039</v>
      </c>
      <c r="K2467" s="1" t="s">
        <v>25</v>
      </c>
      <c r="L2467" s="5">
        <f>car_price_prediction_[[#This Row],[Price]]/100</f>
        <v>21371.15</v>
      </c>
      <c r="M2467">
        <v>2137115</v>
      </c>
      <c r="N2467" s="1" t="s">
        <v>32</v>
      </c>
      <c r="O2467" s="1">
        <f>IF(IFERROR(VLOOKUP(car_price_prediction_[[#This Row],[Car ID]],A2468:A4967,1,FALSE),0),1,0)</f>
        <v>0</v>
      </c>
    </row>
    <row r="2468" spans="1:15" x14ac:dyDescent="0.25">
      <c r="A2468">
        <v>2467</v>
      </c>
      <c r="B2468" s="1" t="s">
        <v>19</v>
      </c>
      <c r="C2468" s="1">
        <f>car_price_prediction_[[#This Row],[Year2]]</f>
        <v>2016</v>
      </c>
      <c r="D2468">
        <v>2016</v>
      </c>
      <c r="E2468">
        <f>car_price_prediction_[[#This Row],[Engine Size]]/10</f>
        <v>1.8</v>
      </c>
      <c r="F2468">
        <v>18</v>
      </c>
      <c r="G2468" s="1" t="s">
        <v>16</v>
      </c>
      <c r="H2468" s="1" t="s">
        <v>12</v>
      </c>
      <c r="I2468" s="12">
        <f>car_price_prediction_[[#This Row],[Mileage]]/1000</f>
        <v>64.471000000000004</v>
      </c>
      <c r="J2468" s="5">
        <v>64471</v>
      </c>
      <c r="K2468" s="1" t="s">
        <v>13</v>
      </c>
      <c r="L2468" s="5">
        <f>car_price_prediction_[[#This Row],[Price]]/100</f>
        <v>82920.850000000006</v>
      </c>
      <c r="M2468">
        <v>8292085</v>
      </c>
      <c r="N2468" s="1" t="s">
        <v>27</v>
      </c>
      <c r="O2468" s="1">
        <f>IF(IFERROR(VLOOKUP(car_price_prediction_[[#This Row],[Car ID]],A2469:A4968,1,FALSE),0),1,0)</f>
        <v>0</v>
      </c>
    </row>
    <row r="2469" spans="1:15" x14ac:dyDescent="0.25">
      <c r="A2469">
        <v>2468</v>
      </c>
      <c r="B2469" s="1" t="s">
        <v>10</v>
      </c>
      <c r="C2469" s="1">
        <f>car_price_prediction_[[#This Row],[Year2]]</f>
        <v>2016</v>
      </c>
      <c r="D2469">
        <v>2016</v>
      </c>
      <c r="E2469">
        <f>car_price_prediction_[[#This Row],[Engine Size]]/10</f>
        <v>1.5</v>
      </c>
      <c r="F2469">
        <v>15</v>
      </c>
      <c r="G2469" s="1" t="s">
        <v>29</v>
      </c>
      <c r="H2469" s="1" t="s">
        <v>12</v>
      </c>
      <c r="I2469" s="12">
        <f>car_price_prediction_[[#This Row],[Mileage]]/1000</f>
        <v>299.26</v>
      </c>
      <c r="J2469" s="5">
        <v>299260</v>
      </c>
      <c r="K2469" s="1" t="s">
        <v>25</v>
      </c>
      <c r="L2469" s="5">
        <f>car_price_prediction_[[#This Row],[Price]]/100</f>
        <v>36845.589999999997</v>
      </c>
      <c r="M2469">
        <v>3684559</v>
      </c>
      <c r="N2469" s="1" t="s">
        <v>23</v>
      </c>
      <c r="O2469" s="1">
        <f>IF(IFERROR(VLOOKUP(car_price_prediction_[[#This Row],[Car ID]],A2470:A4969,1,FALSE),0),1,0)</f>
        <v>0</v>
      </c>
    </row>
    <row r="2470" spans="1:15" x14ac:dyDescent="0.25">
      <c r="A2470">
        <v>2469</v>
      </c>
      <c r="B2470" s="1" t="s">
        <v>19</v>
      </c>
      <c r="C2470" s="1">
        <f>car_price_prediction_[[#This Row],[Year2]]</f>
        <v>2011</v>
      </c>
      <c r="D2470">
        <v>2011</v>
      </c>
      <c r="E2470">
        <f>car_price_prediction_[[#This Row],[Engine Size]]/10</f>
        <v>1.7</v>
      </c>
      <c r="F2470">
        <v>17</v>
      </c>
      <c r="G2470" s="1" t="s">
        <v>21</v>
      </c>
      <c r="H2470" s="1" t="s">
        <v>22</v>
      </c>
      <c r="I2470" s="12">
        <f>car_price_prediction_[[#This Row],[Mileage]]/1000</f>
        <v>133.01400000000001</v>
      </c>
      <c r="J2470" s="5">
        <v>133014</v>
      </c>
      <c r="K2470" s="1" t="s">
        <v>13</v>
      </c>
      <c r="L2470" s="5">
        <f>car_price_prediction_[[#This Row],[Price]]/100</f>
        <v>14068.95</v>
      </c>
      <c r="M2470">
        <v>1406895</v>
      </c>
      <c r="N2470" s="1" t="s">
        <v>27</v>
      </c>
      <c r="O2470" s="1">
        <f>IF(IFERROR(VLOOKUP(car_price_prediction_[[#This Row],[Car ID]],A2471:A4970,1,FALSE),0),1,0)</f>
        <v>0</v>
      </c>
    </row>
    <row r="2471" spans="1:15" x14ac:dyDescent="0.25">
      <c r="A2471">
        <v>2470</v>
      </c>
      <c r="B2471" s="1" t="s">
        <v>15</v>
      </c>
      <c r="C2471" s="1">
        <f>car_price_prediction_[[#This Row],[Year2]]</f>
        <v>2006</v>
      </c>
      <c r="D2471">
        <v>2006</v>
      </c>
      <c r="E2471">
        <f>car_price_prediction_[[#This Row],[Engine Size]]/10</f>
        <v>5.4</v>
      </c>
      <c r="F2471">
        <v>54</v>
      </c>
      <c r="G2471" s="1" t="s">
        <v>29</v>
      </c>
      <c r="H2471" s="1" t="s">
        <v>12</v>
      </c>
      <c r="I2471" s="12">
        <f>car_price_prediction_[[#This Row],[Mileage]]/1000</f>
        <v>47.664000000000001</v>
      </c>
      <c r="J2471" s="5">
        <v>47664</v>
      </c>
      <c r="K2471" s="1" t="s">
        <v>13</v>
      </c>
      <c r="L2471" s="5">
        <f>car_price_prediction_[[#This Row],[Price]]/100</f>
        <v>79574.92</v>
      </c>
      <c r="M2471">
        <v>7957492</v>
      </c>
      <c r="N2471" s="1" t="s">
        <v>35</v>
      </c>
      <c r="O2471" s="1">
        <f>IF(IFERROR(VLOOKUP(car_price_prediction_[[#This Row],[Car ID]],A2472:A4971,1,FALSE),0),1,0)</f>
        <v>0</v>
      </c>
    </row>
    <row r="2472" spans="1:15" x14ac:dyDescent="0.25">
      <c r="A2472">
        <v>2471</v>
      </c>
      <c r="B2472" s="1" t="s">
        <v>19</v>
      </c>
      <c r="C2472" s="1">
        <f>car_price_prediction_[[#This Row],[Year2]]</f>
        <v>2002</v>
      </c>
      <c r="D2472">
        <v>2002</v>
      </c>
      <c r="E2472">
        <f>car_price_prediction_[[#This Row],[Engine Size]]/10</f>
        <v>3.6</v>
      </c>
      <c r="F2472">
        <v>36</v>
      </c>
      <c r="G2472" s="1" t="s">
        <v>16</v>
      </c>
      <c r="H2472" s="1" t="s">
        <v>22</v>
      </c>
      <c r="I2472" s="12">
        <f>car_price_prediction_[[#This Row],[Mileage]]/1000</f>
        <v>159.14099999999999</v>
      </c>
      <c r="J2472" s="5">
        <v>159141</v>
      </c>
      <c r="K2472" s="1" t="s">
        <v>13</v>
      </c>
      <c r="L2472" s="5">
        <f>car_price_prediction_[[#This Row],[Price]]/100</f>
        <v>48185.43</v>
      </c>
      <c r="M2472">
        <v>4818543</v>
      </c>
      <c r="N2472" s="1" t="s">
        <v>27</v>
      </c>
      <c r="O2472" s="1">
        <f>IF(IFERROR(VLOOKUP(car_price_prediction_[[#This Row],[Car ID]],A2473:A4972,1,FALSE),0),1,0)</f>
        <v>0</v>
      </c>
    </row>
    <row r="2473" spans="1:15" x14ac:dyDescent="0.25">
      <c r="A2473">
        <v>2472</v>
      </c>
      <c r="B2473" s="1" t="s">
        <v>43</v>
      </c>
      <c r="C2473" s="1">
        <f>car_price_prediction_[[#This Row],[Year2]]</f>
        <v>2009</v>
      </c>
      <c r="D2473">
        <v>2009</v>
      </c>
      <c r="E2473">
        <f>car_price_prediction_[[#This Row],[Engine Size]]/10</f>
        <v>3.3</v>
      </c>
      <c r="F2473">
        <v>33</v>
      </c>
      <c r="G2473" s="1" t="s">
        <v>11</v>
      </c>
      <c r="H2473" s="1" t="s">
        <v>12</v>
      </c>
      <c r="I2473" s="12">
        <f>car_price_prediction_[[#This Row],[Mileage]]/1000</f>
        <v>87.341999999999999</v>
      </c>
      <c r="J2473" s="5">
        <v>87342</v>
      </c>
      <c r="K2473" s="1" t="s">
        <v>17</v>
      </c>
      <c r="L2473" s="5">
        <f>car_price_prediction_[[#This Row],[Price]]/100</f>
        <v>51779.02</v>
      </c>
      <c r="M2473">
        <v>5177902</v>
      </c>
      <c r="N2473" s="1" t="s">
        <v>47</v>
      </c>
      <c r="O2473" s="1">
        <f>IF(IFERROR(VLOOKUP(car_price_prediction_[[#This Row],[Car ID]],A2474:A4973,1,FALSE),0),1,0)</f>
        <v>0</v>
      </c>
    </row>
    <row r="2474" spans="1:15" x14ac:dyDescent="0.25">
      <c r="A2474">
        <v>2473</v>
      </c>
      <c r="B2474" s="1" t="s">
        <v>43</v>
      </c>
      <c r="C2474" s="1">
        <f>car_price_prediction_[[#This Row],[Year2]]</f>
        <v>2001</v>
      </c>
      <c r="D2474">
        <v>2001</v>
      </c>
      <c r="E2474">
        <f>car_price_prediction_[[#This Row],[Engine Size]]/10</f>
        <v>1.5</v>
      </c>
      <c r="F2474">
        <v>15</v>
      </c>
      <c r="G2474" s="1" t="s">
        <v>16</v>
      </c>
      <c r="H2474" s="1" t="s">
        <v>12</v>
      </c>
      <c r="I2474" s="12">
        <f>car_price_prediction_[[#This Row],[Mileage]]/1000</f>
        <v>14.407</v>
      </c>
      <c r="J2474" s="5">
        <v>14407</v>
      </c>
      <c r="K2474" s="1" t="s">
        <v>17</v>
      </c>
      <c r="L2474" s="5">
        <f>car_price_prediction_[[#This Row],[Price]]/100</f>
        <v>22705.09</v>
      </c>
      <c r="M2474">
        <v>2270509</v>
      </c>
      <c r="N2474" s="1" t="s">
        <v>50</v>
      </c>
      <c r="O2474" s="1">
        <f>IF(IFERROR(VLOOKUP(car_price_prediction_[[#This Row],[Car ID]],A2475:A4974,1,FALSE),0),1,0)</f>
        <v>0</v>
      </c>
    </row>
    <row r="2475" spans="1:15" x14ac:dyDescent="0.25">
      <c r="A2475">
        <v>2474</v>
      </c>
      <c r="B2475" s="1" t="s">
        <v>15</v>
      </c>
      <c r="C2475" s="1">
        <f>car_price_prediction_[[#This Row],[Year2]]</f>
        <v>2002</v>
      </c>
      <c r="D2475">
        <v>2002</v>
      </c>
      <c r="E2475">
        <f>car_price_prediction_[[#This Row],[Engine Size]]/10</f>
        <v>4.2</v>
      </c>
      <c r="F2475">
        <v>42</v>
      </c>
      <c r="G2475" s="1" t="s">
        <v>29</v>
      </c>
      <c r="H2475" s="1" t="s">
        <v>22</v>
      </c>
      <c r="I2475" s="12">
        <f>car_price_prediction_[[#This Row],[Mileage]]/1000</f>
        <v>113.926</v>
      </c>
      <c r="J2475" s="5">
        <v>113926</v>
      </c>
      <c r="K2475" s="1" t="s">
        <v>17</v>
      </c>
      <c r="L2475" s="5">
        <f>car_price_prediction_[[#This Row],[Price]]/100</f>
        <v>67785.03</v>
      </c>
      <c r="M2475">
        <v>6778503</v>
      </c>
      <c r="N2475" s="1" t="s">
        <v>35</v>
      </c>
      <c r="O2475" s="1">
        <f>IF(IFERROR(VLOOKUP(car_price_prediction_[[#This Row],[Car ID]],A2476:A4975,1,FALSE),0),1,0)</f>
        <v>0</v>
      </c>
    </row>
    <row r="2476" spans="1:15" x14ac:dyDescent="0.25">
      <c r="A2476">
        <v>2475</v>
      </c>
      <c r="B2476" s="1" t="s">
        <v>15</v>
      </c>
      <c r="C2476" s="1">
        <f>car_price_prediction_[[#This Row],[Year2]]</f>
        <v>2015</v>
      </c>
      <c r="D2476">
        <v>2015</v>
      </c>
      <c r="E2476">
        <f>car_price_prediction_[[#This Row],[Engine Size]]/10</f>
        <v>5.3</v>
      </c>
      <c r="F2476">
        <v>53</v>
      </c>
      <c r="G2476" s="1" t="s">
        <v>16</v>
      </c>
      <c r="H2476" s="1" t="s">
        <v>12</v>
      </c>
      <c r="I2476" s="12">
        <f>car_price_prediction_[[#This Row],[Mileage]]/1000</f>
        <v>213.053</v>
      </c>
      <c r="J2476" s="5">
        <v>213053</v>
      </c>
      <c r="K2476" s="1" t="s">
        <v>25</v>
      </c>
      <c r="L2476" s="5">
        <f>car_price_prediction_[[#This Row],[Price]]/100</f>
        <v>57367.93</v>
      </c>
      <c r="M2476">
        <v>5736793</v>
      </c>
      <c r="N2476" s="1" t="s">
        <v>35</v>
      </c>
      <c r="O2476" s="1">
        <f>IF(IFERROR(VLOOKUP(car_price_prediction_[[#This Row],[Car ID]],A2477:A4976,1,FALSE),0),1,0)</f>
        <v>0</v>
      </c>
    </row>
    <row r="2477" spans="1:15" x14ac:dyDescent="0.25">
      <c r="A2477">
        <v>2476</v>
      </c>
      <c r="B2477" s="1" t="s">
        <v>10</v>
      </c>
      <c r="C2477" s="1">
        <f>car_price_prediction_[[#This Row],[Year2]]</f>
        <v>2001</v>
      </c>
      <c r="D2477">
        <v>2001</v>
      </c>
      <c r="E2477">
        <f>car_price_prediction_[[#This Row],[Engine Size]]/10</f>
        <v>5.0999999999999996</v>
      </c>
      <c r="F2477">
        <v>51</v>
      </c>
      <c r="G2477" s="1" t="s">
        <v>11</v>
      </c>
      <c r="H2477" s="1" t="s">
        <v>12</v>
      </c>
      <c r="I2477" s="12">
        <f>car_price_prediction_[[#This Row],[Mileage]]/1000</f>
        <v>17.878</v>
      </c>
      <c r="J2477" s="5">
        <v>17878</v>
      </c>
      <c r="K2477" s="1" t="s">
        <v>13</v>
      </c>
      <c r="L2477" s="5">
        <f>car_price_prediction_[[#This Row],[Price]]/100</f>
        <v>24633.93</v>
      </c>
      <c r="M2477">
        <v>2463393</v>
      </c>
      <c r="N2477" s="1" t="s">
        <v>14</v>
      </c>
      <c r="O2477" s="1">
        <f>IF(IFERROR(VLOOKUP(car_price_prediction_[[#This Row],[Car ID]],A2478:A4977,1,FALSE),0),1,0)</f>
        <v>0</v>
      </c>
    </row>
    <row r="2478" spans="1:15" x14ac:dyDescent="0.25">
      <c r="A2478">
        <v>2477</v>
      </c>
      <c r="B2478" s="1" t="s">
        <v>10</v>
      </c>
      <c r="C2478" s="1">
        <f>car_price_prediction_[[#This Row],[Year2]]</f>
        <v>2023</v>
      </c>
      <c r="D2478">
        <v>2023</v>
      </c>
      <c r="E2478">
        <f>car_price_prediction_[[#This Row],[Engine Size]]/10</f>
        <v>4.0999999999999996</v>
      </c>
      <c r="F2478">
        <v>41</v>
      </c>
      <c r="G2478" s="1" t="s">
        <v>16</v>
      </c>
      <c r="H2478" s="1" t="s">
        <v>22</v>
      </c>
      <c r="I2478" s="12">
        <f>car_price_prediction_[[#This Row],[Mileage]]/1000</f>
        <v>83.1</v>
      </c>
      <c r="J2478" s="5">
        <v>83100</v>
      </c>
      <c r="K2478" s="1" t="s">
        <v>25</v>
      </c>
      <c r="L2478" s="5">
        <f>car_price_prediction_[[#This Row],[Price]]/100</f>
        <v>37331.49</v>
      </c>
      <c r="M2478">
        <v>3733149</v>
      </c>
      <c r="N2478" s="1" t="s">
        <v>14</v>
      </c>
      <c r="O2478" s="1">
        <f>IF(IFERROR(VLOOKUP(car_price_prediction_[[#This Row],[Car ID]],A2479:A4978,1,FALSE),0),1,0)</f>
        <v>0</v>
      </c>
    </row>
    <row r="2479" spans="1:15" x14ac:dyDescent="0.25">
      <c r="A2479">
        <v>2478</v>
      </c>
      <c r="B2479" s="1" t="s">
        <v>36</v>
      </c>
      <c r="C2479" s="1">
        <f>car_price_prediction_[[#This Row],[Year2]]</f>
        <v>2009</v>
      </c>
      <c r="D2479">
        <v>2009</v>
      </c>
      <c r="E2479">
        <f>car_price_prediction_[[#This Row],[Engine Size]]/10</f>
        <v>1.4</v>
      </c>
      <c r="F2479">
        <v>14</v>
      </c>
      <c r="G2479" s="1" t="s">
        <v>11</v>
      </c>
      <c r="H2479" s="1" t="s">
        <v>22</v>
      </c>
      <c r="I2479" s="12">
        <f>car_price_prediction_[[#This Row],[Mileage]]/1000</f>
        <v>223.059</v>
      </c>
      <c r="J2479" s="5">
        <v>223059</v>
      </c>
      <c r="K2479" s="1" t="s">
        <v>25</v>
      </c>
      <c r="L2479" s="5">
        <f>car_price_prediction_[[#This Row],[Price]]/100</f>
        <v>61703.53</v>
      </c>
      <c r="M2479">
        <v>6170353</v>
      </c>
      <c r="N2479" s="1" t="s">
        <v>46</v>
      </c>
      <c r="O2479" s="1">
        <f>IF(IFERROR(VLOOKUP(car_price_prediction_[[#This Row],[Car ID]],A2480:A4979,1,FALSE),0),1,0)</f>
        <v>0</v>
      </c>
    </row>
    <row r="2480" spans="1:15" x14ac:dyDescent="0.25">
      <c r="A2480">
        <v>2479</v>
      </c>
      <c r="B2480" s="1" t="s">
        <v>15</v>
      </c>
      <c r="C2480" s="1">
        <f>car_price_prediction_[[#This Row],[Year2]]</f>
        <v>2005</v>
      </c>
      <c r="D2480">
        <v>2005</v>
      </c>
      <c r="E2480">
        <f>car_price_prediction_[[#This Row],[Engine Size]]/10</f>
        <v>1.6</v>
      </c>
      <c r="F2480">
        <v>16</v>
      </c>
      <c r="G2480" s="1" t="s">
        <v>21</v>
      </c>
      <c r="H2480" s="1" t="s">
        <v>22</v>
      </c>
      <c r="I2480" s="12">
        <f>car_price_prediction_[[#This Row],[Mileage]]/1000</f>
        <v>43.167999999999999</v>
      </c>
      <c r="J2480" s="5">
        <v>43168</v>
      </c>
      <c r="K2480" s="1" t="s">
        <v>13</v>
      </c>
      <c r="L2480" s="5">
        <f>car_price_prediction_[[#This Row],[Price]]/100</f>
        <v>92862.86</v>
      </c>
      <c r="M2480">
        <v>9286286</v>
      </c>
      <c r="N2480" s="1" t="s">
        <v>35</v>
      </c>
      <c r="O2480" s="1">
        <f>IF(IFERROR(VLOOKUP(car_price_prediction_[[#This Row],[Car ID]],A2481:A4980,1,FALSE),0),1,0)</f>
        <v>0</v>
      </c>
    </row>
    <row r="2481" spans="1:15" x14ac:dyDescent="0.25">
      <c r="A2481">
        <v>2480</v>
      </c>
      <c r="B2481" s="1" t="s">
        <v>24</v>
      </c>
      <c r="C2481" s="1">
        <f>car_price_prediction_[[#This Row],[Year2]]</f>
        <v>2021</v>
      </c>
      <c r="D2481">
        <v>2021</v>
      </c>
      <c r="E2481">
        <f>car_price_prediction_[[#This Row],[Engine Size]]/10</f>
        <v>1.2</v>
      </c>
      <c r="F2481">
        <v>12</v>
      </c>
      <c r="G2481" s="1" t="s">
        <v>29</v>
      </c>
      <c r="H2481" s="1" t="s">
        <v>12</v>
      </c>
      <c r="I2481" s="12">
        <f>car_price_prediction_[[#This Row],[Mileage]]/1000</f>
        <v>250.39599999999999</v>
      </c>
      <c r="J2481" s="5">
        <v>250396</v>
      </c>
      <c r="K2481" s="1" t="s">
        <v>25</v>
      </c>
      <c r="L2481" s="5">
        <f>car_price_prediction_[[#This Row],[Price]]/100</f>
        <v>92435.75</v>
      </c>
      <c r="M2481">
        <v>9243575</v>
      </c>
      <c r="N2481" s="1" t="s">
        <v>53</v>
      </c>
      <c r="O2481" s="1">
        <f>IF(IFERROR(VLOOKUP(car_price_prediction_[[#This Row],[Car ID]],A2482:A4981,1,FALSE),0),1,0)</f>
        <v>0</v>
      </c>
    </row>
    <row r="2482" spans="1:15" x14ac:dyDescent="0.25">
      <c r="A2482">
        <v>2481</v>
      </c>
      <c r="B2482" s="1" t="s">
        <v>19</v>
      </c>
      <c r="C2482" s="1">
        <f>car_price_prediction_[[#This Row],[Year2]]</f>
        <v>2010</v>
      </c>
      <c r="D2482">
        <v>2010</v>
      </c>
      <c r="E2482">
        <f>car_price_prediction_[[#This Row],[Engine Size]]/10</f>
        <v>2.2999999999999998</v>
      </c>
      <c r="F2482">
        <v>23</v>
      </c>
      <c r="G2482" s="1" t="s">
        <v>11</v>
      </c>
      <c r="H2482" s="1" t="s">
        <v>12</v>
      </c>
      <c r="I2482" s="12">
        <f>car_price_prediction_[[#This Row],[Mileage]]/1000</f>
        <v>250.48099999999999</v>
      </c>
      <c r="J2482" s="5">
        <v>250481</v>
      </c>
      <c r="K2482" s="1" t="s">
        <v>13</v>
      </c>
      <c r="L2482" s="5">
        <f>car_price_prediction_[[#This Row],[Price]]/100</f>
        <v>32351.06</v>
      </c>
      <c r="M2482">
        <v>3235106</v>
      </c>
      <c r="N2482" s="1" t="s">
        <v>20</v>
      </c>
      <c r="O2482" s="1">
        <f>IF(IFERROR(VLOOKUP(car_price_prediction_[[#This Row],[Car ID]],A2483:A4982,1,FALSE),0),1,0)</f>
        <v>0</v>
      </c>
    </row>
    <row r="2483" spans="1:15" x14ac:dyDescent="0.25">
      <c r="A2483">
        <v>2482</v>
      </c>
      <c r="B2483" s="1" t="s">
        <v>15</v>
      </c>
      <c r="C2483" s="1">
        <f>car_price_prediction_[[#This Row],[Year2]]</f>
        <v>2022</v>
      </c>
      <c r="D2483">
        <v>2022</v>
      </c>
      <c r="E2483">
        <f>car_price_prediction_[[#This Row],[Engine Size]]/10</f>
        <v>1.7</v>
      </c>
      <c r="F2483">
        <v>17</v>
      </c>
      <c r="G2483" s="1" t="s">
        <v>11</v>
      </c>
      <c r="H2483" s="1" t="s">
        <v>22</v>
      </c>
      <c r="I2483" s="12">
        <f>car_price_prediction_[[#This Row],[Mileage]]/1000</f>
        <v>28.004000000000001</v>
      </c>
      <c r="J2483" s="5">
        <v>28004</v>
      </c>
      <c r="K2483" s="1" t="s">
        <v>13</v>
      </c>
      <c r="L2483" s="5">
        <f>car_price_prediction_[[#This Row],[Price]]/100</f>
        <v>74883.990000000005</v>
      </c>
      <c r="M2483">
        <v>7488399</v>
      </c>
      <c r="N2483" s="1" t="s">
        <v>51</v>
      </c>
      <c r="O2483" s="1">
        <f>IF(IFERROR(VLOOKUP(car_price_prediction_[[#This Row],[Car ID]],A2484:A4983,1,FALSE),0),1,0)</f>
        <v>0</v>
      </c>
    </row>
    <row r="2484" spans="1:15" x14ac:dyDescent="0.25">
      <c r="A2484">
        <v>2483</v>
      </c>
      <c r="B2484" s="1" t="s">
        <v>30</v>
      </c>
      <c r="C2484" s="1">
        <f>car_price_prediction_[[#This Row],[Year2]]</f>
        <v>2006</v>
      </c>
      <c r="D2484">
        <v>2006</v>
      </c>
      <c r="E2484">
        <f>car_price_prediction_[[#This Row],[Engine Size]]/10</f>
        <v>2.2999999999999998</v>
      </c>
      <c r="F2484">
        <v>23</v>
      </c>
      <c r="G2484" s="1" t="s">
        <v>16</v>
      </c>
      <c r="H2484" s="1" t="s">
        <v>22</v>
      </c>
      <c r="I2484" s="12">
        <f>car_price_prediction_[[#This Row],[Mileage]]/1000</f>
        <v>282.61500000000001</v>
      </c>
      <c r="J2484" s="5">
        <v>282615</v>
      </c>
      <c r="K2484" s="1" t="s">
        <v>13</v>
      </c>
      <c r="L2484" s="5">
        <f>car_price_prediction_[[#This Row],[Price]]/100</f>
        <v>78674.31</v>
      </c>
      <c r="M2484">
        <v>7867431</v>
      </c>
      <c r="N2484" s="1" t="s">
        <v>31</v>
      </c>
      <c r="O2484" s="1">
        <f>IF(IFERROR(VLOOKUP(car_price_prediction_[[#This Row],[Car ID]],A2485:A4984,1,FALSE),0),1,0)</f>
        <v>0</v>
      </c>
    </row>
    <row r="2485" spans="1:15" x14ac:dyDescent="0.25">
      <c r="A2485">
        <v>2484</v>
      </c>
      <c r="B2485" s="1" t="s">
        <v>36</v>
      </c>
      <c r="C2485" s="1">
        <f>car_price_prediction_[[#This Row],[Year2]]</f>
        <v>2014</v>
      </c>
      <c r="D2485">
        <v>2014</v>
      </c>
      <c r="E2485">
        <f>car_price_prediction_[[#This Row],[Engine Size]]/10</f>
        <v>2.9</v>
      </c>
      <c r="F2485">
        <v>29</v>
      </c>
      <c r="G2485" s="1" t="s">
        <v>21</v>
      </c>
      <c r="H2485" s="1" t="s">
        <v>12</v>
      </c>
      <c r="I2485" s="12">
        <f>car_price_prediction_[[#This Row],[Mileage]]/1000</f>
        <v>91.82</v>
      </c>
      <c r="J2485" s="5">
        <v>91820</v>
      </c>
      <c r="K2485" s="1" t="s">
        <v>13</v>
      </c>
      <c r="L2485" s="5">
        <f>car_price_prediction_[[#This Row],[Price]]/100</f>
        <v>81838.19</v>
      </c>
      <c r="M2485">
        <v>8183819</v>
      </c>
      <c r="N2485" s="1" t="s">
        <v>37</v>
      </c>
      <c r="O2485" s="1">
        <f>IF(IFERROR(VLOOKUP(car_price_prediction_[[#This Row],[Car ID]],A2486:A4985,1,FALSE),0),1,0)</f>
        <v>0</v>
      </c>
    </row>
    <row r="2486" spans="1:15" x14ac:dyDescent="0.25">
      <c r="A2486">
        <v>2485</v>
      </c>
      <c r="B2486" s="1" t="s">
        <v>30</v>
      </c>
      <c r="C2486" s="1">
        <f>car_price_prediction_[[#This Row],[Year2]]</f>
        <v>2005</v>
      </c>
      <c r="D2486">
        <v>2005</v>
      </c>
      <c r="E2486">
        <f>car_price_prediction_[[#This Row],[Engine Size]]/10</f>
        <v>5.7</v>
      </c>
      <c r="F2486">
        <v>57</v>
      </c>
      <c r="G2486" s="1" t="s">
        <v>11</v>
      </c>
      <c r="H2486" s="1" t="s">
        <v>12</v>
      </c>
      <c r="I2486" s="12">
        <f>car_price_prediction_[[#This Row],[Mileage]]/1000</f>
        <v>191.239</v>
      </c>
      <c r="J2486" s="5">
        <v>191239</v>
      </c>
      <c r="K2486" s="1" t="s">
        <v>25</v>
      </c>
      <c r="L2486" s="5">
        <f>car_price_prediction_[[#This Row],[Price]]/100</f>
        <v>59222.42</v>
      </c>
      <c r="M2486">
        <v>5922242</v>
      </c>
      <c r="N2486" s="1" t="s">
        <v>31</v>
      </c>
      <c r="O2486" s="1">
        <f>IF(IFERROR(VLOOKUP(car_price_prediction_[[#This Row],[Car ID]],A2487:A4986,1,FALSE),0),1,0)</f>
        <v>0</v>
      </c>
    </row>
    <row r="2487" spans="1:15" x14ac:dyDescent="0.25">
      <c r="A2487">
        <v>2486</v>
      </c>
      <c r="B2487" s="1" t="s">
        <v>43</v>
      </c>
      <c r="C2487" s="1">
        <f>car_price_prediction_[[#This Row],[Year2]]</f>
        <v>2019</v>
      </c>
      <c r="D2487">
        <v>2019</v>
      </c>
      <c r="E2487">
        <f>car_price_prediction_[[#This Row],[Engine Size]]/10</f>
        <v>4.0999999999999996</v>
      </c>
      <c r="F2487">
        <v>41</v>
      </c>
      <c r="G2487" s="1" t="s">
        <v>21</v>
      </c>
      <c r="H2487" s="1" t="s">
        <v>22</v>
      </c>
      <c r="I2487" s="12">
        <f>car_price_prediction_[[#This Row],[Mileage]]/1000</f>
        <v>102.229</v>
      </c>
      <c r="J2487" s="5">
        <v>102229</v>
      </c>
      <c r="K2487" s="1" t="s">
        <v>25</v>
      </c>
      <c r="L2487" s="5">
        <f>car_price_prediction_[[#This Row],[Price]]/100</f>
        <v>5998.26</v>
      </c>
      <c r="M2487">
        <v>599826</v>
      </c>
      <c r="N2487" s="1" t="s">
        <v>50</v>
      </c>
      <c r="O2487" s="1">
        <f>IF(IFERROR(VLOOKUP(car_price_prediction_[[#This Row],[Car ID]],A2488:A4987,1,FALSE),0),1,0)</f>
        <v>0</v>
      </c>
    </row>
    <row r="2488" spans="1:15" x14ac:dyDescent="0.25">
      <c r="A2488">
        <v>2487</v>
      </c>
      <c r="B2488" s="1" t="s">
        <v>10</v>
      </c>
      <c r="C2488" s="1">
        <f>car_price_prediction_[[#This Row],[Year2]]</f>
        <v>2008</v>
      </c>
      <c r="D2488">
        <v>2008</v>
      </c>
      <c r="E2488">
        <f>car_price_prediction_[[#This Row],[Engine Size]]/10</f>
        <v>5.2</v>
      </c>
      <c r="F2488">
        <v>52</v>
      </c>
      <c r="G2488" s="1" t="s">
        <v>21</v>
      </c>
      <c r="H2488" s="1" t="s">
        <v>22</v>
      </c>
      <c r="I2488" s="12">
        <f>car_price_prediction_[[#This Row],[Mileage]]/1000</f>
        <v>14.568</v>
      </c>
      <c r="J2488" s="5">
        <v>14568</v>
      </c>
      <c r="K2488" s="1" t="s">
        <v>25</v>
      </c>
      <c r="L2488" s="5">
        <f>car_price_prediction_[[#This Row],[Price]]/100</f>
        <v>77359.25</v>
      </c>
      <c r="M2488">
        <v>7735925</v>
      </c>
      <c r="N2488" s="1" t="s">
        <v>33</v>
      </c>
      <c r="O2488" s="1">
        <f>IF(IFERROR(VLOOKUP(car_price_prediction_[[#This Row],[Car ID]],A2489:A4988,1,FALSE),0),1,0)</f>
        <v>0</v>
      </c>
    </row>
    <row r="2489" spans="1:15" x14ac:dyDescent="0.25">
      <c r="A2489">
        <v>2488</v>
      </c>
      <c r="B2489" s="1" t="s">
        <v>19</v>
      </c>
      <c r="C2489" s="1">
        <f>car_price_prediction_[[#This Row],[Year2]]</f>
        <v>2021</v>
      </c>
      <c r="D2489">
        <v>2021</v>
      </c>
      <c r="E2489">
        <f>car_price_prediction_[[#This Row],[Engine Size]]/10</f>
        <v>4.5999999999999996</v>
      </c>
      <c r="F2489">
        <v>46</v>
      </c>
      <c r="G2489" s="1" t="s">
        <v>16</v>
      </c>
      <c r="H2489" s="1" t="s">
        <v>22</v>
      </c>
      <c r="I2489" s="12">
        <f>car_price_prediction_[[#This Row],[Mileage]]/1000</f>
        <v>9.4659999999999993</v>
      </c>
      <c r="J2489" s="5">
        <v>9466</v>
      </c>
      <c r="K2489" s="1" t="s">
        <v>17</v>
      </c>
      <c r="L2489" s="5">
        <f>car_price_prediction_[[#This Row],[Price]]/100</f>
        <v>15126.76</v>
      </c>
      <c r="M2489">
        <v>1512676</v>
      </c>
      <c r="N2489" s="1" t="s">
        <v>38</v>
      </c>
      <c r="O2489" s="1">
        <f>IF(IFERROR(VLOOKUP(car_price_prediction_[[#This Row],[Car ID]],A2490:A4989,1,FALSE),0),1,0)</f>
        <v>0</v>
      </c>
    </row>
    <row r="2490" spans="1:15" x14ac:dyDescent="0.25">
      <c r="A2490">
        <v>2489</v>
      </c>
      <c r="B2490" s="1" t="s">
        <v>15</v>
      </c>
      <c r="C2490" s="1">
        <f>car_price_prediction_[[#This Row],[Year2]]</f>
        <v>2019</v>
      </c>
      <c r="D2490">
        <v>2019</v>
      </c>
      <c r="E2490">
        <f>car_price_prediction_[[#This Row],[Engine Size]]/10</f>
        <v>1.6</v>
      </c>
      <c r="F2490">
        <v>16</v>
      </c>
      <c r="G2490" s="1" t="s">
        <v>11</v>
      </c>
      <c r="H2490" s="1" t="s">
        <v>22</v>
      </c>
      <c r="I2490" s="12">
        <f>car_price_prediction_[[#This Row],[Mileage]]/1000</f>
        <v>222.12899999999999</v>
      </c>
      <c r="J2490" s="5">
        <v>222129</v>
      </c>
      <c r="K2490" s="1" t="s">
        <v>25</v>
      </c>
      <c r="L2490" s="5">
        <f>car_price_prediction_[[#This Row],[Price]]/100</f>
        <v>16102.78</v>
      </c>
      <c r="M2490">
        <v>1610278</v>
      </c>
      <c r="N2490" s="1" t="s">
        <v>35</v>
      </c>
      <c r="O2490" s="1">
        <f>IF(IFERROR(VLOOKUP(car_price_prediction_[[#This Row],[Car ID]],A2491:A4990,1,FALSE),0),1,0)</f>
        <v>0</v>
      </c>
    </row>
    <row r="2491" spans="1:15" x14ac:dyDescent="0.25">
      <c r="A2491">
        <v>2490</v>
      </c>
      <c r="B2491" s="1" t="s">
        <v>30</v>
      </c>
      <c r="C2491" s="1">
        <f>car_price_prediction_[[#This Row],[Year2]]</f>
        <v>2011</v>
      </c>
      <c r="D2491">
        <v>2011</v>
      </c>
      <c r="E2491">
        <f>car_price_prediction_[[#This Row],[Engine Size]]/10</f>
        <v>4.7</v>
      </c>
      <c r="F2491">
        <v>47</v>
      </c>
      <c r="G2491" s="1" t="s">
        <v>16</v>
      </c>
      <c r="H2491" s="1" t="s">
        <v>12</v>
      </c>
      <c r="I2491" s="12">
        <f>car_price_prediction_[[#This Row],[Mileage]]/1000</f>
        <v>57.323999999999998</v>
      </c>
      <c r="J2491" s="5">
        <v>57324</v>
      </c>
      <c r="K2491" s="1" t="s">
        <v>25</v>
      </c>
      <c r="L2491" s="5">
        <f>car_price_prediction_[[#This Row],[Price]]/100</f>
        <v>62534.36</v>
      </c>
      <c r="M2491">
        <v>6253436</v>
      </c>
      <c r="N2491" s="1" t="s">
        <v>48</v>
      </c>
      <c r="O2491" s="1">
        <f>IF(IFERROR(VLOOKUP(car_price_prediction_[[#This Row],[Car ID]],A2492:A4991,1,FALSE),0),1,0)</f>
        <v>0</v>
      </c>
    </row>
    <row r="2492" spans="1:15" x14ac:dyDescent="0.25">
      <c r="A2492">
        <v>2491</v>
      </c>
      <c r="B2492" s="1" t="s">
        <v>19</v>
      </c>
      <c r="C2492" s="1">
        <f>car_price_prediction_[[#This Row],[Year2]]</f>
        <v>2018</v>
      </c>
      <c r="D2492">
        <v>2018</v>
      </c>
      <c r="E2492">
        <f>car_price_prediction_[[#This Row],[Engine Size]]/10</f>
        <v>2.4</v>
      </c>
      <c r="F2492">
        <v>24</v>
      </c>
      <c r="G2492" s="1" t="s">
        <v>29</v>
      </c>
      <c r="H2492" s="1" t="s">
        <v>12</v>
      </c>
      <c r="I2492" s="12">
        <f>car_price_prediction_[[#This Row],[Mileage]]/1000</f>
        <v>146.53899999999999</v>
      </c>
      <c r="J2492" s="5">
        <v>146539</v>
      </c>
      <c r="K2492" s="1" t="s">
        <v>17</v>
      </c>
      <c r="L2492" s="5">
        <f>car_price_prediction_[[#This Row],[Price]]/100</f>
        <v>98434.45</v>
      </c>
      <c r="M2492">
        <v>9843445</v>
      </c>
      <c r="N2492" s="1" t="s">
        <v>28</v>
      </c>
      <c r="O2492" s="1">
        <f>IF(IFERROR(VLOOKUP(car_price_prediction_[[#This Row],[Car ID]],A2493:A4992,1,FALSE),0),1,0)</f>
        <v>0</v>
      </c>
    </row>
    <row r="2493" spans="1:15" x14ac:dyDescent="0.25">
      <c r="A2493">
        <v>2492</v>
      </c>
      <c r="B2493" s="1" t="s">
        <v>43</v>
      </c>
      <c r="C2493" s="1">
        <f>car_price_prediction_[[#This Row],[Year2]]</f>
        <v>2019</v>
      </c>
      <c r="D2493">
        <v>2019</v>
      </c>
      <c r="E2493">
        <f>car_price_prediction_[[#This Row],[Engine Size]]/10</f>
        <v>4.2</v>
      </c>
      <c r="F2493">
        <v>42</v>
      </c>
      <c r="G2493" s="1" t="s">
        <v>29</v>
      </c>
      <c r="H2493" s="1" t="s">
        <v>12</v>
      </c>
      <c r="I2493" s="12">
        <f>car_price_prediction_[[#This Row],[Mileage]]/1000</f>
        <v>75.954999999999998</v>
      </c>
      <c r="J2493" s="5">
        <v>75955</v>
      </c>
      <c r="K2493" s="1" t="s">
        <v>13</v>
      </c>
      <c r="L2493" s="5">
        <f>car_price_prediction_[[#This Row],[Price]]/100</f>
        <v>28041.25</v>
      </c>
      <c r="M2493">
        <v>2804125</v>
      </c>
      <c r="N2493" s="1" t="s">
        <v>50</v>
      </c>
      <c r="O2493" s="1">
        <f>IF(IFERROR(VLOOKUP(car_price_prediction_[[#This Row],[Car ID]],A2494:A4993,1,FALSE),0),1,0)</f>
        <v>0</v>
      </c>
    </row>
    <row r="2494" spans="1:15" x14ac:dyDescent="0.25">
      <c r="A2494">
        <v>2493</v>
      </c>
      <c r="B2494" s="1" t="s">
        <v>10</v>
      </c>
      <c r="C2494" s="1">
        <f>car_price_prediction_[[#This Row],[Year2]]</f>
        <v>2002</v>
      </c>
      <c r="D2494">
        <v>2002</v>
      </c>
      <c r="E2494">
        <f>car_price_prediction_[[#This Row],[Engine Size]]/10</f>
        <v>2.7</v>
      </c>
      <c r="F2494">
        <v>27</v>
      </c>
      <c r="G2494" s="1" t="s">
        <v>11</v>
      </c>
      <c r="H2494" s="1" t="s">
        <v>12</v>
      </c>
      <c r="I2494" s="12">
        <f>car_price_prediction_[[#This Row],[Mileage]]/1000</f>
        <v>147.74799999999999</v>
      </c>
      <c r="J2494" s="5">
        <v>147748</v>
      </c>
      <c r="K2494" s="1" t="s">
        <v>13</v>
      </c>
      <c r="L2494" s="5">
        <f>car_price_prediction_[[#This Row],[Price]]/100</f>
        <v>66352.03</v>
      </c>
      <c r="M2494">
        <v>6635203</v>
      </c>
      <c r="N2494" s="1" t="s">
        <v>14</v>
      </c>
      <c r="O2494" s="1">
        <f>IF(IFERROR(VLOOKUP(car_price_prediction_[[#This Row],[Car ID]],A2495:A4994,1,FALSE),0),1,0)</f>
        <v>0</v>
      </c>
    </row>
    <row r="2495" spans="1:15" x14ac:dyDescent="0.25">
      <c r="A2495">
        <v>2494</v>
      </c>
      <c r="B2495" s="1" t="s">
        <v>24</v>
      </c>
      <c r="C2495" s="1">
        <f>car_price_prediction_[[#This Row],[Year2]]</f>
        <v>2014</v>
      </c>
      <c r="D2495">
        <v>2014</v>
      </c>
      <c r="E2495">
        <f>car_price_prediction_[[#This Row],[Engine Size]]/10</f>
        <v>6</v>
      </c>
      <c r="F2495">
        <v>60</v>
      </c>
      <c r="G2495" s="1" t="s">
        <v>21</v>
      </c>
      <c r="H2495" s="1" t="s">
        <v>22</v>
      </c>
      <c r="I2495" s="12">
        <f>car_price_prediction_[[#This Row],[Mileage]]/1000</f>
        <v>94.790999999999997</v>
      </c>
      <c r="J2495" s="5">
        <v>94791</v>
      </c>
      <c r="K2495" s="1" t="s">
        <v>13</v>
      </c>
      <c r="L2495" s="5">
        <f>car_price_prediction_[[#This Row],[Price]]/100</f>
        <v>3384.71</v>
      </c>
      <c r="M2495">
        <v>338471</v>
      </c>
      <c r="N2495" s="1" t="s">
        <v>53</v>
      </c>
      <c r="O2495" s="1">
        <f>IF(IFERROR(VLOOKUP(car_price_prediction_[[#This Row],[Car ID]],A2496:A4995,1,FALSE),0),1,0)</f>
        <v>0</v>
      </c>
    </row>
    <row r="2496" spans="1:15" x14ac:dyDescent="0.25">
      <c r="A2496">
        <v>2495</v>
      </c>
      <c r="B2496" s="1" t="s">
        <v>36</v>
      </c>
      <c r="C2496" s="1">
        <f>car_price_prediction_[[#This Row],[Year2]]</f>
        <v>2001</v>
      </c>
      <c r="D2496">
        <v>2001</v>
      </c>
      <c r="E2496">
        <f>car_price_prediction_[[#This Row],[Engine Size]]/10</f>
        <v>2.2999999999999998</v>
      </c>
      <c r="F2496">
        <v>23</v>
      </c>
      <c r="G2496" s="1" t="s">
        <v>11</v>
      </c>
      <c r="H2496" s="1" t="s">
        <v>12</v>
      </c>
      <c r="I2496" s="12">
        <f>car_price_prediction_[[#This Row],[Mileage]]/1000</f>
        <v>162.58600000000001</v>
      </c>
      <c r="J2496" s="5">
        <v>162586</v>
      </c>
      <c r="K2496" s="1" t="s">
        <v>17</v>
      </c>
      <c r="L2496" s="5">
        <f>car_price_prediction_[[#This Row],[Price]]/100</f>
        <v>90378.98</v>
      </c>
      <c r="M2496">
        <v>9037898</v>
      </c>
      <c r="N2496" s="1" t="s">
        <v>41</v>
      </c>
      <c r="O2496" s="1">
        <f>IF(IFERROR(VLOOKUP(car_price_prediction_[[#This Row],[Car ID]],A2497:A4996,1,FALSE),0),1,0)</f>
        <v>0</v>
      </c>
    </row>
    <row r="2497" spans="1:15" x14ac:dyDescent="0.25">
      <c r="A2497">
        <v>2496</v>
      </c>
      <c r="B2497" s="1" t="s">
        <v>19</v>
      </c>
      <c r="C2497" s="1">
        <f>car_price_prediction_[[#This Row],[Year2]]</f>
        <v>2020</v>
      </c>
      <c r="D2497">
        <v>2020</v>
      </c>
      <c r="E2497">
        <f>car_price_prediction_[[#This Row],[Engine Size]]/10</f>
        <v>2.4</v>
      </c>
      <c r="F2497">
        <v>24</v>
      </c>
      <c r="G2497" s="1" t="s">
        <v>11</v>
      </c>
      <c r="H2497" s="1" t="s">
        <v>22</v>
      </c>
      <c r="I2497" s="12">
        <f>car_price_prediction_[[#This Row],[Mileage]]/1000</f>
        <v>22.65</v>
      </c>
      <c r="J2497" s="5">
        <v>22650</v>
      </c>
      <c r="K2497" s="1" t="s">
        <v>25</v>
      </c>
      <c r="L2497" s="5">
        <f>car_price_prediction_[[#This Row],[Price]]/100</f>
        <v>6138.41</v>
      </c>
      <c r="M2497">
        <v>613841</v>
      </c>
      <c r="N2497" s="1" t="s">
        <v>28</v>
      </c>
      <c r="O2497" s="1">
        <f>IF(IFERROR(VLOOKUP(car_price_prediction_[[#This Row],[Car ID]],A2498:A4997,1,FALSE),0),1,0)</f>
        <v>0</v>
      </c>
    </row>
    <row r="2498" spans="1:15" x14ac:dyDescent="0.25">
      <c r="A2498">
        <v>2497</v>
      </c>
      <c r="B2498" s="1" t="s">
        <v>19</v>
      </c>
      <c r="C2498" s="1">
        <f>car_price_prediction_[[#This Row],[Year2]]</f>
        <v>2001</v>
      </c>
      <c r="D2498">
        <v>2001</v>
      </c>
      <c r="E2498">
        <f>car_price_prediction_[[#This Row],[Engine Size]]/10</f>
        <v>5.7</v>
      </c>
      <c r="F2498">
        <v>57</v>
      </c>
      <c r="G2498" s="1" t="s">
        <v>29</v>
      </c>
      <c r="H2498" s="1" t="s">
        <v>12</v>
      </c>
      <c r="I2498" s="12">
        <f>car_price_prediction_[[#This Row],[Mileage]]/1000</f>
        <v>77.700999999999993</v>
      </c>
      <c r="J2498" s="5">
        <v>77701</v>
      </c>
      <c r="K2498" s="1" t="s">
        <v>25</v>
      </c>
      <c r="L2498" s="5">
        <f>car_price_prediction_[[#This Row],[Price]]/100</f>
        <v>24710.35</v>
      </c>
      <c r="M2498">
        <v>2471035</v>
      </c>
      <c r="N2498" s="1" t="s">
        <v>38</v>
      </c>
      <c r="O2498" s="1">
        <f>IF(IFERROR(VLOOKUP(car_price_prediction_[[#This Row],[Car ID]],A2499:A4998,1,FALSE),0),1,0)</f>
        <v>0</v>
      </c>
    </row>
    <row r="2499" spans="1:15" x14ac:dyDescent="0.25">
      <c r="A2499">
        <v>2498</v>
      </c>
      <c r="B2499" s="1" t="s">
        <v>24</v>
      </c>
      <c r="C2499" s="1">
        <f>car_price_prediction_[[#This Row],[Year2]]</f>
        <v>2021</v>
      </c>
      <c r="D2499">
        <v>2021</v>
      </c>
      <c r="E2499">
        <f>car_price_prediction_[[#This Row],[Engine Size]]/10</f>
        <v>1.1000000000000001</v>
      </c>
      <c r="F2499">
        <v>11</v>
      </c>
      <c r="G2499" s="1" t="s">
        <v>29</v>
      </c>
      <c r="H2499" s="1" t="s">
        <v>12</v>
      </c>
      <c r="I2499" s="12">
        <f>car_price_prediction_[[#This Row],[Mileage]]/1000</f>
        <v>272.827</v>
      </c>
      <c r="J2499" s="5">
        <v>272827</v>
      </c>
      <c r="K2499" s="1" t="s">
        <v>25</v>
      </c>
      <c r="L2499" s="5">
        <f>car_price_prediction_[[#This Row],[Price]]/100</f>
        <v>29902.45</v>
      </c>
      <c r="M2499">
        <v>2990245</v>
      </c>
      <c r="N2499" s="1" t="s">
        <v>34</v>
      </c>
      <c r="O2499" s="1">
        <f>IF(IFERROR(VLOOKUP(car_price_prediction_[[#This Row],[Car ID]],A2500:A4999,1,FALSE),0),1,0)</f>
        <v>0</v>
      </c>
    </row>
    <row r="2500" spans="1:15" x14ac:dyDescent="0.25">
      <c r="A2500">
        <v>2499</v>
      </c>
      <c r="B2500" s="1" t="s">
        <v>19</v>
      </c>
      <c r="C2500" s="1">
        <f>car_price_prediction_[[#This Row],[Year2]]</f>
        <v>2002</v>
      </c>
      <c r="D2500">
        <v>2002</v>
      </c>
      <c r="E2500">
        <f>car_price_prediction_[[#This Row],[Engine Size]]/10</f>
        <v>4.5</v>
      </c>
      <c r="F2500">
        <v>45</v>
      </c>
      <c r="G2500" s="1" t="s">
        <v>21</v>
      </c>
      <c r="H2500" s="1" t="s">
        <v>12</v>
      </c>
      <c r="I2500" s="12">
        <f>car_price_prediction_[[#This Row],[Mileage]]/1000</f>
        <v>229.16399999999999</v>
      </c>
      <c r="J2500" s="5">
        <v>229164</v>
      </c>
      <c r="K2500" s="1" t="s">
        <v>25</v>
      </c>
      <c r="L2500" s="5">
        <f>car_price_prediction_[[#This Row],[Price]]/100</f>
        <v>46085.67</v>
      </c>
      <c r="M2500">
        <v>4608567</v>
      </c>
      <c r="N2500" s="1" t="s">
        <v>28</v>
      </c>
      <c r="O2500" s="1">
        <f>IF(IFERROR(VLOOKUP(car_price_prediction_[[#This Row],[Car ID]],A2501:A5000,1,FALSE),0),1,0)</f>
        <v>0</v>
      </c>
    </row>
    <row r="2501" spans="1:15" x14ac:dyDescent="0.25">
      <c r="A2501">
        <v>2500</v>
      </c>
      <c r="B2501" s="1" t="s">
        <v>43</v>
      </c>
      <c r="C2501" s="1">
        <f>car_price_prediction_[[#This Row],[Year2]]</f>
        <v>2005</v>
      </c>
      <c r="D2501">
        <v>2005</v>
      </c>
      <c r="E2501">
        <f>car_price_prediction_[[#This Row],[Engine Size]]/10</f>
        <v>4.5999999999999996</v>
      </c>
      <c r="F2501">
        <v>46</v>
      </c>
      <c r="G2501" s="1" t="s">
        <v>21</v>
      </c>
      <c r="H2501" s="1" t="s">
        <v>22</v>
      </c>
      <c r="I2501" s="12">
        <f>car_price_prediction_[[#This Row],[Mileage]]/1000</f>
        <v>80.977999999999994</v>
      </c>
      <c r="J2501" s="5">
        <v>80978</v>
      </c>
      <c r="K2501" s="1" t="s">
        <v>17</v>
      </c>
      <c r="L2501" s="5">
        <f>car_price_prediction_[[#This Row],[Price]]/100</f>
        <v>16594.14</v>
      </c>
      <c r="M2501">
        <v>1659414</v>
      </c>
      <c r="N2501" s="1" t="s">
        <v>52</v>
      </c>
      <c r="O2501" s="1">
        <f>IF(IFERROR(VLOOKUP(car_price_prediction_[[#This Row],[Car ID]],A2502:A5001,1,FALSE),0),1,0)</f>
        <v>0</v>
      </c>
    </row>
  </sheetData>
  <conditionalFormatting sqref="A1:A1048576">
    <cfRule type="duplicateValues" dxfId="31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C5C90-01E6-4C44-92FB-4A8BE769C13E}">
  <dimension ref="B2:Y101"/>
  <sheetViews>
    <sheetView zoomScale="77" zoomScaleNormal="77" workbookViewId="0">
      <selection activeCell="P96" sqref="P96"/>
    </sheetView>
  </sheetViews>
  <sheetFormatPr baseColWidth="10" defaultRowHeight="15" x14ac:dyDescent="0.25"/>
  <cols>
    <col min="2" max="3" width="15.5703125" bestFit="1" customWidth="1"/>
    <col min="4" max="4" width="23.140625" bestFit="1" customWidth="1"/>
    <col min="5" max="5" width="17.7109375" bestFit="1" customWidth="1"/>
    <col min="6" max="6" width="18.7109375" bestFit="1" customWidth="1"/>
    <col min="8" max="9" width="17.7109375" bestFit="1" customWidth="1"/>
    <col min="10" max="11" width="15.5703125" bestFit="1" customWidth="1"/>
    <col min="12" max="12" width="21.42578125" bestFit="1" customWidth="1"/>
    <col min="13" max="13" width="23.140625" bestFit="1" customWidth="1"/>
    <col min="18" max="18" width="17.5703125" bestFit="1" customWidth="1"/>
    <col min="19" max="19" width="15.5703125" bestFit="1" customWidth="1"/>
    <col min="20" max="20" width="19.42578125" bestFit="1" customWidth="1"/>
    <col min="21" max="21" width="17.5703125" bestFit="1" customWidth="1"/>
    <col min="22" max="22" width="15.5703125" bestFit="1" customWidth="1"/>
  </cols>
  <sheetData>
    <row r="2" spans="2:15" x14ac:dyDescent="0.25">
      <c r="B2" s="16" t="s">
        <v>59</v>
      </c>
      <c r="C2" s="16"/>
      <c r="D2" s="16"/>
      <c r="E2" s="16"/>
      <c r="F2" s="16"/>
      <c r="G2" s="16"/>
      <c r="H2" s="16"/>
      <c r="L2" s="15"/>
      <c r="M2" s="15"/>
      <c r="N2" s="15"/>
      <c r="O2" s="15"/>
    </row>
    <row r="4" spans="2:15" x14ac:dyDescent="0.25">
      <c r="B4" t="s">
        <v>60</v>
      </c>
      <c r="D4" t="s">
        <v>61</v>
      </c>
      <c r="F4" t="s">
        <v>94</v>
      </c>
      <c r="H4" t="s">
        <v>95</v>
      </c>
      <c r="J4" t="s">
        <v>96</v>
      </c>
      <c r="L4" t="s">
        <v>97</v>
      </c>
    </row>
    <row r="5" spans="2:15" x14ac:dyDescent="0.25">
      <c r="B5" s="1">
        <v>2500</v>
      </c>
      <c r="C5" s="5">
        <f>GETPIVOTDATA("Car ID",$B$4)</f>
        <v>2500</v>
      </c>
      <c r="D5" s="11">
        <v>47742.804380000016</v>
      </c>
      <c r="F5" s="11">
        <v>99982.59</v>
      </c>
      <c r="H5" s="11">
        <v>553.53</v>
      </c>
      <c r="J5" s="5">
        <v>877650715.19348443</v>
      </c>
      <c r="L5" s="5">
        <v>29625.170298134733</v>
      </c>
    </row>
    <row r="6" spans="2:15" x14ac:dyDescent="0.25">
      <c r="C6" s="5"/>
      <c r="D6" s="11">
        <f>GETPIVOTDATA("Price (USD)",$D$4)</f>
        <v>47742.804380000016</v>
      </c>
      <c r="F6" s="11">
        <f>GETPIVOTDATA("Price (USD)",$F$4)</f>
        <v>99982.59</v>
      </c>
      <c r="H6" s="11">
        <f>GETPIVOTDATA("Price (USD)",$H$4)</f>
        <v>553.53</v>
      </c>
      <c r="J6" s="5">
        <f>GETPIVOTDATA("Price (USD)",$J$4)</f>
        <v>877650715.19348443</v>
      </c>
      <c r="L6" s="5">
        <f>GETPIVOTDATA("Price (USD)",$L$4)</f>
        <v>29625.170298134733</v>
      </c>
    </row>
    <row r="7" spans="2:15" x14ac:dyDescent="0.25">
      <c r="C7" s="11"/>
    </row>
    <row r="9" spans="2:15" x14ac:dyDescent="0.25">
      <c r="B9" s="16" t="s">
        <v>62</v>
      </c>
      <c r="C9" s="16"/>
      <c r="D9" s="16"/>
      <c r="E9" s="16"/>
      <c r="F9" s="16"/>
      <c r="G9" s="16"/>
      <c r="H9" s="16"/>
    </row>
    <row r="12" spans="2:15" x14ac:dyDescent="0.25">
      <c r="B12" s="6" t="s">
        <v>89</v>
      </c>
      <c r="C12" t="s">
        <v>60</v>
      </c>
      <c r="E12" s="6" t="s">
        <v>63</v>
      </c>
      <c r="F12" t="s">
        <v>60</v>
      </c>
      <c r="H12" s="6" t="s">
        <v>63</v>
      </c>
      <c r="I12" t="s">
        <v>60</v>
      </c>
    </row>
    <row r="13" spans="2:15" x14ac:dyDescent="0.25">
      <c r="B13" s="7" t="s">
        <v>43</v>
      </c>
      <c r="C13" s="5">
        <v>374</v>
      </c>
      <c r="E13" s="7" t="s">
        <v>47</v>
      </c>
      <c r="F13" s="5">
        <v>103</v>
      </c>
      <c r="H13" s="7" t="s">
        <v>26</v>
      </c>
      <c r="I13" s="5">
        <v>77</v>
      </c>
    </row>
    <row r="14" spans="2:15" x14ac:dyDescent="0.25">
      <c r="B14" s="7" t="s">
        <v>19</v>
      </c>
      <c r="C14" s="5">
        <v>368</v>
      </c>
      <c r="E14" s="7" t="s">
        <v>34</v>
      </c>
      <c r="F14" s="5">
        <v>103</v>
      </c>
      <c r="H14" s="7" t="s">
        <v>49</v>
      </c>
      <c r="I14" s="5">
        <v>79</v>
      </c>
    </row>
    <row r="15" spans="2:15" x14ac:dyDescent="0.25">
      <c r="B15" s="7" t="s">
        <v>15</v>
      </c>
      <c r="C15" s="5">
        <v>358</v>
      </c>
      <c r="E15" s="7" t="s">
        <v>38</v>
      </c>
      <c r="F15" s="5">
        <v>98</v>
      </c>
      <c r="H15" s="7" t="s">
        <v>28</v>
      </c>
      <c r="I15" s="5">
        <v>79</v>
      </c>
    </row>
    <row r="16" spans="2:15" x14ac:dyDescent="0.25">
      <c r="B16" s="7" t="s">
        <v>36</v>
      </c>
      <c r="C16" s="5">
        <v>353</v>
      </c>
      <c r="E16" s="7" t="s">
        <v>20</v>
      </c>
      <c r="F16" s="5">
        <v>96</v>
      </c>
      <c r="H16" s="7" t="s">
        <v>46</v>
      </c>
      <c r="I16" s="5">
        <v>80</v>
      </c>
    </row>
    <row r="17" spans="2:11" x14ac:dyDescent="0.25">
      <c r="B17" s="7" t="s">
        <v>30</v>
      </c>
      <c r="C17" s="5">
        <v>352</v>
      </c>
      <c r="E17" s="7" t="s">
        <v>27</v>
      </c>
      <c r="F17" s="5">
        <v>95</v>
      </c>
      <c r="H17" s="7" t="s">
        <v>39</v>
      </c>
      <c r="I17" s="5">
        <v>80</v>
      </c>
    </row>
    <row r="18" spans="2:11" x14ac:dyDescent="0.25">
      <c r="B18" s="7" t="s">
        <v>10</v>
      </c>
      <c r="C18" s="5">
        <v>348</v>
      </c>
      <c r="E18" s="7" t="s">
        <v>42</v>
      </c>
      <c r="F18" s="5">
        <v>95</v>
      </c>
      <c r="H18" s="7" t="s">
        <v>31</v>
      </c>
      <c r="I18" s="5">
        <v>80</v>
      </c>
    </row>
    <row r="19" spans="2:11" x14ac:dyDescent="0.25">
      <c r="B19" s="7" t="s">
        <v>24</v>
      </c>
      <c r="C19" s="5">
        <v>347</v>
      </c>
      <c r="E19" s="7" t="s">
        <v>64</v>
      </c>
      <c r="F19" s="5">
        <v>590</v>
      </c>
      <c r="H19" s="7" t="s">
        <v>64</v>
      </c>
      <c r="I19" s="5">
        <v>475</v>
      </c>
    </row>
    <row r="20" spans="2:11" x14ac:dyDescent="0.25">
      <c r="B20" s="7" t="s">
        <v>64</v>
      </c>
      <c r="C20" s="5">
        <v>2500</v>
      </c>
    </row>
    <row r="24" spans="2:11" x14ac:dyDescent="0.25">
      <c r="I24" s="16" t="s">
        <v>74</v>
      </c>
      <c r="J24" s="16"/>
      <c r="K24" s="16"/>
    </row>
    <row r="25" spans="2:11" x14ac:dyDescent="0.25">
      <c r="B25" s="16" t="s">
        <v>66</v>
      </c>
      <c r="C25" s="16"/>
      <c r="D25" s="16"/>
    </row>
    <row r="27" spans="2:11" x14ac:dyDescent="0.25">
      <c r="B27" s="6" t="s">
        <v>63</v>
      </c>
      <c r="C27" t="s">
        <v>60</v>
      </c>
      <c r="I27" s="6" t="s">
        <v>63</v>
      </c>
      <c r="J27" t="s">
        <v>60</v>
      </c>
    </row>
    <row r="28" spans="2:11" x14ac:dyDescent="0.25">
      <c r="B28" s="7" t="s">
        <v>67</v>
      </c>
      <c r="C28" s="5">
        <v>479</v>
      </c>
      <c r="I28" s="7" t="s">
        <v>22</v>
      </c>
      <c r="J28" s="5">
        <v>1192</v>
      </c>
    </row>
    <row r="29" spans="2:11" x14ac:dyDescent="0.25">
      <c r="B29" s="7" t="s">
        <v>68</v>
      </c>
      <c r="C29" s="5">
        <v>517</v>
      </c>
      <c r="I29" s="7" t="s">
        <v>12</v>
      </c>
      <c r="J29" s="5">
        <v>1308</v>
      </c>
    </row>
    <row r="30" spans="2:11" x14ac:dyDescent="0.25">
      <c r="B30" s="7" t="s">
        <v>69</v>
      </c>
      <c r="C30" s="5">
        <v>511</v>
      </c>
      <c r="I30" s="7" t="s">
        <v>64</v>
      </c>
      <c r="J30" s="5">
        <v>2500</v>
      </c>
    </row>
    <row r="31" spans="2:11" x14ac:dyDescent="0.25">
      <c r="B31" s="7" t="s">
        <v>70</v>
      </c>
      <c r="C31" s="5">
        <v>484</v>
      </c>
    </row>
    <row r="32" spans="2:11" x14ac:dyDescent="0.25">
      <c r="B32" s="7" t="s">
        <v>71</v>
      </c>
      <c r="C32" s="5">
        <v>509</v>
      </c>
    </row>
    <row r="33" spans="2:11" x14ac:dyDescent="0.25">
      <c r="B33" s="7" t="s">
        <v>64</v>
      </c>
      <c r="C33" s="5">
        <v>2500</v>
      </c>
    </row>
    <row r="41" spans="2:11" x14ac:dyDescent="0.25">
      <c r="I41" s="16" t="s">
        <v>82</v>
      </c>
      <c r="J41" s="16"/>
      <c r="K41" s="16"/>
    </row>
    <row r="42" spans="2:11" x14ac:dyDescent="0.25">
      <c r="B42" s="16" t="s">
        <v>73</v>
      </c>
      <c r="C42" s="16"/>
      <c r="D42" s="16"/>
    </row>
    <row r="43" spans="2:11" x14ac:dyDescent="0.25">
      <c r="I43" s="6" t="s">
        <v>63</v>
      </c>
      <c r="J43" t="s">
        <v>60</v>
      </c>
    </row>
    <row r="44" spans="2:11" x14ac:dyDescent="0.25">
      <c r="B44" s="6" t="s">
        <v>63</v>
      </c>
      <c r="C44" t="s">
        <v>60</v>
      </c>
      <c r="I44" s="7" t="s">
        <v>25</v>
      </c>
      <c r="J44" s="5">
        <v>836</v>
      </c>
    </row>
    <row r="45" spans="2:11" x14ac:dyDescent="0.25">
      <c r="B45" s="7" t="s">
        <v>21</v>
      </c>
      <c r="C45" s="5">
        <v>655</v>
      </c>
      <c r="I45" s="7" t="s">
        <v>13</v>
      </c>
      <c r="J45" s="5">
        <v>809</v>
      </c>
    </row>
    <row r="46" spans="2:11" x14ac:dyDescent="0.25">
      <c r="B46" s="7" t="s">
        <v>16</v>
      </c>
      <c r="C46" s="5">
        <v>614</v>
      </c>
      <c r="I46" s="7" t="s">
        <v>17</v>
      </c>
      <c r="J46" s="5">
        <v>855</v>
      </c>
    </row>
    <row r="47" spans="2:11" x14ac:dyDescent="0.25">
      <c r="B47" s="7" t="s">
        <v>29</v>
      </c>
      <c r="C47" s="5">
        <v>601</v>
      </c>
      <c r="I47" s="7" t="s">
        <v>64</v>
      </c>
      <c r="J47" s="5">
        <v>2500</v>
      </c>
    </row>
    <row r="48" spans="2:11" x14ac:dyDescent="0.25">
      <c r="B48" s="7" t="s">
        <v>11</v>
      </c>
      <c r="C48" s="5">
        <v>630</v>
      </c>
    </row>
    <row r="49" spans="2:12" x14ac:dyDescent="0.25">
      <c r="B49" s="7" t="s">
        <v>64</v>
      </c>
      <c r="C49" s="5">
        <v>2500</v>
      </c>
    </row>
    <row r="59" spans="2:12" x14ac:dyDescent="0.25">
      <c r="I59" s="17" t="s">
        <v>98</v>
      </c>
      <c r="J59" s="17"/>
      <c r="K59" s="17"/>
      <c r="L59" s="17"/>
    </row>
    <row r="60" spans="2:12" x14ac:dyDescent="0.25">
      <c r="B60" s="16" t="s">
        <v>83</v>
      </c>
      <c r="C60" s="16"/>
      <c r="D60" s="16"/>
    </row>
    <row r="62" spans="2:12" x14ac:dyDescent="0.25">
      <c r="B62" s="6" t="s">
        <v>63</v>
      </c>
      <c r="C62" t="s">
        <v>60</v>
      </c>
      <c r="I62" s="6" t="s">
        <v>63</v>
      </c>
      <c r="J62" t="s">
        <v>60</v>
      </c>
    </row>
    <row r="63" spans="2:12" x14ac:dyDescent="0.25">
      <c r="B63" s="8" t="s">
        <v>84</v>
      </c>
      <c r="C63" s="5">
        <v>615</v>
      </c>
      <c r="I63" s="7">
        <v>2000</v>
      </c>
      <c r="J63" s="1">
        <v>93</v>
      </c>
    </row>
    <row r="64" spans="2:12" x14ac:dyDescent="0.25">
      <c r="B64" s="8" t="s">
        <v>85</v>
      </c>
      <c r="C64" s="5">
        <v>459</v>
      </c>
      <c r="I64" s="7">
        <v>2001</v>
      </c>
      <c r="J64" s="1">
        <v>109</v>
      </c>
    </row>
    <row r="65" spans="2:25" x14ac:dyDescent="0.25">
      <c r="B65" s="8" t="s">
        <v>86</v>
      </c>
      <c r="C65" s="5">
        <v>485</v>
      </c>
      <c r="I65" s="7">
        <v>2002</v>
      </c>
      <c r="J65" s="1">
        <v>110</v>
      </c>
    </row>
    <row r="66" spans="2:25" x14ac:dyDescent="0.25">
      <c r="B66" s="8" t="s">
        <v>87</v>
      </c>
      <c r="C66" s="5">
        <v>466</v>
      </c>
      <c r="I66" s="7">
        <v>2003</v>
      </c>
      <c r="J66" s="1">
        <v>118</v>
      </c>
    </row>
    <row r="67" spans="2:25" x14ac:dyDescent="0.25">
      <c r="B67" s="8" t="s">
        <v>88</v>
      </c>
      <c r="C67" s="5">
        <v>475</v>
      </c>
      <c r="I67" s="7">
        <v>2004</v>
      </c>
      <c r="J67" s="1">
        <v>100</v>
      </c>
    </row>
    <row r="68" spans="2:25" x14ac:dyDescent="0.25">
      <c r="B68" s="8" t="s">
        <v>64</v>
      </c>
      <c r="C68" s="5">
        <v>2500</v>
      </c>
      <c r="I68" s="7">
        <v>2005</v>
      </c>
      <c r="J68" s="1">
        <v>103</v>
      </c>
    </row>
    <row r="69" spans="2:25" x14ac:dyDescent="0.25">
      <c r="I69" s="7">
        <v>2006</v>
      </c>
      <c r="J69" s="1">
        <v>86</v>
      </c>
    </row>
    <row r="70" spans="2:25" x14ac:dyDescent="0.25">
      <c r="I70" s="7">
        <v>2007</v>
      </c>
      <c r="J70" s="1">
        <v>110</v>
      </c>
    </row>
    <row r="71" spans="2:25" x14ac:dyDescent="0.25">
      <c r="I71" s="7">
        <v>2008</v>
      </c>
      <c r="J71" s="1">
        <v>109</v>
      </c>
    </row>
    <row r="72" spans="2:25" x14ac:dyDescent="0.25">
      <c r="I72" s="7">
        <v>2009</v>
      </c>
      <c r="J72" s="1">
        <v>90</v>
      </c>
    </row>
    <row r="73" spans="2:25" x14ac:dyDescent="0.25">
      <c r="I73" s="7">
        <v>2010</v>
      </c>
      <c r="J73" s="1">
        <v>95</v>
      </c>
    </row>
    <row r="74" spans="2:25" x14ac:dyDescent="0.25">
      <c r="I74" s="7">
        <v>2011</v>
      </c>
      <c r="J74" s="1">
        <v>101</v>
      </c>
    </row>
    <row r="75" spans="2:25" x14ac:dyDescent="0.25">
      <c r="I75" s="7">
        <v>2012</v>
      </c>
      <c r="J75" s="1">
        <v>111</v>
      </c>
    </row>
    <row r="76" spans="2:25" x14ac:dyDescent="0.25">
      <c r="I76" s="7">
        <v>2013</v>
      </c>
      <c r="J76" s="1">
        <v>95</v>
      </c>
    </row>
    <row r="77" spans="2:25" x14ac:dyDescent="0.25">
      <c r="B77" s="17" t="s">
        <v>99</v>
      </c>
      <c r="C77" s="17"/>
      <c r="D77" s="17"/>
      <c r="I77" s="7">
        <v>2014</v>
      </c>
      <c r="J77" s="1">
        <v>109</v>
      </c>
      <c r="U77" s="17"/>
      <c r="V77" s="17"/>
      <c r="W77" s="17"/>
      <c r="X77" s="17"/>
      <c r="Y77" s="17"/>
    </row>
    <row r="78" spans="2:25" x14ac:dyDescent="0.25">
      <c r="I78" s="7">
        <v>2015</v>
      </c>
      <c r="J78" s="1">
        <v>88</v>
      </c>
    </row>
    <row r="79" spans="2:25" x14ac:dyDescent="0.25">
      <c r="I79" s="7">
        <v>2016</v>
      </c>
      <c r="J79" s="1">
        <v>118</v>
      </c>
    </row>
    <row r="80" spans="2:25" x14ac:dyDescent="0.25">
      <c r="B80" s="6" t="s">
        <v>92</v>
      </c>
      <c r="C80" t="s">
        <v>60</v>
      </c>
      <c r="I80" s="7">
        <v>2017</v>
      </c>
      <c r="J80" s="1">
        <v>97</v>
      </c>
    </row>
    <row r="81" spans="2:10" x14ac:dyDescent="0.25">
      <c r="B81" s="13" t="s">
        <v>100</v>
      </c>
      <c r="C81" s="5">
        <v>128</v>
      </c>
      <c r="I81" s="7">
        <v>2018</v>
      </c>
      <c r="J81" s="1">
        <v>106</v>
      </c>
    </row>
    <row r="82" spans="2:10" x14ac:dyDescent="0.25">
      <c r="B82" s="13" t="s">
        <v>101</v>
      </c>
      <c r="C82" s="5">
        <v>140</v>
      </c>
      <c r="I82" s="7">
        <v>2019</v>
      </c>
      <c r="J82" s="1">
        <v>103</v>
      </c>
    </row>
    <row r="83" spans="2:10" x14ac:dyDescent="0.25">
      <c r="B83" s="13" t="s">
        <v>102</v>
      </c>
      <c r="C83" s="5">
        <v>117</v>
      </c>
      <c r="I83" s="7">
        <v>2020</v>
      </c>
      <c r="J83" s="1">
        <v>122</v>
      </c>
    </row>
    <row r="84" spans="2:10" x14ac:dyDescent="0.25">
      <c r="B84" s="13" t="s">
        <v>103</v>
      </c>
      <c r="C84" s="5">
        <v>129</v>
      </c>
      <c r="I84" s="7">
        <v>2021</v>
      </c>
      <c r="J84" s="1">
        <v>112</v>
      </c>
    </row>
    <row r="85" spans="2:10" x14ac:dyDescent="0.25">
      <c r="B85" s="13" t="s">
        <v>104</v>
      </c>
      <c r="C85" s="5">
        <v>137</v>
      </c>
      <c r="I85" s="7">
        <v>2022</v>
      </c>
      <c r="J85" s="1">
        <v>112</v>
      </c>
    </row>
    <row r="86" spans="2:10" x14ac:dyDescent="0.25">
      <c r="B86" s="13" t="s">
        <v>105</v>
      </c>
      <c r="C86" s="5">
        <v>111</v>
      </c>
      <c r="I86" s="7">
        <v>2023</v>
      </c>
      <c r="J86" s="1">
        <v>103</v>
      </c>
    </row>
    <row r="87" spans="2:10" x14ac:dyDescent="0.25">
      <c r="B87" s="13" t="s">
        <v>106</v>
      </c>
      <c r="C87" s="5">
        <v>119</v>
      </c>
      <c r="I87" s="7" t="s">
        <v>64</v>
      </c>
      <c r="J87" s="1">
        <v>2500</v>
      </c>
    </row>
    <row r="88" spans="2:10" x14ac:dyDescent="0.25">
      <c r="B88" s="13" t="s">
        <v>107</v>
      </c>
      <c r="C88" s="5">
        <v>125</v>
      </c>
    </row>
    <row r="89" spans="2:10" x14ac:dyDescent="0.25">
      <c r="B89" s="13" t="s">
        <v>108</v>
      </c>
      <c r="C89" s="5">
        <v>134</v>
      </c>
    </row>
    <row r="90" spans="2:10" x14ac:dyDescent="0.25">
      <c r="B90" s="13" t="s">
        <v>109</v>
      </c>
      <c r="C90" s="5">
        <v>120</v>
      </c>
    </row>
    <row r="91" spans="2:10" x14ac:dyDescent="0.25">
      <c r="B91" s="13" t="s">
        <v>110</v>
      </c>
      <c r="C91" s="5">
        <v>125</v>
      </c>
    </row>
    <row r="92" spans="2:10" x14ac:dyDescent="0.25">
      <c r="B92" s="13" t="s">
        <v>111</v>
      </c>
      <c r="C92" s="5">
        <v>113</v>
      </c>
    </row>
    <row r="93" spans="2:10" x14ac:dyDescent="0.25">
      <c r="B93" s="13" t="s">
        <v>112</v>
      </c>
      <c r="C93" s="5">
        <v>126</v>
      </c>
    </row>
    <row r="94" spans="2:10" x14ac:dyDescent="0.25">
      <c r="B94" s="13" t="s">
        <v>113</v>
      </c>
      <c r="C94" s="5">
        <v>118</v>
      </c>
    </row>
    <row r="95" spans="2:10" x14ac:dyDescent="0.25">
      <c r="B95" s="13" t="s">
        <v>114</v>
      </c>
      <c r="C95" s="5">
        <v>127</v>
      </c>
    </row>
    <row r="96" spans="2:10" x14ac:dyDescent="0.25">
      <c r="B96" s="13" t="s">
        <v>115</v>
      </c>
      <c r="C96" s="5">
        <v>106</v>
      </c>
    </row>
    <row r="97" spans="2:3" x14ac:dyDescent="0.25">
      <c r="B97" s="13" t="s">
        <v>116</v>
      </c>
      <c r="C97" s="5">
        <v>121</v>
      </c>
    </row>
    <row r="98" spans="2:3" x14ac:dyDescent="0.25">
      <c r="B98" s="13" t="s">
        <v>117</v>
      </c>
      <c r="C98" s="5">
        <v>130</v>
      </c>
    </row>
    <row r="99" spans="2:3" x14ac:dyDescent="0.25">
      <c r="B99" s="13" t="s">
        <v>118</v>
      </c>
      <c r="C99" s="5">
        <v>147</v>
      </c>
    </row>
    <row r="100" spans="2:3" x14ac:dyDescent="0.25">
      <c r="B100" s="13" t="s">
        <v>119</v>
      </c>
      <c r="C100" s="5">
        <v>127</v>
      </c>
    </row>
    <row r="101" spans="2:3" x14ac:dyDescent="0.25">
      <c r="B101" s="13" t="s">
        <v>64</v>
      </c>
      <c r="C101" s="5">
        <v>2500</v>
      </c>
    </row>
  </sheetData>
  <mergeCells count="10">
    <mergeCell ref="U77:Y77"/>
    <mergeCell ref="I24:K24"/>
    <mergeCell ref="I41:K41"/>
    <mergeCell ref="B60:D60"/>
    <mergeCell ref="I59:L59"/>
    <mergeCell ref="B77:D77"/>
    <mergeCell ref="B2:H2"/>
    <mergeCell ref="B9:H9"/>
    <mergeCell ref="B25:D25"/>
    <mergeCell ref="B42:D42"/>
  </mergeCells>
  <pageMargins left="0.7" right="0.7" top="0.75" bottom="0.75" header="0.3" footer="0.3"/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430E-1E9D-456F-B195-B49B0976EB3A}">
  <dimension ref="B2:L85"/>
  <sheetViews>
    <sheetView workbookViewId="0">
      <selection activeCell="E27" sqref="E27"/>
    </sheetView>
  </sheetViews>
  <sheetFormatPr baseColWidth="10" defaultRowHeight="15" x14ac:dyDescent="0.25"/>
  <cols>
    <col min="2" max="3" width="15.5703125" bestFit="1" customWidth="1"/>
    <col min="4" max="4" width="23.140625" bestFit="1" customWidth="1"/>
    <col min="5" max="5" width="17.5703125" bestFit="1" customWidth="1"/>
    <col min="6" max="6" width="15.5703125" bestFit="1" customWidth="1"/>
    <col min="8" max="8" width="17.5703125" bestFit="1" customWidth="1"/>
    <col min="9" max="10" width="15.5703125" bestFit="1" customWidth="1"/>
    <col min="11" max="11" width="13.7109375" customWidth="1"/>
  </cols>
  <sheetData>
    <row r="2" spans="2:9" x14ac:dyDescent="0.25">
      <c r="B2" s="16" t="s">
        <v>59</v>
      </c>
      <c r="C2" s="16"/>
      <c r="D2" s="16"/>
      <c r="E2" s="16"/>
      <c r="F2" s="16"/>
      <c r="G2" s="16"/>
      <c r="H2" s="16"/>
    </row>
    <row r="4" spans="2:9" x14ac:dyDescent="0.25">
      <c r="B4" t="s">
        <v>60</v>
      </c>
      <c r="D4" t="s">
        <v>61</v>
      </c>
    </row>
    <row r="5" spans="2:9" x14ac:dyDescent="0.25">
      <c r="B5" s="1">
        <v>2500</v>
      </c>
      <c r="C5" s="5">
        <f>GETPIVOTDATA("Car ID",$B$4)</f>
        <v>2500</v>
      </c>
      <c r="D5" s="5">
        <v>47742.804380000016</v>
      </c>
    </row>
    <row r="6" spans="2:9" x14ac:dyDescent="0.25">
      <c r="B6" t="s">
        <v>72</v>
      </c>
      <c r="C6" s="5"/>
      <c r="D6" s="11">
        <f>GETPIVOTDATA("Price (USD)",$D$4)</f>
        <v>47742.804380000016</v>
      </c>
      <c r="F6" s="5"/>
    </row>
    <row r="7" spans="2:9" x14ac:dyDescent="0.25">
      <c r="B7" s="5">
        <v>119357010.95000003</v>
      </c>
      <c r="C7" s="11">
        <f>GETPIVOTDATA("Price (USD)",$B$6)</f>
        <v>119357010.95000003</v>
      </c>
    </row>
    <row r="9" spans="2:9" x14ac:dyDescent="0.25">
      <c r="B9" s="16" t="s">
        <v>62</v>
      </c>
      <c r="C9" s="16"/>
      <c r="D9" s="16"/>
      <c r="E9" s="16"/>
      <c r="F9" s="16"/>
      <c r="G9" s="16"/>
      <c r="H9" s="16"/>
    </row>
    <row r="12" spans="2:9" x14ac:dyDescent="0.25">
      <c r="B12" s="6" t="s">
        <v>90</v>
      </c>
      <c r="C12" t="s">
        <v>60</v>
      </c>
      <c r="E12" s="6" t="s">
        <v>63</v>
      </c>
      <c r="F12" t="s">
        <v>60</v>
      </c>
      <c r="H12" s="6" t="s">
        <v>63</v>
      </c>
      <c r="I12" t="s">
        <v>60</v>
      </c>
    </row>
    <row r="13" spans="2:9" x14ac:dyDescent="0.25">
      <c r="B13" s="7" t="s">
        <v>43</v>
      </c>
      <c r="C13" s="5">
        <v>374</v>
      </c>
      <c r="E13" s="7" t="s">
        <v>47</v>
      </c>
      <c r="F13" s="5">
        <v>103</v>
      </c>
      <c r="H13" s="7" t="s">
        <v>26</v>
      </c>
      <c r="I13" s="5">
        <v>77</v>
      </c>
    </row>
    <row r="14" spans="2:9" x14ac:dyDescent="0.25">
      <c r="B14" s="7" t="s">
        <v>19</v>
      </c>
      <c r="C14" s="5">
        <v>368</v>
      </c>
      <c r="E14" s="7" t="s">
        <v>34</v>
      </c>
      <c r="F14" s="5">
        <v>103</v>
      </c>
      <c r="H14" s="7" t="s">
        <v>49</v>
      </c>
      <c r="I14" s="5">
        <v>79</v>
      </c>
    </row>
    <row r="15" spans="2:9" x14ac:dyDescent="0.25">
      <c r="B15" s="7" t="s">
        <v>15</v>
      </c>
      <c r="C15" s="5">
        <v>358</v>
      </c>
      <c r="E15" s="7" t="s">
        <v>38</v>
      </c>
      <c r="F15" s="5">
        <v>98</v>
      </c>
      <c r="H15" s="7" t="s">
        <v>28</v>
      </c>
      <c r="I15" s="5">
        <v>79</v>
      </c>
    </row>
    <row r="16" spans="2:9" x14ac:dyDescent="0.25">
      <c r="B16" s="7" t="s">
        <v>36</v>
      </c>
      <c r="C16" s="5">
        <v>353</v>
      </c>
      <c r="E16" s="7" t="s">
        <v>20</v>
      </c>
      <c r="F16" s="5">
        <v>96</v>
      </c>
      <c r="H16" s="7" t="s">
        <v>46</v>
      </c>
      <c r="I16" s="5">
        <v>80</v>
      </c>
    </row>
    <row r="17" spans="2:11" x14ac:dyDescent="0.25">
      <c r="B17" s="7" t="s">
        <v>30</v>
      </c>
      <c r="C17" s="5">
        <v>352</v>
      </c>
      <c r="E17" s="7" t="s">
        <v>27</v>
      </c>
      <c r="F17" s="5">
        <v>95</v>
      </c>
      <c r="H17" s="7" t="s">
        <v>39</v>
      </c>
      <c r="I17" s="5">
        <v>80</v>
      </c>
    </row>
    <row r="18" spans="2:11" x14ac:dyDescent="0.25">
      <c r="B18" s="7" t="s">
        <v>10</v>
      </c>
      <c r="C18" s="5">
        <v>348</v>
      </c>
      <c r="E18" s="7" t="s">
        <v>42</v>
      </c>
      <c r="F18" s="5">
        <v>95</v>
      </c>
      <c r="H18" s="7" t="s">
        <v>31</v>
      </c>
      <c r="I18" s="5">
        <v>80</v>
      </c>
    </row>
    <row r="19" spans="2:11" x14ac:dyDescent="0.25">
      <c r="B19" s="7" t="s">
        <v>24</v>
      </c>
      <c r="C19" s="5">
        <v>347</v>
      </c>
      <c r="E19" s="7" t="s">
        <v>64</v>
      </c>
      <c r="F19" s="5">
        <v>590</v>
      </c>
      <c r="H19" s="7" t="s">
        <v>64</v>
      </c>
      <c r="I19" s="5">
        <v>475</v>
      </c>
    </row>
    <row r="20" spans="2:11" x14ac:dyDescent="0.25">
      <c r="B20" s="7" t="s">
        <v>64</v>
      </c>
      <c r="C20" s="5">
        <v>2500</v>
      </c>
    </row>
    <row r="24" spans="2:11" x14ac:dyDescent="0.25">
      <c r="B24" s="16" t="s">
        <v>65</v>
      </c>
      <c r="C24" s="16"/>
      <c r="D24" s="16"/>
      <c r="I24" s="16" t="s">
        <v>74</v>
      </c>
      <c r="J24" s="16"/>
      <c r="K24" s="16"/>
    </row>
    <row r="27" spans="2:11" x14ac:dyDescent="0.25">
      <c r="I27" s="6" t="s">
        <v>63</v>
      </c>
      <c r="J27" t="s">
        <v>60</v>
      </c>
    </row>
    <row r="28" spans="2:11" x14ac:dyDescent="0.25">
      <c r="I28" s="7" t="s">
        <v>22</v>
      </c>
      <c r="J28" s="5">
        <v>1192</v>
      </c>
    </row>
    <row r="29" spans="2:11" x14ac:dyDescent="0.25">
      <c r="I29" s="7" t="s">
        <v>12</v>
      </c>
      <c r="J29" s="5">
        <v>1308</v>
      </c>
    </row>
    <row r="30" spans="2:11" x14ac:dyDescent="0.25">
      <c r="I30" s="7" t="s">
        <v>64</v>
      </c>
      <c r="J30" s="5">
        <v>2500</v>
      </c>
    </row>
    <row r="42" spans="2:11" x14ac:dyDescent="0.25">
      <c r="B42" s="16" t="s">
        <v>66</v>
      </c>
      <c r="C42" s="16"/>
      <c r="D42" s="16"/>
      <c r="I42" s="16" t="s">
        <v>75</v>
      </c>
      <c r="J42" s="16"/>
      <c r="K42" s="16"/>
    </row>
    <row r="44" spans="2:11" x14ac:dyDescent="0.25">
      <c r="B44" s="6" t="s">
        <v>63</v>
      </c>
      <c r="C44" t="s">
        <v>60</v>
      </c>
      <c r="I44" s="6" t="s">
        <v>63</v>
      </c>
      <c r="J44" t="s">
        <v>60</v>
      </c>
    </row>
    <row r="45" spans="2:11" x14ac:dyDescent="0.25">
      <c r="B45" s="7" t="s">
        <v>67</v>
      </c>
      <c r="C45" s="5">
        <v>479</v>
      </c>
      <c r="I45" s="9" t="s">
        <v>76</v>
      </c>
      <c r="J45" s="5">
        <v>427</v>
      </c>
    </row>
    <row r="46" spans="2:11" x14ac:dyDescent="0.25">
      <c r="B46" s="7" t="s">
        <v>68</v>
      </c>
      <c r="C46" s="5">
        <v>517</v>
      </c>
      <c r="I46" s="8" t="s">
        <v>77</v>
      </c>
      <c r="J46" s="5">
        <v>415</v>
      </c>
    </row>
    <row r="47" spans="2:11" x14ac:dyDescent="0.25">
      <c r="B47" s="7" t="s">
        <v>69</v>
      </c>
      <c r="C47" s="5">
        <v>511</v>
      </c>
      <c r="I47" s="8" t="s">
        <v>78</v>
      </c>
      <c r="J47" s="5">
        <v>418</v>
      </c>
    </row>
    <row r="48" spans="2:11" x14ac:dyDescent="0.25">
      <c r="B48" s="7" t="s">
        <v>70</v>
      </c>
      <c r="C48" s="5">
        <v>484</v>
      </c>
      <c r="I48" s="8" t="s">
        <v>79</v>
      </c>
      <c r="J48" s="5">
        <v>399</v>
      </c>
    </row>
    <row r="49" spans="2:11" x14ac:dyDescent="0.25">
      <c r="B49" s="7" t="s">
        <v>71</v>
      </c>
      <c r="C49" s="5">
        <v>509</v>
      </c>
      <c r="I49" s="8" t="s">
        <v>80</v>
      </c>
      <c r="J49" s="5">
        <v>398</v>
      </c>
    </row>
    <row r="50" spans="2:11" x14ac:dyDescent="0.25">
      <c r="B50" s="7" t="s">
        <v>64</v>
      </c>
      <c r="C50" s="5">
        <v>2500</v>
      </c>
      <c r="I50" s="8" t="s">
        <v>81</v>
      </c>
      <c r="J50" s="5">
        <v>443</v>
      </c>
    </row>
    <row r="51" spans="2:11" x14ac:dyDescent="0.25">
      <c r="I51" s="8" t="s">
        <v>64</v>
      </c>
      <c r="J51" s="5">
        <v>2500</v>
      </c>
    </row>
    <row r="59" spans="2:11" x14ac:dyDescent="0.25">
      <c r="B59" s="16" t="s">
        <v>73</v>
      </c>
      <c r="C59" s="16"/>
      <c r="D59" s="16"/>
      <c r="I59" s="16" t="s">
        <v>82</v>
      </c>
      <c r="J59" s="16"/>
      <c r="K59" s="16"/>
    </row>
    <row r="61" spans="2:11" x14ac:dyDescent="0.25">
      <c r="B61" s="6" t="s">
        <v>63</v>
      </c>
      <c r="C61" t="s">
        <v>60</v>
      </c>
      <c r="I61" s="6" t="s">
        <v>63</v>
      </c>
      <c r="J61" t="s">
        <v>60</v>
      </c>
    </row>
    <row r="62" spans="2:11" x14ac:dyDescent="0.25">
      <c r="B62" s="7" t="s">
        <v>21</v>
      </c>
      <c r="C62" s="5">
        <v>655</v>
      </c>
      <c r="I62" s="7" t="s">
        <v>25</v>
      </c>
      <c r="J62" s="5">
        <v>836</v>
      </c>
    </row>
    <row r="63" spans="2:11" x14ac:dyDescent="0.25">
      <c r="B63" s="7" t="s">
        <v>16</v>
      </c>
      <c r="C63" s="5">
        <v>614</v>
      </c>
      <c r="I63" s="7" t="s">
        <v>13</v>
      </c>
      <c r="J63" s="5">
        <v>809</v>
      </c>
    </row>
    <row r="64" spans="2:11" x14ac:dyDescent="0.25">
      <c r="B64" s="7" t="s">
        <v>29</v>
      </c>
      <c r="C64" s="5">
        <v>601</v>
      </c>
      <c r="I64" s="7" t="s">
        <v>17</v>
      </c>
      <c r="J64" s="5">
        <v>855</v>
      </c>
    </row>
    <row r="65" spans="2:12" x14ac:dyDescent="0.25">
      <c r="B65" s="7" t="s">
        <v>11</v>
      </c>
      <c r="C65" s="5">
        <v>630</v>
      </c>
      <c r="I65" s="7" t="s">
        <v>64</v>
      </c>
      <c r="J65" s="5">
        <v>2500</v>
      </c>
    </row>
    <row r="66" spans="2:12" x14ac:dyDescent="0.25">
      <c r="B66" s="7" t="s">
        <v>64</v>
      </c>
      <c r="C66" s="5">
        <v>2500</v>
      </c>
    </row>
    <row r="77" spans="2:12" x14ac:dyDescent="0.25">
      <c r="B77" s="16" t="s">
        <v>83</v>
      </c>
      <c r="C77" s="16"/>
      <c r="D77" s="16"/>
      <c r="I77" s="18"/>
      <c r="J77" s="18"/>
      <c r="K77" s="18"/>
      <c r="L77" s="18"/>
    </row>
    <row r="78" spans="2:12" x14ac:dyDescent="0.25">
      <c r="I78" s="14"/>
      <c r="J78" s="14"/>
      <c r="K78" s="14"/>
      <c r="L78" s="14"/>
    </row>
    <row r="79" spans="2:12" x14ac:dyDescent="0.25">
      <c r="B79" s="6" t="s">
        <v>63</v>
      </c>
      <c r="C79" t="s">
        <v>60</v>
      </c>
    </row>
    <row r="80" spans="2:12" x14ac:dyDescent="0.25">
      <c r="B80" s="8" t="s">
        <v>84</v>
      </c>
      <c r="C80" s="5">
        <v>615</v>
      </c>
    </row>
    <row r="81" spans="2:3" x14ac:dyDescent="0.25">
      <c r="B81" s="8" t="s">
        <v>85</v>
      </c>
      <c r="C81" s="5">
        <v>459</v>
      </c>
    </row>
    <row r="82" spans="2:3" x14ac:dyDescent="0.25">
      <c r="B82" s="8" t="s">
        <v>86</v>
      </c>
      <c r="C82" s="5">
        <v>485</v>
      </c>
    </row>
    <row r="83" spans="2:3" x14ac:dyDescent="0.25">
      <c r="B83" s="8" t="s">
        <v>87</v>
      </c>
      <c r="C83" s="5">
        <v>466</v>
      </c>
    </row>
    <row r="84" spans="2:3" x14ac:dyDescent="0.25">
      <c r="B84" s="8" t="s">
        <v>88</v>
      </c>
      <c r="C84" s="5">
        <v>475</v>
      </c>
    </row>
    <row r="85" spans="2:3" x14ac:dyDescent="0.25">
      <c r="B85" s="8" t="s">
        <v>64</v>
      </c>
      <c r="C85" s="5">
        <v>2500</v>
      </c>
    </row>
  </sheetData>
  <mergeCells count="10">
    <mergeCell ref="B59:D59"/>
    <mergeCell ref="I59:K59"/>
    <mergeCell ref="B77:D77"/>
    <mergeCell ref="I77:L77"/>
    <mergeCell ref="B2:H2"/>
    <mergeCell ref="B9:H9"/>
    <mergeCell ref="B24:D24"/>
    <mergeCell ref="I24:K24"/>
    <mergeCell ref="B42:D42"/>
    <mergeCell ref="I42:K42"/>
  </mergeCells>
  <pageMargins left="0.7" right="0.7" top="0.75" bottom="0.75" header="0.3" footer="0.3"/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3144-6772-4C9D-BDC3-9F38FFAA3E7B}">
  <dimension ref="A1:AA51"/>
  <sheetViews>
    <sheetView tabSelected="1" zoomScale="75" zoomScaleNormal="75" workbookViewId="0">
      <selection activeCell="K47" sqref="K47"/>
    </sheetView>
  </sheetViews>
  <sheetFormatPr baseColWidth="10" defaultRowHeight="15" x14ac:dyDescent="0.25"/>
  <sheetData>
    <row r="1" spans="1:24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4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1:24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1:24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7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1:27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7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7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7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7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34D4AF-9E0F-423F-AF73-1D4D7D95F9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Analisis</vt:lpstr>
      <vt:lpstr>car_price_prediction_</vt:lpstr>
      <vt:lpstr>TablasDinamicas</vt:lpstr>
      <vt:lpstr>TablasDinamicas (2)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Oier Leizaola Berridi</dc:creator>
  <cp:lastModifiedBy>Oier Leizaola Berridi</cp:lastModifiedBy>
  <dcterms:created xsi:type="dcterms:W3CDTF">2015-06-05T18:19:34Z</dcterms:created>
  <dcterms:modified xsi:type="dcterms:W3CDTF">2025-11-25T14:48:52Z</dcterms:modified>
</cp:coreProperties>
</file>